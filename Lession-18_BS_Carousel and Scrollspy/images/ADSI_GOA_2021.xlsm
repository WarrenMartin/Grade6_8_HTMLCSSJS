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workbookProtection workbookPassword="C614" lockStructure="1"/>
  <bookViews>
    <workbookView xWindow="240" yWindow="75" windowWidth="11280" windowHeight="7455" tabRatio="816"/>
  </bookViews>
  <sheets>
    <sheet name="ADSI" sheetId="31" r:id="rId1"/>
    <sheet name="FormData" sheetId="35" state="hidden" r:id="rId2"/>
    <sheet name="P-I" sheetId="27" r:id="rId3"/>
    <sheet name="P-II" sheetId="8" r:id="rId4"/>
    <sheet name="P-II-A" sheetId="29" r:id="rId5"/>
    <sheet name="P-III" sheetId="6" r:id="rId6"/>
    <sheet name="P-IV" sheetId="28" r:id="rId7"/>
    <sheet name="P-V" sheetId="5" r:id="rId8"/>
    <sheet name="P-VI" sheetId="1" r:id="rId9"/>
    <sheet name="P-VII" sheetId="11" r:id="rId10"/>
    <sheet name="P-VIII" sheetId="12" r:id="rId11"/>
    <sheet name="P-IX" sheetId="3" r:id="rId12"/>
    <sheet name="P-X" sheetId="14" r:id="rId13"/>
    <sheet name="P-XI" sheetId="15" r:id="rId14"/>
    <sheet name="P-XII" sheetId="10" r:id="rId15"/>
    <sheet name="P-XIII" sheetId="16" r:id="rId16"/>
    <sheet name="P-XIV" sheetId="18" r:id="rId17"/>
    <sheet name="P-XV" sheetId="17" r:id="rId18"/>
    <sheet name="P-XVI" sheetId="23" r:id="rId19"/>
    <sheet name="P-XVII" sheetId="24" r:id="rId20"/>
    <sheet name="P-XVIII" sheetId="25" r:id="rId21"/>
    <sheet name="P-XIX" sheetId="19" r:id="rId22"/>
    <sheet name="P-XIX-A" sheetId="33" r:id="rId23"/>
    <sheet name="P-XX" sheetId="20" r:id="rId24"/>
    <sheet name="P-XXI" sheetId="21" r:id="rId25"/>
    <sheet name="P-XXII" sheetId="22" r:id="rId26"/>
    <sheet name="P-XXIII" sheetId="26" r:id="rId27"/>
    <sheet name="Status" sheetId="32" r:id="rId28"/>
  </sheets>
  <definedNames>
    <definedName name="_xlnm._FilterDatabase" localSheetId="1" hidden="1">FormData!$DE$1:$DF$1</definedName>
    <definedName name="_xlnm._FilterDatabase" localSheetId="22" hidden="1">'P-XIX-A'!$F$12:$G$13</definedName>
    <definedName name="A_N_ISLANDS">FormData!$E$2:$E$5</definedName>
    <definedName name="A_N_ISLCode">FormData!$D$2:$D$5</definedName>
    <definedName name="ANDHRA_Code">FormData!$G$2:$G$22</definedName>
    <definedName name="ANDHRA_PRADESH">FormData!$H$2:$H$22</definedName>
    <definedName name="ARUNACHAL_PRADESH">FormData!$K$2:$K$29</definedName>
    <definedName name="ARUNACHCode">FormData!$J$2:$J$29</definedName>
    <definedName name="ASSAM">FormData!$N$2:$N$42</definedName>
    <definedName name="ASSAMCode">FormData!$M$2:$M$42</definedName>
    <definedName name="BIHAR">FormData!$Q$2:$Q$50</definedName>
    <definedName name="BIHARCode">FormData!$P$2:$P$50</definedName>
    <definedName name="CHANDIGARH">FormData!$T$2:$T$3</definedName>
    <definedName name="CHANDIGCode">FormData!$S$2:$S$3</definedName>
    <definedName name="CHHATTICode">FormData!$V$2:$V$32</definedName>
    <definedName name="CHHATTISGARH">FormData!$W$2:$W$32</definedName>
    <definedName name="D_N_HAVCode">FormData!$Y$2:$Y$5</definedName>
    <definedName name="D_N_HAVELI_AND_DAMAN___DIU">FormData!$Z$2:$Z$5</definedName>
    <definedName name="DELHI">FormData!$AF$2:$AF$25</definedName>
    <definedName name="DELHICode">FormData!$AE$2:$AE$25</definedName>
    <definedName name="GOA">FormData!$AI$2:$AI$5</definedName>
    <definedName name="GOACode">FormData!$AH$2:$AH$5</definedName>
    <definedName name="GUJARAT">FormData!$AL$2:$AL$43</definedName>
    <definedName name="GUJARATCode">FormData!$AK$2:$AK$43</definedName>
    <definedName name="HARYANA">FormData!$AO$2:$AO$27</definedName>
    <definedName name="HARYANACode">FormData!$AN$2:$AN$27</definedName>
    <definedName name="HIMACHACode">FormData!$AQ$2:$AQ$17</definedName>
    <definedName name="HIMACHAL_PRADESH">FormData!$AR$2:$AR$17</definedName>
    <definedName name="JAMMU___KASHMIR">FormData!$AU$2:$AU$30</definedName>
    <definedName name="JAMMU__Code">FormData!$AT$2:$AT$30</definedName>
    <definedName name="JHARKHACode">FormData!$AW$2:$AW$28</definedName>
    <definedName name="JHARKHAND">FormData!$AX$2:$AX$28</definedName>
    <definedName name="KARNATACode">FormData!$AZ$2:$AZ$39</definedName>
    <definedName name="KARNATAKA">FormData!$BA$2:$BA$39</definedName>
    <definedName name="KERALA">FormData!$BD$2:$BD$24</definedName>
    <definedName name="KERALACode">FormData!$BC$2:$BC$24</definedName>
    <definedName name="LADAKH">FormData!$AC$2:$AC$4</definedName>
    <definedName name="LADAKHCode">FormData!$AB$2:$AB$4</definedName>
    <definedName name="LAKSHADCode">FormData!$BF$2:$BF$3</definedName>
    <definedName name="LAKSHADWEEP">FormData!$BG$2:$BG$3</definedName>
    <definedName name="MADHYA_Code">FormData!$BI$2:$BI$57</definedName>
    <definedName name="MADHYA_PRADESH">FormData!$BJ$2:$BJ$57</definedName>
    <definedName name="MAHARASCode">FormData!$BL$2:$BL$51</definedName>
    <definedName name="MAHARASHTRA">FormData!$BM$2:$BM$51</definedName>
    <definedName name="MANIPUR">FormData!$BP$2:$BP$19</definedName>
    <definedName name="MANIPURCode">FormData!$BO$2:$BO$19</definedName>
    <definedName name="MegaCityCode">FormData!$DH$2:$DH$54</definedName>
    <definedName name="MegaCityName">FormData!$DI$2:$DI$54</definedName>
    <definedName name="MEGHALACode">FormData!$BR$2:$BR$13</definedName>
    <definedName name="MEGHALAYA">FormData!$BS$2:$BS$13</definedName>
    <definedName name="MIZORAM">FormData!$BV$2:$BV$15</definedName>
    <definedName name="MIZORAMCode">FormData!$BU$2:$BU$15</definedName>
    <definedName name="NAGALANCode">FormData!$BX$2:$BX$13</definedName>
    <definedName name="NAGALAND">FormData!$BY$2:$BY$13</definedName>
    <definedName name="ODISHA">FormData!$CB$2:$CB$38</definedName>
    <definedName name="ODISHACode">FormData!$CA$2:$CA$38</definedName>
    <definedName name="_xlnm.Print_Area" localSheetId="0">ADSI!$A$1:$N$28</definedName>
    <definedName name="_xlnm.Print_Area" localSheetId="2">'P-I'!$BA$200:$BX$223</definedName>
    <definedName name="_xlnm.Print_Area" localSheetId="3">'P-II'!$BA$200:$BL$253</definedName>
    <definedName name="_xlnm.Print_Area" localSheetId="4">'P-II-A'!$BA$200:$BL$223</definedName>
    <definedName name="_xlnm.Print_Area" localSheetId="5">'P-III'!$BA$200:$CF$254</definedName>
    <definedName name="_xlnm.Print_Area" localSheetId="6">'P-IV'!$BA$200:$BL$227</definedName>
    <definedName name="_xlnm.Print_Area" localSheetId="11">'P-IX'!$BA$200:$BL$227</definedName>
    <definedName name="_xlnm.Print_Area" localSheetId="7">'P-V'!$BA$200:$CF$228</definedName>
    <definedName name="_xlnm.Print_Area" localSheetId="8">'P-VI'!$AK$180:$AU$212</definedName>
    <definedName name="_xlnm.Print_Area" localSheetId="9">'P-VII'!$BA$200:$BL$213</definedName>
    <definedName name="_xlnm.Print_Area" localSheetId="10">'P-VIII'!$BA$200:$BL$229</definedName>
    <definedName name="_xlnm.Print_Area" localSheetId="12">'P-X'!$BA$200:$BQ$221</definedName>
    <definedName name="_xlnm.Print_Area" localSheetId="13">'P-XI'!$BA$200:$BQ$217</definedName>
    <definedName name="_xlnm.Print_Area" localSheetId="14">'P-XII'!$BA$200:$BL$229</definedName>
    <definedName name="_xlnm.Print_Area" localSheetId="15">'P-XIII'!$BA$200:$BR$218</definedName>
    <definedName name="_xlnm.Print_Area" localSheetId="16">'P-XIV'!$BA$200:$BX$241</definedName>
    <definedName name="_xlnm.Print_Area" localSheetId="21">'P-XIX'!$BA$200:$BX$242</definedName>
    <definedName name="_xlnm.Print_Area" localSheetId="22">'P-XIX-A'!$BA$200:$BX$227</definedName>
    <definedName name="_xlnm.Print_Area" localSheetId="17">'P-XV'!$BA$200:$BY$241</definedName>
    <definedName name="_xlnm.Print_Area" localSheetId="18">'P-XVI'!$BA$200:$CX$242</definedName>
    <definedName name="_xlnm.Print_Area" localSheetId="19">'P-XVII'!$BA$200:$CX$227</definedName>
    <definedName name="_xlnm.Print_Area" localSheetId="20">'P-XVIII'!$BA$200:$BX$229</definedName>
    <definedName name="_xlnm.Print_Area" localSheetId="23">'P-XX'!$BA$200:$CD$221</definedName>
    <definedName name="_xlnm.Print_Area" localSheetId="24">'P-XXI'!$BA$200:$BI$224</definedName>
    <definedName name="_xlnm.Print_Area" localSheetId="25">'P-XXII'!$BA$200:$BR$234</definedName>
    <definedName name="_xlnm.Print_Area" localSheetId="26">'P-XXIII'!$BA$200:$BN$219</definedName>
    <definedName name="_xlnm.Print_Titles" localSheetId="3">'P-II'!$202:$206</definedName>
    <definedName name="_xlnm.Print_Titles" localSheetId="5">'P-III'!$BA:$BB,'P-III'!$202:$207</definedName>
    <definedName name="_xlnm.Print_Titles" localSheetId="7">'P-V'!$BA:$BB</definedName>
    <definedName name="_xlnm.Print_Titles" localSheetId="8">'P-VI'!$AK:$AM,'P-VI'!$182:$188</definedName>
    <definedName name="_xlnm.Print_Titles" localSheetId="16">'P-XIV'!$BA:$BB,'P-XIV'!$201:$206</definedName>
    <definedName name="_xlnm.Print_Titles" localSheetId="21">'P-XIX'!$BA:$BB,'P-XIX'!$202:$207</definedName>
    <definedName name="_xlnm.Print_Titles" localSheetId="22">'P-XIX-A'!$BA:$BB</definedName>
    <definedName name="_xlnm.Print_Titles" localSheetId="17">'P-XV'!$BA:$BC,'P-XV'!$204:$207</definedName>
    <definedName name="_xlnm.Print_Titles" localSheetId="18">'P-XVI'!$BA:$BB</definedName>
    <definedName name="_xlnm.Print_Titles" localSheetId="19">'P-XVII'!$BA:$BB</definedName>
    <definedName name="_xlnm.Print_Titles" localSheetId="20">'P-XVIII'!$BA:$BB</definedName>
    <definedName name="_xlnm.Print_Titles" localSheetId="23">'P-XX'!$BA:$BB</definedName>
    <definedName name="_xlnm.Print_Titles" localSheetId="25">'P-XXII'!$BA:$BB,'P-XXII'!$204:$207</definedName>
    <definedName name="PUDUCHECode">FormData!$CD$2:$CD$4</definedName>
    <definedName name="PUDUCHERRY">FormData!$CE$2:$CE$4</definedName>
    <definedName name="PUNJAB">FormData!$CH$2:$CH$31</definedName>
    <definedName name="PUNJABCode">FormData!$CG$2:$CG$31</definedName>
    <definedName name="RAJASTHAN">FormData!$CK$2:$CK$51</definedName>
    <definedName name="RAJASTHCode">FormData!$CJ$2:$CJ$51</definedName>
    <definedName name="SIKKIM">FormData!$CN$2:$CN$6</definedName>
    <definedName name="SIKKIMCode">FormData!$CM$2:$CM$6</definedName>
    <definedName name="StateCode">FormData!$A$2:$A$37</definedName>
    <definedName name="StateList">FormData!$B$2:$B$37</definedName>
    <definedName name="TAMIL_NADU">FormData!$CQ$2:$CQ$48</definedName>
    <definedName name="TAMIL_NCode">FormData!$CP$2:$CP$48</definedName>
    <definedName name="TELANGACode">FormData!$CS$2:$CS$32</definedName>
    <definedName name="TELANGANA">FormData!$CT$2:$CT$32</definedName>
    <definedName name="TRIPURA">FormData!$CW$2:$CW$11</definedName>
    <definedName name="TRIPURACode">FormData!$CV$2:$CV$11</definedName>
    <definedName name="UTTAR_PCode">FormData!$CY$2:$CY$81</definedName>
    <definedName name="UTTAR_PRADESH">FormData!$CZ$2:$CZ$81</definedName>
    <definedName name="UTTARAKCode">FormData!$DB$2:$DB$16</definedName>
    <definedName name="UTTARAKHAND">FormData!$DC$2:$DC$16</definedName>
    <definedName name="WEST_BECode">FormData!$DE$2:$DE$41</definedName>
    <definedName name="WEST_BENGAL">FormData!$DF$2:$DF$41</definedName>
  </definedNames>
  <calcPr calcId="144525"/>
  <fileRecoveryPr autoRecover="0"/>
</workbook>
</file>

<file path=xl/calcChain.xml><?xml version="1.0" encoding="utf-8"?>
<calcChain xmlns="http://schemas.openxmlformats.org/spreadsheetml/2006/main">
  <c r="D517" i="1" l="1"/>
  <c r="D516" i="1"/>
  <c r="D515" i="1"/>
  <c r="D514" i="1"/>
  <c r="D513" i="1"/>
  <c r="D512" i="1"/>
  <c r="D511" i="1"/>
  <c r="D510" i="1"/>
  <c r="D509" i="1"/>
  <c r="D508" i="1"/>
  <c r="D507" i="1"/>
  <c r="D506" i="1"/>
  <c r="D505" i="1"/>
  <c r="D504" i="1"/>
  <c r="D503" i="1"/>
  <c r="D502" i="1"/>
  <c r="D501" i="1"/>
  <c r="C517" i="1"/>
  <c r="C516" i="1"/>
  <c r="K515" i="1"/>
  <c r="J515" i="1"/>
  <c r="I515" i="1"/>
  <c r="G515" i="1"/>
  <c r="F515" i="1"/>
  <c r="E515" i="1"/>
  <c r="C515" i="1"/>
  <c r="K514" i="1"/>
  <c r="J514" i="1"/>
  <c r="I514" i="1"/>
  <c r="G514" i="1"/>
  <c r="F514" i="1"/>
  <c r="E514" i="1"/>
  <c r="C514" i="1"/>
  <c r="K513" i="1"/>
  <c r="J513" i="1"/>
  <c r="I513" i="1"/>
  <c r="G513" i="1"/>
  <c r="F513" i="1"/>
  <c r="E513" i="1"/>
  <c r="C513" i="1"/>
  <c r="K512" i="1"/>
  <c r="J512" i="1"/>
  <c r="I512" i="1"/>
  <c r="G512" i="1"/>
  <c r="F512" i="1"/>
  <c r="E512" i="1"/>
  <c r="C512" i="1"/>
  <c r="K511" i="1"/>
  <c r="J511" i="1"/>
  <c r="I511" i="1"/>
  <c r="G511" i="1"/>
  <c r="F511" i="1"/>
  <c r="E511" i="1"/>
  <c r="C511" i="1"/>
  <c r="C510" i="1"/>
  <c r="K509" i="1"/>
  <c r="J509" i="1"/>
  <c r="I509" i="1"/>
  <c r="G509" i="1"/>
  <c r="F509" i="1"/>
  <c r="E509" i="1"/>
  <c r="C509" i="1"/>
  <c r="K508" i="1"/>
  <c r="J508" i="1"/>
  <c r="I508" i="1"/>
  <c r="G508" i="1"/>
  <c r="F508" i="1"/>
  <c r="E508" i="1"/>
  <c r="C508" i="1"/>
  <c r="K507" i="1"/>
  <c r="J507" i="1"/>
  <c r="I507" i="1"/>
  <c r="G507" i="1"/>
  <c r="F507" i="1"/>
  <c r="E507" i="1"/>
  <c r="C507" i="1"/>
  <c r="K506" i="1"/>
  <c r="J506" i="1"/>
  <c r="I506" i="1"/>
  <c r="G506" i="1"/>
  <c r="F506" i="1"/>
  <c r="E506" i="1"/>
  <c r="C506" i="1"/>
  <c r="C505" i="1"/>
  <c r="K504" i="1"/>
  <c r="J504" i="1"/>
  <c r="I504" i="1"/>
  <c r="G504" i="1"/>
  <c r="F504" i="1"/>
  <c r="E504" i="1"/>
  <c r="C504" i="1"/>
  <c r="K503" i="1"/>
  <c r="J503" i="1"/>
  <c r="I503" i="1"/>
  <c r="G503" i="1"/>
  <c r="F503" i="1"/>
  <c r="E503" i="1"/>
  <c r="C503" i="1"/>
  <c r="K502" i="1"/>
  <c r="J502" i="1"/>
  <c r="I502" i="1"/>
  <c r="G502" i="1"/>
  <c r="F502" i="1"/>
  <c r="E502" i="1"/>
  <c r="C502" i="1"/>
  <c r="K501" i="1"/>
  <c r="J501" i="1"/>
  <c r="I501" i="1"/>
  <c r="G501" i="1"/>
  <c r="F501" i="1"/>
  <c r="E501" i="1"/>
  <c r="C501" i="1"/>
  <c r="K11" i="31" l="1"/>
  <c r="CV207" i="24" l="1"/>
  <c r="CW207" i="24"/>
  <c r="CX207" i="24"/>
  <c r="CU207" i="24"/>
  <c r="CU204" i="24"/>
  <c r="CV229" i="23"/>
  <c r="CW229" i="23"/>
  <c r="CX229" i="23"/>
  <c r="CU229" i="23"/>
  <c r="CU226" i="23"/>
  <c r="CV207" i="23"/>
  <c r="CW207" i="23"/>
  <c r="CX207" i="23"/>
  <c r="CU207" i="23"/>
  <c r="CU204" i="23"/>
  <c r="BA227" i="10" l="1"/>
  <c r="BA226" i="10"/>
  <c r="BA228" i="12" l="1"/>
  <c r="AK211" i="1" l="1"/>
  <c r="BA225" i="3" l="1"/>
  <c r="G26" i="3"/>
  <c r="BF225" i="3" s="1"/>
  <c r="H26" i="3"/>
  <c r="BG225" i="3" s="1"/>
  <c r="J26" i="3"/>
  <c r="BI225" i="3" s="1"/>
  <c r="K26" i="3"/>
  <c r="BJ225" i="3" s="1"/>
  <c r="L26" i="3"/>
  <c r="BK225" i="3" s="1"/>
  <c r="F26" i="3"/>
  <c r="BE225" i="3" s="1"/>
  <c r="D26" i="3"/>
  <c r="BC225" i="3" s="1"/>
  <c r="BA218" i="16" l="1"/>
  <c r="H12" i="31" l="1"/>
  <c r="BE223" i="17" l="1"/>
  <c r="BF223" i="17"/>
  <c r="BG223" i="17"/>
  <c r="BH223" i="17"/>
  <c r="BI223" i="17"/>
  <c r="BK223" i="17"/>
  <c r="BL223" i="17"/>
  <c r="BM223" i="17"/>
  <c r="BN223" i="17"/>
  <c r="BO223" i="17"/>
  <c r="BP223" i="17"/>
  <c r="BR223" i="17"/>
  <c r="BS223" i="17"/>
  <c r="BT223" i="17"/>
  <c r="BU223" i="17"/>
  <c r="BV223" i="17"/>
  <c r="BW223" i="17"/>
  <c r="BD223" i="17"/>
  <c r="BD233" i="19"/>
  <c r="BE233" i="19"/>
  <c r="BF233" i="19"/>
  <c r="BG233" i="19"/>
  <c r="BH233" i="19"/>
  <c r="BJ233" i="19"/>
  <c r="BK233" i="19"/>
  <c r="BL233" i="19"/>
  <c r="BM233" i="19"/>
  <c r="BN233" i="19"/>
  <c r="BO233" i="19"/>
  <c r="BQ233" i="19"/>
  <c r="BR233" i="19"/>
  <c r="BS233" i="19"/>
  <c r="BT233" i="19"/>
  <c r="BU233" i="19"/>
  <c r="BV233" i="19"/>
  <c r="BC233" i="19"/>
  <c r="X34" i="19"/>
  <c r="BW233" i="19" s="1"/>
  <c r="Q34" i="19"/>
  <c r="BP233" i="19" s="1"/>
  <c r="BD201" i="22" l="1"/>
  <c r="BA232" i="22"/>
  <c r="BA233" i="22"/>
  <c r="BA234" i="22"/>
  <c r="BA231" i="22"/>
  <c r="BA228" i="25"/>
  <c r="BA229" i="25"/>
  <c r="BA227" i="25"/>
  <c r="BD201" i="25"/>
  <c r="BA219" i="24" l="1"/>
  <c r="BD201" i="24"/>
  <c r="BA219" i="23"/>
  <c r="BA218" i="23"/>
  <c r="BD201" i="23"/>
  <c r="C502" i="17"/>
  <c r="D502" i="17"/>
  <c r="C503" i="17"/>
  <c r="D503" i="17"/>
  <c r="C504" i="17"/>
  <c r="D504" i="17"/>
  <c r="E504" i="17"/>
  <c r="F504" i="17"/>
  <c r="G504" i="17"/>
  <c r="H504" i="17"/>
  <c r="I504" i="17"/>
  <c r="J504" i="17"/>
  <c r="L504" i="17"/>
  <c r="M504" i="17"/>
  <c r="N504" i="17"/>
  <c r="O504" i="17"/>
  <c r="P504" i="17"/>
  <c r="Q504" i="17"/>
  <c r="S504" i="17"/>
  <c r="T504" i="17"/>
  <c r="U504" i="17"/>
  <c r="V504" i="17"/>
  <c r="W504" i="17"/>
  <c r="X504" i="17"/>
  <c r="C505" i="17"/>
  <c r="D505" i="17"/>
  <c r="E505" i="17"/>
  <c r="F505" i="17"/>
  <c r="G505" i="17"/>
  <c r="H505" i="17"/>
  <c r="I505" i="17"/>
  <c r="J505" i="17"/>
  <c r="L505" i="17"/>
  <c r="M505" i="17"/>
  <c r="N505" i="17"/>
  <c r="O505" i="17"/>
  <c r="P505" i="17"/>
  <c r="Q505" i="17"/>
  <c r="S505" i="17"/>
  <c r="T505" i="17"/>
  <c r="U505" i="17"/>
  <c r="V505" i="17"/>
  <c r="W505" i="17"/>
  <c r="X505" i="17"/>
  <c r="C506" i="17"/>
  <c r="D506" i="17"/>
  <c r="E506" i="17"/>
  <c r="F506" i="17"/>
  <c r="G506" i="17"/>
  <c r="H506" i="17"/>
  <c r="I506" i="17"/>
  <c r="J506" i="17"/>
  <c r="L506" i="17"/>
  <c r="M506" i="17"/>
  <c r="N506" i="17"/>
  <c r="O506" i="17"/>
  <c r="P506" i="17"/>
  <c r="Q506" i="17"/>
  <c r="S506" i="17"/>
  <c r="T506" i="17"/>
  <c r="U506" i="17"/>
  <c r="V506" i="17"/>
  <c r="W506" i="17"/>
  <c r="X506" i="17"/>
  <c r="C507" i="17"/>
  <c r="D507" i="17"/>
  <c r="E507" i="17"/>
  <c r="F507" i="17"/>
  <c r="G507" i="17"/>
  <c r="H507" i="17"/>
  <c r="I507" i="17"/>
  <c r="J507" i="17"/>
  <c r="L507" i="17"/>
  <c r="M507" i="17"/>
  <c r="N507" i="17"/>
  <c r="O507" i="17"/>
  <c r="P507" i="17"/>
  <c r="Q507" i="17"/>
  <c r="S507" i="17"/>
  <c r="T507" i="17"/>
  <c r="U507" i="17"/>
  <c r="V507" i="17"/>
  <c r="W507" i="17"/>
  <c r="X507" i="17"/>
  <c r="C508" i="17"/>
  <c r="D508" i="17"/>
  <c r="E508" i="17"/>
  <c r="F508" i="17"/>
  <c r="G508" i="17"/>
  <c r="H508" i="17"/>
  <c r="I508" i="17"/>
  <c r="J508" i="17"/>
  <c r="L508" i="17"/>
  <c r="M508" i="17"/>
  <c r="N508" i="17"/>
  <c r="O508" i="17"/>
  <c r="P508" i="17"/>
  <c r="Q508" i="17"/>
  <c r="S508" i="17"/>
  <c r="T508" i="17"/>
  <c r="U508" i="17"/>
  <c r="V508" i="17"/>
  <c r="W508" i="17"/>
  <c r="X508" i="17"/>
  <c r="C509" i="17"/>
  <c r="D509" i="17"/>
  <c r="E509" i="17"/>
  <c r="F509" i="17"/>
  <c r="G509" i="17"/>
  <c r="H509" i="17"/>
  <c r="I509" i="17"/>
  <c r="J509" i="17"/>
  <c r="L509" i="17"/>
  <c r="M509" i="17"/>
  <c r="N509" i="17"/>
  <c r="O509" i="17"/>
  <c r="P509" i="17"/>
  <c r="Q509" i="17"/>
  <c r="S509" i="17"/>
  <c r="T509" i="17"/>
  <c r="U509" i="17"/>
  <c r="V509" i="17"/>
  <c r="W509" i="17"/>
  <c r="X509" i="17"/>
  <c r="C510" i="17"/>
  <c r="D510" i="17"/>
  <c r="E510" i="17"/>
  <c r="F510" i="17"/>
  <c r="G510" i="17"/>
  <c r="H510" i="17"/>
  <c r="I510" i="17"/>
  <c r="J510" i="17"/>
  <c r="L510" i="17"/>
  <c r="M510" i="17"/>
  <c r="N510" i="17"/>
  <c r="O510" i="17"/>
  <c r="P510" i="17"/>
  <c r="Q510" i="17"/>
  <c r="S510" i="17"/>
  <c r="T510" i="17"/>
  <c r="U510" i="17"/>
  <c r="V510" i="17"/>
  <c r="W510" i="17"/>
  <c r="X510" i="17"/>
  <c r="C511" i="17"/>
  <c r="D511" i="17"/>
  <c r="C512" i="17"/>
  <c r="D512" i="17"/>
  <c r="C513" i="17"/>
  <c r="D513" i="17"/>
  <c r="E513" i="17"/>
  <c r="F513" i="17"/>
  <c r="G513" i="17"/>
  <c r="H513" i="17"/>
  <c r="I513" i="17"/>
  <c r="J513" i="17"/>
  <c r="L513" i="17"/>
  <c r="M513" i="17"/>
  <c r="N513" i="17"/>
  <c r="O513" i="17"/>
  <c r="P513" i="17"/>
  <c r="Q513" i="17"/>
  <c r="S513" i="17"/>
  <c r="T513" i="17"/>
  <c r="U513" i="17"/>
  <c r="V513" i="17"/>
  <c r="W513" i="17"/>
  <c r="X513" i="17"/>
  <c r="C514" i="17"/>
  <c r="D514" i="17"/>
  <c r="E514" i="17"/>
  <c r="F514" i="17"/>
  <c r="G514" i="17"/>
  <c r="H514" i="17"/>
  <c r="I514" i="17"/>
  <c r="J514" i="17"/>
  <c r="L514" i="17"/>
  <c r="M514" i="17"/>
  <c r="N514" i="17"/>
  <c r="O514" i="17"/>
  <c r="P514" i="17"/>
  <c r="Q514" i="17"/>
  <c r="S514" i="17"/>
  <c r="T514" i="17"/>
  <c r="U514" i="17"/>
  <c r="V514" i="17"/>
  <c r="W514" i="17"/>
  <c r="X514" i="17"/>
  <c r="C515" i="17"/>
  <c r="D515" i="17"/>
  <c r="E515" i="17"/>
  <c r="F515" i="17"/>
  <c r="G515" i="17"/>
  <c r="H515" i="17"/>
  <c r="I515" i="17"/>
  <c r="J515" i="17"/>
  <c r="L515" i="17"/>
  <c r="M515" i="17"/>
  <c r="N515" i="17"/>
  <c r="O515" i="17"/>
  <c r="P515" i="17"/>
  <c r="Q515" i="17"/>
  <c r="S515" i="17"/>
  <c r="T515" i="17"/>
  <c r="U515" i="17"/>
  <c r="V515" i="17"/>
  <c r="W515" i="17"/>
  <c r="X515" i="17"/>
  <c r="C516" i="17"/>
  <c r="D516" i="17"/>
  <c r="E516" i="17"/>
  <c r="F516" i="17"/>
  <c r="G516" i="17"/>
  <c r="H516" i="17"/>
  <c r="I516" i="17"/>
  <c r="J516" i="17"/>
  <c r="L516" i="17"/>
  <c r="M516" i="17"/>
  <c r="N516" i="17"/>
  <c r="O516" i="17"/>
  <c r="P516" i="17"/>
  <c r="Q516" i="17"/>
  <c r="S516" i="17"/>
  <c r="T516" i="17"/>
  <c r="U516" i="17"/>
  <c r="V516" i="17"/>
  <c r="W516" i="17"/>
  <c r="X516" i="17"/>
  <c r="C517" i="17"/>
  <c r="D517" i="17"/>
  <c r="C518" i="17"/>
  <c r="D518" i="17"/>
  <c r="C519" i="17"/>
  <c r="D519" i="17"/>
  <c r="E519" i="17"/>
  <c r="F519" i="17"/>
  <c r="G519" i="17"/>
  <c r="H519" i="17"/>
  <c r="I519" i="17"/>
  <c r="J519" i="17"/>
  <c r="L519" i="17"/>
  <c r="M519" i="17"/>
  <c r="N519" i="17"/>
  <c r="O519" i="17"/>
  <c r="P519" i="17"/>
  <c r="Q519" i="17"/>
  <c r="S519" i="17"/>
  <c r="T519" i="17"/>
  <c r="U519" i="17"/>
  <c r="V519" i="17"/>
  <c r="W519" i="17"/>
  <c r="X519" i="17"/>
  <c r="C520" i="17"/>
  <c r="D520" i="17"/>
  <c r="E520" i="17"/>
  <c r="F520" i="17"/>
  <c r="G520" i="17"/>
  <c r="H520" i="17"/>
  <c r="I520" i="17"/>
  <c r="J520" i="17"/>
  <c r="L520" i="17"/>
  <c r="M520" i="17"/>
  <c r="N520" i="17"/>
  <c r="O520" i="17"/>
  <c r="P520" i="17"/>
  <c r="Q520" i="17"/>
  <c r="S520" i="17"/>
  <c r="T520" i="17"/>
  <c r="U520" i="17"/>
  <c r="V520" i="17"/>
  <c r="W520" i="17"/>
  <c r="X520" i="17"/>
  <c r="C521" i="17"/>
  <c r="D521" i="17"/>
  <c r="E521" i="17"/>
  <c r="F521" i="17"/>
  <c r="G521" i="17"/>
  <c r="H521" i="17"/>
  <c r="I521" i="17"/>
  <c r="J521" i="17"/>
  <c r="L521" i="17"/>
  <c r="M521" i="17"/>
  <c r="N521" i="17"/>
  <c r="O521" i="17"/>
  <c r="P521" i="17"/>
  <c r="Q521" i="17"/>
  <c r="S521" i="17"/>
  <c r="T521" i="17"/>
  <c r="U521" i="17"/>
  <c r="V521" i="17"/>
  <c r="W521" i="17"/>
  <c r="X521" i="17"/>
  <c r="C522" i="17"/>
  <c r="D522" i="17"/>
  <c r="E522" i="17"/>
  <c r="F522" i="17"/>
  <c r="G522" i="17"/>
  <c r="H522" i="17"/>
  <c r="I522" i="17"/>
  <c r="J522" i="17"/>
  <c r="L522" i="17"/>
  <c r="M522" i="17"/>
  <c r="N522" i="17"/>
  <c r="O522" i="17"/>
  <c r="P522" i="17"/>
  <c r="Q522" i="17"/>
  <c r="S522" i="17"/>
  <c r="T522" i="17"/>
  <c r="U522" i="17"/>
  <c r="V522" i="17"/>
  <c r="W522" i="17"/>
  <c r="X522" i="17"/>
  <c r="C523" i="17"/>
  <c r="D523" i="17"/>
  <c r="E523" i="17"/>
  <c r="F523" i="17"/>
  <c r="G523" i="17"/>
  <c r="H523" i="17"/>
  <c r="I523" i="17"/>
  <c r="J523" i="17"/>
  <c r="L523" i="17"/>
  <c r="M523" i="17"/>
  <c r="N523" i="17"/>
  <c r="O523" i="17"/>
  <c r="P523" i="17"/>
  <c r="Q523" i="17"/>
  <c r="S523" i="17"/>
  <c r="T523" i="17"/>
  <c r="U523" i="17"/>
  <c r="V523" i="17"/>
  <c r="W523" i="17"/>
  <c r="X523" i="17"/>
  <c r="C524" i="17"/>
  <c r="D524" i="17"/>
  <c r="E524" i="17"/>
  <c r="F524" i="17"/>
  <c r="G524" i="17"/>
  <c r="H524" i="17"/>
  <c r="I524" i="17"/>
  <c r="J524" i="17"/>
  <c r="L524" i="17"/>
  <c r="M524" i="17"/>
  <c r="N524" i="17"/>
  <c r="O524" i="17"/>
  <c r="P524" i="17"/>
  <c r="Q524" i="17"/>
  <c r="S524" i="17"/>
  <c r="T524" i="17"/>
  <c r="U524" i="17"/>
  <c r="V524" i="17"/>
  <c r="W524" i="17"/>
  <c r="X524" i="17"/>
  <c r="C525" i="17"/>
  <c r="D525" i="17"/>
  <c r="BB239" i="17"/>
  <c r="BB240" i="17"/>
  <c r="BB241" i="17"/>
  <c r="BF201" i="17"/>
  <c r="BA236" i="17"/>
  <c r="BA237" i="17"/>
  <c r="BA235" i="17"/>
  <c r="BA224" i="17"/>
  <c r="BB223" i="17"/>
  <c r="BA217" i="17"/>
  <c r="BA218" i="17"/>
  <c r="BA239" i="18"/>
  <c r="BA240" i="18"/>
  <c r="BA241" i="18"/>
  <c r="BA238" i="18"/>
  <c r="BE201" i="18"/>
  <c r="BA217" i="16"/>
  <c r="BD201" i="16"/>
  <c r="BB213" i="16"/>
  <c r="BC213" i="16"/>
  <c r="BD213" i="16"/>
  <c r="BE213" i="16"/>
  <c r="BF213" i="16"/>
  <c r="BH213" i="16"/>
  <c r="BI213" i="16"/>
  <c r="BJ213" i="16"/>
  <c r="BK213" i="16"/>
  <c r="BM213" i="16"/>
  <c r="BN213" i="16"/>
  <c r="BO213" i="16"/>
  <c r="BP213" i="16"/>
  <c r="BA213" i="16"/>
  <c r="C502" i="16"/>
  <c r="D502" i="16"/>
  <c r="E502" i="16"/>
  <c r="F502" i="16"/>
  <c r="G502" i="16"/>
  <c r="H502" i="16"/>
  <c r="J502" i="16"/>
  <c r="K502" i="16"/>
  <c r="L502" i="16"/>
  <c r="M502" i="16"/>
  <c r="O502" i="16"/>
  <c r="P502" i="16"/>
  <c r="Q502" i="16"/>
  <c r="R502" i="16"/>
  <c r="C503" i="16"/>
  <c r="D503" i="16"/>
  <c r="E503" i="16"/>
  <c r="F503" i="16"/>
  <c r="G503" i="16"/>
  <c r="H503" i="16"/>
  <c r="J503" i="16"/>
  <c r="K503" i="16"/>
  <c r="L503" i="16"/>
  <c r="M503" i="16"/>
  <c r="O503" i="16"/>
  <c r="P503" i="16"/>
  <c r="Q503" i="16"/>
  <c r="R503" i="16"/>
  <c r="C504" i="16"/>
  <c r="D504" i="16"/>
  <c r="E504" i="16"/>
  <c r="F504" i="16"/>
  <c r="G504" i="16"/>
  <c r="H504" i="16"/>
  <c r="J504" i="16"/>
  <c r="K504" i="16"/>
  <c r="L504" i="16"/>
  <c r="M504" i="16"/>
  <c r="O504" i="16"/>
  <c r="P504" i="16"/>
  <c r="Q504" i="16"/>
  <c r="R504" i="16"/>
  <c r="C505" i="16"/>
  <c r="D505" i="16"/>
  <c r="E505" i="16"/>
  <c r="F505" i="16"/>
  <c r="G505" i="16"/>
  <c r="H505" i="16"/>
  <c r="J505" i="16"/>
  <c r="K505" i="16"/>
  <c r="L505" i="16"/>
  <c r="M505" i="16"/>
  <c r="O505" i="16"/>
  <c r="P505" i="16"/>
  <c r="Q505" i="16"/>
  <c r="R505" i="16"/>
  <c r="C506" i="16"/>
  <c r="D506" i="16"/>
  <c r="E506" i="16"/>
  <c r="F506" i="16"/>
  <c r="G506" i="16"/>
  <c r="H506" i="16"/>
  <c r="J506" i="16"/>
  <c r="K506" i="16"/>
  <c r="L506" i="16"/>
  <c r="M506" i="16"/>
  <c r="O506" i="16"/>
  <c r="P506" i="16"/>
  <c r="Q506" i="16"/>
  <c r="R506" i="16"/>
  <c r="C507" i="16"/>
  <c r="D507" i="16"/>
  <c r="BA229" i="10" l="1"/>
  <c r="BA228" i="10"/>
  <c r="BD201" i="10"/>
  <c r="BA227" i="3" l="1"/>
  <c r="BA226" i="3"/>
  <c r="BD200" i="3"/>
  <c r="BA229" i="12"/>
  <c r="BA227" i="12"/>
  <c r="BD201" i="12"/>
  <c r="AK212" i="1" l="1"/>
  <c r="AK210" i="1"/>
  <c r="C502" i="5"/>
  <c r="D502" i="5"/>
  <c r="E502" i="5"/>
  <c r="F502" i="5"/>
  <c r="G502" i="5"/>
  <c r="H502" i="5"/>
  <c r="I502" i="5"/>
  <c r="J502" i="5"/>
  <c r="L502" i="5"/>
  <c r="M502" i="5"/>
  <c r="N502" i="5"/>
  <c r="O502" i="5"/>
  <c r="P502" i="5"/>
  <c r="Q502" i="5"/>
  <c r="S502" i="5"/>
  <c r="T502" i="5"/>
  <c r="U502" i="5"/>
  <c r="V502" i="5"/>
  <c r="W502" i="5"/>
  <c r="X502" i="5"/>
  <c r="C503" i="5"/>
  <c r="D503" i="5"/>
  <c r="E503" i="5"/>
  <c r="F503" i="5"/>
  <c r="G503" i="5"/>
  <c r="H503" i="5"/>
  <c r="I503" i="5"/>
  <c r="J503" i="5"/>
  <c r="L503" i="5"/>
  <c r="M503" i="5"/>
  <c r="N503" i="5"/>
  <c r="O503" i="5"/>
  <c r="P503" i="5"/>
  <c r="Q503" i="5"/>
  <c r="S503" i="5"/>
  <c r="T503" i="5"/>
  <c r="U503" i="5"/>
  <c r="V503" i="5"/>
  <c r="W503" i="5"/>
  <c r="X503" i="5"/>
  <c r="C504" i="5"/>
  <c r="D504" i="5"/>
  <c r="E504" i="5"/>
  <c r="F504" i="5"/>
  <c r="G504" i="5"/>
  <c r="H504" i="5"/>
  <c r="I504" i="5"/>
  <c r="J504" i="5"/>
  <c r="L504" i="5"/>
  <c r="M504" i="5"/>
  <c r="N504" i="5"/>
  <c r="O504" i="5"/>
  <c r="P504" i="5"/>
  <c r="Q504" i="5"/>
  <c r="S504" i="5"/>
  <c r="T504" i="5"/>
  <c r="U504" i="5"/>
  <c r="V504" i="5"/>
  <c r="W504" i="5"/>
  <c r="X504" i="5"/>
  <c r="C505" i="5"/>
  <c r="D505" i="5"/>
  <c r="C506" i="5"/>
  <c r="D506" i="5"/>
  <c r="E506" i="5"/>
  <c r="F506" i="5"/>
  <c r="G506" i="5"/>
  <c r="H506" i="5"/>
  <c r="I506" i="5"/>
  <c r="J506" i="5"/>
  <c r="L506" i="5"/>
  <c r="M506" i="5"/>
  <c r="N506" i="5"/>
  <c r="O506" i="5"/>
  <c r="P506" i="5"/>
  <c r="Q506" i="5"/>
  <c r="S506" i="5"/>
  <c r="T506" i="5"/>
  <c r="U506" i="5"/>
  <c r="V506" i="5"/>
  <c r="W506" i="5"/>
  <c r="X506" i="5"/>
  <c r="C507" i="5"/>
  <c r="D507" i="5"/>
  <c r="E507" i="5"/>
  <c r="F507" i="5"/>
  <c r="G507" i="5"/>
  <c r="H507" i="5"/>
  <c r="I507" i="5"/>
  <c r="J507" i="5"/>
  <c r="L507" i="5"/>
  <c r="M507" i="5"/>
  <c r="N507" i="5"/>
  <c r="O507" i="5"/>
  <c r="P507" i="5"/>
  <c r="Q507" i="5"/>
  <c r="S507" i="5"/>
  <c r="T507" i="5"/>
  <c r="U507" i="5"/>
  <c r="V507" i="5"/>
  <c r="W507" i="5"/>
  <c r="X507" i="5"/>
  <c r="C508" i="5"/>
  <c r="D508" i="5"/>
  <c r="E508" i="5"/>
  <c r="F508" i="5"/>
  <c r="G508" i="5"/>
  <c r="H508" i="5"/>
  <c r="I508" i="5"/>
  <c r="J508" i="5"/>
  <c r="L508" i="5"/>
  <c r="M508" i="5"/>
  <c r="N508" i="5"/>
  <c r="O508" i="5"/>
  <c r="P508" i="5"/>
  <c r="Q508" i="5"/>
  <c r="S508" i="5"/>
  <c r="T508" i="5"/>
  <c r="U508" i="5"/>
  <c r="V508" i="5"/>
  <c r="W508" i="5"/>
  <c r="X508" i="5"/>
  <c r="C509" i="5"/>
  <c r="D509" i="5"/>
  <c r="E509" i="5"/>
  <c r="F509" i="5"/>
  <c r="G509" i="5"/>
  <c r="H509" i="5"/>
  <c r="I509" i="5"/>
  <c r="J509" i="5"/>
  <c r="L509" i="5"/>
  <c r="M509" i="5"/>
  <c r="N509" i="5"/>
  <c r="O509" i="5"/>
  <c r="P509" i="5"/>
  <c r="Q509" i="5"/>
  <c r="S509" i="5"/>
  <c r="T509" i="5"/>
  <c r="U509" i="5"/>
  <c r="V509" i="5"/>
  <c r="W509" i="5"/>
  <c r="X509" i="5"/>
  <c r="C510" i="5"/>
  <c r="D510" i="5"/>
  <c r="C511" i="5"/>
  <c r="D511" i="5"/>
  <c r="E511" i="5"/>
  <c r="F511" i="5"/>
  <c r="G511" i="5"/>
  <c r="H511" i="5"/>
  <c r="I511" i="5"/>
  <c r="J511" i="5"/>
  <c r="L511" i="5"/>
  <c r="M511" i="5"/>
  <c r="N511" i="5"/>
  <c r="O511" i="5"/>
  <c r="P511" i="5"/>
  <c r="Q511" i="5"/>
  <c r="S511" i="5"/>
  <c r="T511" i="5"/>
  <c r="U511" i="5"/>
  <c r="V511" i="5"/>
  <c r="W511" i="5"/>
  <c r="X511" i="5"/>
  <c r="C512" i="5"/>
  <c r="D512" i="5"/>
  <c r="E512" i="5"/>
  <c r="F512" i="5"/>
  <c r="G512" i="5"/>
  <c r="H512" i="5"/>
  <c r="I512" i="5"/>
  <c r="J512" i="5"/>
  <c r="L512" i="5"/>
  <c r="M512" i="5"/>
  <c r="N512" i="5"/>
  <c r="O512" i="5"/>
  <c r="P512" i="5"/>
  <c r="Q512" i="5"/>
  <c r="S512" i="5"/>
  <c r="T512" i="5"/>
  <c r="U512" i="5"/>
  <c r="V512" i="5"/>
  <c r="W512" i="5"/>
  <c r="X512" i="5"/>
  <c r="C513" i="5"/>
  <c r="D513" i="5"/>
  <c r="C514" i="5"/>
  <c r="D514" i="5"/>
  <c r="E514" i="5"/>
  <c r="F514" i="5"/>
  <c r="G514" i="5"/>
  <c r="H514" i="5"/>
  <c r="I514" i="5"/>
  <c r="J514" i="5"/>
  <c r="L514" i="5"/>
  <c r="M514" i="5"/>
  <c r="N514" i="5"/>
  <c r="O514" i="5"/>
  <c r="P514" i="5"/>
  <c r="Q514" i="5"/>
  <c r="S514" i="5"/>
  <c r="T514" i="5"/>
  <c r="U514" i="5"/>
  <c r="V514" i="5"/>
  <c r="W514" i="5"/>
  <c r="X514" i="5"/>
  <c r="C515" i="5"/>
  <c r="D515" i="5"/>
  <c r="E515" i="5"/>
  <c r="F515" i="5"/>
  <c r="G515" i="5"/>
  <c r="H515" i="5"/>
  <c r="I515" i="5"/>
  <c r="J515" i="5"/>
  <c r="L515" i="5"/>
  <c r="M515" i="5"/>
  <c r="N515" i="5"/>
  <c r="O515" i="5"/>
  <c r="P515" i="5"/>
  <c r="Q515" i="5"/>
  <c r="S515" i="5"/>
  <c r="T515" i="5"/>
  <c r="U515" i="5"/>
  <c r="V515" i="5"/>
  <c r="W515" i="5"/>
  <c r="X515" i="5"/>
  <c r="C516" i="5"/>
  <c r="D516" i="5"/>
  <c r="E516" i="5"/>
  <c r="F516" i="5"/>
  <c r="G516" i="5"/>
  <c r="H516" i="5"/>
  <c r="I516" i="5"/>
  <c r="J516" i="5"/>
  <c r="L516" i="5"/>
  <c r="M516" i="5"/>
  <c r="N516" i="5"/>
  <c r="O516" i="5"/>
  <c r="P516" i="5"/>
  <c r="Q516" i="5"/>
  <c r="S516" i="5"/>
  <c r="T516" i="5"/>
  <c r="U516" i="5"/>
  <c r="V516" i="5"/>
  <c r="W516" i="5"/>
  <c r="X516" i="5"/>
  <c r="C517" i="5"/>
  <c r="D517" i="5"/>
  <c r="E517" i="5"/>
  <c r="F517" i="5"/>
  <c r="G517" i="5"/>
  <c r="H517" i="5"/>
  <c r="I517" i="5"/>
  <c r="J517" i="5"/>
  <c r="L517" i="5"/>
  <c r="M517" i="5"/>
  <c r="N517" i="5"/>
  <c r="O517" i="5"/>
  <c r="P517" i="5"/>
  <c r="Q517" i="5"/>
  <c r="S517" i="5"/>
  <c r="T517" i="5"/>
  <c r="U517" i="5"/>
  <c r="V517" i="5"/>
  <c r="W517" i="5"/>
  <c r="X517" i="5"/>
  <c r="C518" i="5"/>
  <c r="D518" i="5"/>
  <c r="E518" i="5"/>
  <c r="F518" i="5"/>
  <c r="G518" i="5"/>
  <c r="H518" i="5"/>
  <c r="I518" i="5"/>
  <c r="J518" i="5"/>
  <c r="L518" i="5"/>
  <c r="M518" i="5"/>
  <c r="N518" i="5"/>
  <c r="O518" i="5"/>
  <c r="P518" i="5"/>
  <c r="Q518" i="5"/>
  <c r="S518" i="5"/>
  <c r="T518" i="5"/>
  <c r="U518" i="5"/>
  <c r="V518" i="5"/>
  <c r="W518" i="5"/>
  <c r="X518" i="5"/>
  <c r="C519" i="5"/>
  <c r="D519" i="5"/>
  <c r="E519" i="5"/>
  <c r="F519" i="5"/>
  <c r="G519" i="5"/>
  <c r="H519" i="5"/>
  <c r="I519" i="5"/>
  <c r="J519" i="5"/>
  <c r="L519" i="5"/>
  <c r="M519" i="5"/>
  <c r="N519" i="5"/>
  <c r="O519" i="5"/>
  <c r="P519" i="5"/>
  <c r="Q519" i="5"/>
  <c r="S519" i="5"/>
  <c r="T519" i="5"/>
  <c r="U519" i="5"/>
  <c r="V519" i="5"/>
  <c r="W519" i="5"/>
  <c r="X519" i="5"/>
  <c r="C520" i="5"/>
  <c r="D520" i="5"/>
  <c r="E520" i="5"/>
  <c r="F520" i="5"/>
  <c r="G520" i="5"/>
  <c r="H520" i="5"/>
  <c r="I520" i="5"/>
  <c r="J520" i="5"/>
  <c r="L520" i="5"/>
  <c r="M520" i="5"/>
  <c r="N520" i="5"/>
  <c r="O520" i="5"/>
  <c r="P520" i="5"/>
  <c r="Q520" i="5"/>
  <c r="S520" i="5"/>
  <c r="T520" i="5"/>
  <c r="U520" i="5"/>
  <c r="V520" i="5"/>
  <c r="W520" i="5"/>
  <c r="X520" i="5"/>
  <c r="C521" i="5"/>
  <c r="D521" i="5"/>
  <c r="C502" i="28"/>
  <c r="D502" i="28"/>
  <c r="E502" i="28"/>
  <c r="F502" i="28"/>
  <c r="G502" i="28"/>
  <c r="H502" i="28"/>
  <c r="J502" i="28"/>
  <c r="K502" i="28"/>
  <c r="L502" i="28"/>
  <c r="C503" i="28"/>
  <c r="D503" i="28"/>
  <c r="E503" i="28"/>
  <c r="F503" i="28"/>
  <c r="G503" i="28"/>
  <c r="H503" i="28"/>
  <c r="J503" i="28"/>
  <c r="K503" i="28"/>
  <c r="L503" i="28"/>
  <c r="C504" i="28"/>
  <c r="D504" i="28"/>
  <c r="E504" i="28"/>
  <c r="F504" i="28"/>
  <c r="G504" i="28"/>
  <c r="H504" i="28"/>
  <c r="J504" i="28"/>
  <c r="K504" i="28"/>
  <c r="L504" i="28"/>
  <c r="C505" i="28"/>
  <c r="D505" i="28"/>
  <c r="C506" i="28"/>
  <c r="D506" i="28"/>
  <c r="E506" i="28"/>
  <c r="F506" i="28"/>
  <c r="G506" i="28"/>
  <c r="H506" i="28"/>
  <c r="J506" i="28"/>
  <c r="K506" i="28"/>
  <c r="L506" i="28"/>
  <c r="C507" i="28"/>
  <c r="D507" i="28"/>
  <c r="E507" i="28"/>
  <c r="F507" i="28"/>
  <c r="G507" i="28"/>
  <c r="H507" i="28"/>
  <c r="J507" i="28"/>
  <c r="K507" i="28"/>
  <c r="L507" i="28"/>
  <c r="C508" i="28"/>
  <c r="D508" i="28"/>
  <c r="E508" i="28"/>
  <c r="F508" i="28"/>
  <c r="G508" i="28"/>
  <c r="H508" i="28"/>
  <c r="J508" i="28"/>
  <c r="K508" i="28"/>
  <c r="L508" i="28"/>
  <c r="C509" i="28"/>
  <c r="D509" i="28"/>
  <c r="E509" i="28"/>
  <c r="F509" i="28"/>
  <c r="G509" i="28"/>
  <c r="H509" i="28"/>
  <c r="J509" i="28"/>
  <c r="K509" i="28"/>
  <c r="L509" i="28"/>
  <c r="C510" i="28"/>
  <c r="D510" i="28"/>
  <c r="C511" i="28"/>
  <c r="D511" i="28"/>
  <c r="E511" i="28"/>
  <c r="F511" i="28"/>
  <c r="G511" i="28"/>
  <c r="H511" i="28"/>
  <c r="J511" i="28"/>
  <c r="K511" i="28"/>
  <c r="L511" i="28"/>
  <c r="C512" i="28"/>
  <c r="D512" i="28"/>
  <c r="E512" i="28"/>
  <c r="F512" i="28"/>
  <c r="G512" i="28"/>
  <c r="H512" i="28"/>
  <c r="J512" i="28"/>
  <c r="K512" i="28"/>
  <c r="L512" i="28"/>
  <c r="C513" i="28"/>
  <c r="D513" i="28"/>
  <c r="C514" i="28"/>
  <c r="D514" i="28"/>
  <c r="E514" i="28"/>
  <c r="F514" i="28"/>
  <c r="G514" i="28"/>
  <c r="H514" i="28"/>
  <c r="J514" i="28"/>
  <c r="K514" i="28"/>
  <c r="L514" i="28"/>
  <c r="C515" i="28"/>
  <c r="D515" i="28"/>
  <c r="E515" i="28"/>
  <c r="F515" i="28"/>
  <c r="G515" i="28"/>
  <c r="H515" i="28"/>
  <c r="J515" i="28"/>
  <c r="K515" i="28"/>
  <c r="L515" i="28"/>
  <c r="C516" i="28"/>
  <c r="D516" i="28"/>
  <c r="E516" i="28"/>
  <c r="F516" i="28"/>
  <c r="G516" i="28"/>
  <c r="H516" i="28"/>
  <c r="J516" i="28"/>
  <c r="K516" i="28"/>
  <c r="L516" i="28"/>
  <c r="C517" i="28"/>
  <c r="D517" i="28"/>
  <c r="E517" i="28"/>
  <c r="F517" i="28"/>
  <c r="G517" i="28"/>
  <c r="H517" i="28"/>
  <c r="J517" i="28"/>
  <c r="K517" i="28"/>
  <c r="L517" i="28"/>
  <c r="C518" i="28"/>
  <c r="D518" i="28"/>
  <c r="E518" i="28"/>
  <c r="F518" i="28"/>
  <c r="G518" i="28"/>
  <c r="H518" i="28"/>
  <c r="J518" i="28"/>
  <c r="K518" i="28"/>
  <c r="L518" i="28"/>
  <c r="C519" i="28"/>
  <c r="D519" i="28"/>
  <c r="E519" i="28"/>
  <c r="F519" i="28"/>
  <c r="G519" i="28"/>
  <c r="H519" i="28"/>
  <c r="J519" i="28"/>
  <c r="K519" i="28"/>
  <c r="L519" i="28"/>
  <c r="C520" i="28"/>
  <c r="D520" i="28"/>
  <c r="E520" i="28"/>
  <c r="F520" i="28"/>
  <c r="G520" i="28"/>
  <c r="H520" i="28"/>
  <c r="J520" i="28"/>
  <c r="K520" i="28"/>
  <c r="L520" i="28"/>
  <c r="C521" i="28"/>
  <c r="D521" i="28"/>
  <c r="BA253" i="6"/>
  <c r="BA254" i="6"/>
  <c r="BA252" i="6"/>
  <c r="BD201" i="6"/>
  <c r="BD201" i="29"/>
  <c r="BD201" i="8"/>
  <c r="BA223" i="29"/>
  <c r="BA252" i="8"/>
  <c r="BA253" i="8"/>
  <c r="BA251" i="8"/>
  <c r="C502" i="19"/>
  <c r="D502" i="19"/>
  <c r="E502" i="19"/>
  <c r="F502" i="19"/>
  <c r="G502" i="19"/>
  <c r="H502" i="19"/>
  <c r="I502" i="19"/>
  <c r="J502" i="19"/>
  <c r="L502" i="19"/>
  <c r="M502" i="19"/>
  <c r="N502" i="19"/>
  <c r="O502" i="19"/>
  <c r="P502" i="19"/>
  <c r="Q502" i="19"/>
  <c r="S502" i="19"/>
  <c r="T502" i="19"/>
  <c r="U502" i="19"/>
  <c r="V502" i="19"/>
  <c r="W502" i="19"/>
  <c r="X502" i="19"/>
  <c r="C503" i="19"/>
  <c r="D503" i="19"/>
  <c r="C504" i="19"/>
  <c r="D504" i="19"/>
  <c r="E504" i="19"/>
  <c r="F504" i="19"/>
  <c r="G504" i="19"/>
  <c r="H504" i="19"/>
  <c r="I504" i="19"/>
  <c r="J504" i="19"/>
  <c r="L504" i="19"/>
  <c r="M504" i="19"/>
  <c r="N504" i="19"/>
  <c r="O504" i="19"/>
  <c r="P504" i="19"/>
  <c r="Q504" i="19"/>
  <c r="S504" i="19"/>
  <c r="T504" i="19"/>
  <c r="U504" i="19"/>
  <c r="V504" i="19"/>
  <c r="W504" i="19"/>
  <c r="X504" i="19"/>
  <c r="C505" i="19"/>
  <c r="D505" i="19"/>
  <c r="E505" i="19"/>
  <c r="F505" i="19"/>
  <c r="G505" i="19"/>
  <c r="H505" i="19"/>
  <c r="I505" i="19"/>
  <c r="J505" i="19"/>
  <c r="L505" i="19"/>
  <c r="M505" i="19"/>
  <c r="N505" i="19"/>
  <c r="O505" i="19"/>
  <c r="P505" i="19"/>
  <c r="Q505" i="19"/>
  <c r="S505" i="19"/>
  <c r="T505" i="19"/>
  <c r="U505" i="19"/>
  <c r="V505" i="19"/>
  <c r="W505" i="19"/>
  <c r="X505" i="19"/>
  <c r="C506" i="19"/>
  <c r="D506" i="19"/>
  <c r="E506" i="19"/>
  <c r="F506" i="19"/>
  <c r="G506" i="19"/>
  <c r="H506" i="19"/>
  <c r="I506" i="19"/>
  <c r="J506" i="19"/>
  <c r="L506" i="19"/>
  <c r="M506" i="19"/>
  <c r="N506" i="19"/>
  <c r="O506" i="19"/>
  <c r="P506" i="19"/>
  <c r="Q506" i="19"/>
  <c r="S506" i="19"/>
  <c r="T506" i="19"/>
  <c r="U506" i="19"/>
  <c r="V506" i="19"/>
  <c r="W506" i="19"/>
  <c r="X506" i="19"/>
  <c r="C507" i="19"/>
  <c r="D507" i="19"/>
  <c r="E507" i="19"/>
  <c r="F507" i="19"/>
  <c r="G507" i="19"/>
  <c r="H507" i="19"/>
  <c r="I507" i="19"/>
  <c r="J507" i="19"/>
  <c r="L507" i="19"/>
  <c r="M507" i="19"/>
  <c r="N507" i="19"/>
  <c r="O507" i="19"/>
  <c r="P507" i="19"/>
  <c r="Q507" i="19"/>
  <c r="S507" i="19"/>
  <c r="T507" i="19"/>
  <c r="U507" i="19"/>
  <c r="V507" i="19"/>
  <c r="W507" i="19"/>
  <c r="X507" i="19"/>
  <c r="C508" i="19"/>
  <c r="D508" i="19"/>
  <c r="E508" i="19"/>
  <c r="F508" i="19"/>
  <c r="G508" i="19"/>
  <c r="H508" i="19"/>
  <c r="I508" i="19"/>
  <c r="J508" i="19"/>
  <c r="L508" i="19"/>
  <c r="M508" i="19"/>
  <c r="N508" i="19"/>
  <c r="O508" i="19"/>
  <c r="P508" i="19"/>
  <c r="Q508" i="19"/>
  <c r="S508" i="19"/>
  <c r="T508" i="19"/>
  <c r="U508" i="19"/>
  <c r="V508" i="19"/>
  <c r="W508" i="19"/>
  <c r="X508" i="19"/>
  <c r="C509" i="19"/>
  <c r="D509" i="19"/>
  <c r="E509" i="19"/>
  <c r="F509" i="19"/>
  <c r="G509" i="19"/>
  <c r="H509" i="19"/>
  <c r="I509" i="19"/>
  <c r="J509" i="19"/>
  <c r="L509" i="19"/>
  <c r="M509" i="19"/>
  <c r="N509" i="19"/>
  <c r="O509" i="19"/>
  <c r="P509" i="19"/>
  <c r="Q509" i="19"/>
  <c r="S509" i="19"/>
  <c r="T509" i="19"/>
  <c r="U509" i="19"/>
  <c r="V509" i="19"/>
  <c r="W509" i="19"/>
  <c r="X509" i="19"/>
  <c r="C510" i="19"/>
  <c r="D510" i="19"/>
  <c r="C511" i="19"/>
  <c r="D511" i="19"/>
  <c r="C512" i="19"/>
  <c r="D512" i="19"/>
  <c r="E512" i="19"/>
  <c r="F512" i="19"/>
  <c r="G512" i="19"/>
  <c r="H512" i="19"/>
  <c r="I512" i="19"/>
  <c r="J512" i="19"/>
  <c r="L512" i="19"/>
  <c r="M512" i="19"/>
  <c r="N512" i="19"/>
  <c r="O512" i="19"/>
  <c r="P512" i="19"/>
  <c r="Q512" i="19"/>
  <c r="S512" i="19"/>
  <c r="T512" i="19"/>
  <c r="U512" i="19"/>
  <c r="V512" i="19"/>
  <c r="W512" i="19"/>
  <c r="X512" i="19"/>
  <c r="C513" i="19"/>
  <c r="D513" i="19"/>
  <c r="E513" i="19"/>
  <c r="F513" i="19"/>
  <c r="G513" i="19"/>
  <c r="H513" i="19"/>
  <c r="I513" i="19"/>
  <c r="J513" i="19"/>
  <c r="L513" i="19"/>
  <c r="M513" i="19"/>
  <c r="N513" i="19"/>
  <c r="O513" i="19"/>
  <c r="P513" i="19"/>
  <c r="Q513" i="19"/>
  <c r="S513" i="19"/>
  <c r="T513" i="19"/>
  <c r="U513" i="19"/>
  <c r="V513" i="19"/>
  <c r="W513" i="19"/>
  <c r="X513" i="19"/>
  <c r="C514" i="19"/>
  <c r="D514" i="19"/>
  <c r="E514" i="19"/>
  <c r="F514" i="19"/>
  <c r="G514" i="19"/>
  <c r="H514" i="19"/>
  <c r="I514" i="19"/>
  <c r="J514" i="19"/>
  <c r="L514" i="19"/>
  <c r="M514" i="19"/>
  <c r="N514" i="19"/>
  <c r="O514" i="19"/>
  <c r="P514" i="19"/>
  <c r="Q514" i="19"/>
  <c r="S514" i="19"/>
  <c r="T514" i="19"/>
  <c r="U514" i="19"/>
  <c r="V514" i="19"/>
  <c r="W514" i="19"/>
  <c r="X514" i="19"/>
  <c r="C515" i="19"/>
  <c r="D515" i="19"/>
  <c r="C516" i="19"/>
  <c r="D516" i="19"/>
  <c r="E516" i="19"/>
  <c r="F516" i="19"/>
  <c r="G516" i="19"/>
  <c r="H516" i="19"/>
  <c r="I516" i="19"/>
  <c r="J516" i="19"/>
  <c r="L516" i="19"/>
  <c r="M516" i="19"/>
  <c r="N516" i="19"/>
  <c r="O516" i="19"/>
  <c r="P516" i="19"/>
  <c r="Q516" i="19"/>
  <c r="S516" i="19"/>
  <c r="T516" i="19"/>
  <c r="U516" i="19"/>
  <c r="V516" i="19"/>
  <c r="W516" i="19"/>
  <c r="X516" i="19"/>
  <c r="C517" i="19"/>
  <c r="D517" i="19"/>
  <c r="E517" i="19"/>
  <c r="F517" i="19"/>
  <c r="G517" i="19"/>
  <c r="H517" i="19"/>
  <c r="I517" i="19"/>
  <c r="J517" i="19"/>
  <c r="L517" i="19"/>
  <c r="M517" i="19"/>
  <c r="N517" i="19"/>
  <c r="O517" i="19"/>
  <c r="P517" i="19"/>
  <c r="Q517" i="19"/>
  <c r="S517" i="19"/>
  <c r="T517" i="19"/>
  <c r="U517" i="19"/>
  <c r="V517" i="19"/>
  <c r="W517" i="19"/>
  <c r="X517" i="19"/>
  <c r="C518" i="19"/>
  <c r="D518" i="19"/>
  <c r="E518" i="19"/>
  <c r="F518" i="19"/>
  <c r="G518" i="19"/>
  <c r="H518" i="19"/>
  <c r="I518" i="19"/>
  <c r="J518" i="19"/>
  <c r="L518" i="19"/>
  <c r="M518" i="19"/>
  <c r="N518" i="19"/>
  <c r="O518" i="19"/>
  <c r="P518" i="19"/>
  <c r="Q518" i="19"/>
  <c r="S518" i="19"/>
  <c r="T518" i="19"/>
  <c r="U518" i="19"/>
  <c r="V518" i="19"/>
  <c r="W518" i="19"/>
  <c r="X518" i="19"/>
  <c r="C519" i="19"/>
  <c r="D519" i="19"/>
  <c r="E519" i="19"/>
  <c r="F519" i="19"/>
  <c r="G519" i="19"/>
  <c r="H519" i="19"/>
  <c r="I519" i="19"/>
  <c r="J519" i="19"/>
  <c r="L519" i="19"/>
  <c r="M519" i="19"/>
  <c r="N519" i="19"/>
  <c r="O519" i="19"/>
  <c r="P519" i="19"/>
  <c r="Q519" i="19"/>
  <c r="S519" i="19"/>
  <c r="T519" i="19"/>
  <c r="U519" i="19"/>
  <c r="V519" i="19"/>
  <c r="W519" i="19"/>
  <c r="X519" i="19"/>
  <c r="C520" i="19"/>
  <c r="D520" i="19"/>
  <c r="E520" i="19"/>
  <c r="F520" i="19"/>
  <c r="G520" i="19"/>
  <c r="H520" i="19"/>
  <c r="I520" i="19"/>
  <c r="J520" i="19"/>
  <c r="L520" i="19"/>
  <c r="M520" i="19"/>
  <c r="N520" i="19"/>
  <c r="O520" i="19"/>
  <c r="P520" i="19"/>
  <c r="Q520" i="19"/>
  <c r="S520" i="19"/>
  <c r="T520" i="19"/>
  <c r="U520" i="19"/>
  <c r="V520" i="19"/>
  <c r="W520" i="19"/>
  <c r="X520" i="19"/>
  <c r="C521" i="19"/>
  <c r="D521" i="19"/>
  <c r="E521" i="19"/>
  <c r="F521" i="19"/>
  <c r="G521" i="19"/>
  <c r="H521" i="19"/>
  <c r="I521" i="19"/>
  <c r="J521" i="19"/>
  <c r="L521" i="19"/>
  <c r="M521" i="19"/>
  <c r="N521" i="19"/>
  <c r="O521" i="19"/>
  <c r="P521" i="19"/>
  <c r="Q521" i="19"/>
  <c r="S521" i="19"/>
  <c r="T521" i="19"/>
  <c r="U521" i="19"/>
  <c r="V521" i="19"/>
  <c r="W521" i="19"/>
  <c r="X521" i="19"/>
  <c r="C522" i="19"/>
  <c r="D522" i="19"/>
  <c r="E522" i="19"/>
  <c r="F522" i="19"/>
  <c r="G522" i="19"/>
  <c r="H522" i="19"/>
  <c r="I522" i="19"/>
  <c r="J522" i="19"/>
  <c r="L522" i="19"/>
  <c r="M522" i="19"/>
  <c r="N522" i="19"/>
  <c r="O522" i="19"/>
  <c r="P522" i="19"/>
  <c r="Q522" i="19"/>
  <c r="S522" i="19"/>
  <c r="T522" i="19"/>
  <c r="U522" i="19"/>
  <c r="V522" i="19"/>
  <c r="W522" i="19"/>
  <c r="X522" i="19"/>
  <c r="C523" i="19"/>
  <c r="D523" i="19"/>
  <c r="C524" i="19"/>
  <c r="D524" i="19"/>
  <c r="E524" i="19"/>
  <c r="F524" i="19"/>
  <c r="G524" i="19"/>
  <c r="H524" i="19"/>
  <c r="I524" i="19"/>
  <c r="J524" i="19"/>
  <c r="L524" i="19"/>
  <c r="M524" i="19"/>
  <c r="N524" i="19"/>
  <c r="O524" i="19"/>
  <c r="P524" i="19"/>
  <c r="Q524" i="19"/>
  <c r="S524" i="19"/>
  <c r="T524" i="19"/>
  <c r="U524" i="19"/>
  <c r="V524" i="19"/>
  <c r="W524" i="19"/>
  <c r="X524" i="19"/>
  <c r="C525" i="19"/>
  <c r="D525" i="19"/>
  <c r="E525" i="19"/>
  <c r="F525" i="19"/>
  <c r="G525" i="19"/>
  <c r="H525" i="19"/>
  <c r="I525" i="19"/>
  <c r="J525" i="19"/>
  <c r="L525" i="19"/>
  <c r="M525" i="19"/>
  <c r="N525" i="19"/>
  <c r="O525" i="19"/>
  <c r="P525" i="19"/>
  <c r="Q525" i="19"/>
  <c r="S525" i="19"/>
  <c r="T525" i="19"/>
  <c r="U525" i="19"/>
  <c r="V525" i="19"/>
  <c r="W525" i="19"/>
  <c r="X525" i="19"/>
  <c r="C526" i="19"/>
  <c r="D526" i="19"/>
  <c r="E526" i="19"/>
  <c r="F526" i="19"/>
  <c r="G526" i="19"/>
  <c r="H526" i="19"/>
  <c r="I526" i="19"/>
  <c r="J526" i="19"/>
  <c r="L526" i="19"/>
  <c r="M526" i="19"/>
  <c r="N526" i="19"/>
  <c r="O526" i="19"/>
  <c r="P526" i="19"/>
  <c r="Q526" i="19"/>
  <c r="R526" i="19"/>
  <c r="S526" i="19"/>
  <c r="T526" i="19"/>
  <c r="U526" i="19"/>
  <c r="V526" i="19"/>
  <c r="W526" i="19"/>
  <c r="X526" i="19"/>
  <c r="Y526" i="19"/>
  <c r="C527" i="19"/>
  <c r="D527" i="19"/>
  <c r="E527" i="19"/>
  <c r="F527" i="19"/>
  <c r="G527" i="19"/>
  <c r="H527" i="19"/>
  <c r="I527" i="19"/>
  <c r="J527" i="19"/>
  <c r="L527" i="19"/>
  <c r="M527" i="19"/>
  <c r="N527" i="19"/>
  <c r="O527" i="19"/>
  <c r="P527" i="19"/>
  <c r="Q527" i="19"/>
  <c r="S527" i="19"/>
  <c r="T527" i="19"/>
  <c r="U527" i="19"/>
  <c r="V527" i="19"/>
  <c r="W527" i="19"/>
  <c r="X527" i="19"/>
  <c r="C528" i="19"/>
  <c r="D528" i="19"/>
  <c r="E528" i="19"/>
  <c r="F528" i="19"/>
  <c r="G528" i="19"/>
  <c r="H528" i="19"/>
  <c r="I528" i="19"/>
  <c r="J528" i="19"/>
  <c r="L528" i="19"/>
  <c r="M528" i="19"/>
  <c r="N528" i="19"/>
  <c r="O528" i="19"/>
  <c r="P528" i="19"/>
  <c r="Q528" i="19"/>
  <c r="S528" i="19"/>
  <c r="T528" i="19"/>
  <c r="U528" i="19"/>
  <c r="V528" i="19"/>
  <c r="W528" i="19"/>
  <c r="X528" i="19"/>
  <c r="C529" i="19"/>
  <c r="D529" i="19"/>
  <c r="BB233" i="19"/>
  <c r="J34" i="19"/>
  <c r="BI233" i="19" s="1"/>
  <c r="S31" i="19"/>
  <c r="T523" i="19" s="1"/>
  <c r="T31" i="19"/>
  <c r="U523" i="19" s="1"/>
  <c r="U31" i="19"/>
  <c r="V523" i="19" s="1"/>
  <c r="V31" i="19"/>
  <c r="W523" i="19" s="1"/>
  <c r="W31" i="19"/>
  <c r="X523" i="19" s="1"/>
  <c r="R31" i="19"/>
  <c r="S523" i="19" s="1"/>
  <c r="L31" i="19"/>
  <c r="M523" i="19" s="1"/>
  <c r="M31" i="19"/>
  <c r="N523" i="19" s="1"/>
  <c r="N31" i="19"/>
  <c r="O523" i="19" s="1"/>
  <c r="O31" i="19"/>
  <c r="P523" i="19" s="1"/>
  <c r="P31" i="19"/>
  <c r="Q523" i="19" s="1"/>
  <c r="K31" i="19"/>
  <c r="L523" i="19" s="1"/>
  <c r="E31" i="19"/>
  <c r="F523" i="19" s="1"/>
  <c r="F31" i="19"/>
  <c r="G523" i="19" s="1"/>
  <c r="G31" i="19"/>
  <c r="H523" i="19" s="1"/>
  <c r="H31" i="19"/>
  <c r="I523" i="19" s="1"/>
  <c r="I31" i="19"/>
  <c r="J523" i="19" s="1"/>
  <c r="D31" i="19"/>
  <c r="E523" i="19" s="1"/>
  <c r="K526" i="19" l="1"/>
  <c r="Y34" i="19"/>
  <c r="BA242" i="19"/>
  <c r="BA241" i="19"/>
  <c r="BD201" i="19"/>
  <c r="BD201" i="20"/>
  <c r="BA217" i="20"/>
  <c r="BD201" i="33"/>
  <c r="BA227" i="33"/>
  <c r="BA226" i="33"/>
  <c r="BA223" i="33"/>
  <c r="BA224" i="33"/>
  <c r="BA225" i="33"/>
  <c r="BA222" i="33"/>
  <c r="BA221" i="33"/>
  <c r="BA219" i="33"/>
  <c r="BB219" i="33"/>
  <c r="BC219" i="33"/>
  <c r="BD219" i="33"/>
  <c r="BE219" i="33"/>
  <c r="BF219" i="33"/>
  <c r="BG219" i="33"/>
  <c r="BH219" i="33"/>
  <c r="BJ219" i="33"/>
  <c r="BK219" i="33"/>
  <c r="BL219" i="33"/>
  <c r="BM219" i="33"/>
  <c r="BN219" i="33"/>
  <c r="BO219" i="33"/>
  <c r="BQ219" i="33"/>
  <c r="BR219" i="33"/>
  <c r="BS219" i="33"/>
  <c r="BT219" i="33"/>
  <c r="BU219" i="33"/>
  <c r="BV219" i="33"/>
  <c r="BA220" i="33"/>
  <c r="BB220" i="33"/>
  <c r="BC220" i="33"/>
  <c r="BD220" i="33"/>
  <c r="BE220" i="33"/>
  <c r="BF220" i="33"/>
  <c r="BG220" i="33"/>
  <c r="BH220" i="33"/>
  <c r="BJ220" i="33"/>
  <c r="BK220" i="33"/>
  <c r="BL220" i="33"/>
  <c r="BM220" i="33"/>
  <c r="BN220" i="33"/>
  <c r="BO220" i="33"/>
  <c r="BQ220" i="33"/>
  <c r="BR220" i="33"/>
  <c r="BS220" i="33"/>
  <c r="BT220" i="33"/>
  <c r="BU220" i="33"/>
  <c r="BV220" i="33"/>
  <c r="BB221" i="33"/>
  <c r="BA209" i="33"/>
  <c r="BB209" i="33"/>
  <c r="BC209" i="33"/>
  <c r="BD209" i="33"/>
  <c r="BE209" i="33"/>
  <c r="BF209" i="33"/>
  <c r="BG209" i="33"/>
  <c r="BH209" i="33"/>
  <c r="BJ209" i="33"/>
  <c r="BK209" i="33"/>
  <c r="BL209" i="33"/>
  <c r="BM209" i="33"/>
  <c r="BN209" i="33"/>
  <c r="BO209" i="33"/>
  <c r="BQ209" i="33"/>
  <c r="BR209" i="33"/>
  <c r="BS209" i="33"/>
  <c r="BT209" i="33"/>
  <c r="BU209" i="33"/>
  <c r="BV209" i="33"/>
  <c r="BA210" i="33"/>
  <c r="BB210" i="33"/>
  <c r="BC210" i="33"/>
  <c r="BD210" i="33"/>
  <c r="BE210" i="33"/>
  <c r="BF210" i="33"/>
  <c r="BG210" i="33"/>
  <c r="BH210" i="33"/>
  <c r="BJ210" i="33"/>
  <c r="BK210" i="33"/>
  <c r="BL210" i="33"/>
  <c r="BM210" i="33"/>
  <c r="BN210" i="33"/>
  <c r="BO210" i="33"/>
  <c r="BQ210" i="33"/>
  <c r="BR210" i="33"/>
  <c r="BS210" i="33"/>
  <c r="BT210" i="33"/>
  <c r="BU210" i="33"/>
  <c r="BV210" i="33"/>
  <c r="BA211" i="33"/>
  <c r="BB211" i="33"/>
  <c r="BC211" i="33"/>
  <c r="BD211" i="33"/>
  <c r="BE211" i="33"/>
  <c r="BF211" i="33"/>
  <c r="BG211" i="33"/>
  <c r="BH211" i="33"/>
  <c r="BJ211" i="33"/>
  <c r="BK211" i="33"/>
  <c r="BL211" i="33"/>
  <c r="BM211" i="33"/>
  <c r="BN211" i="33"/>
  <c r="BO211" i="33"/>
  <c r="BQ211" i="33"/>
  <c r="BR211" i="33"/>
  <c r="BS211" i="33"/>
  <c r="BT211" i="33"/>
  <c r="BU211" i="33"/>
  <c r="BV211" i="33"/>
  <c r="BA212" i="33"/>
  <c r="BB212" i="33"/>
  <c r="BC212" i="33"/>
  <c r="BD212" i="33"/>
  <c r="BE212" i="33"/>
  <c r="BF212" i="33"/>
  <c r="BG212" i="33"/>
  <c r="BH212" i="33"/>
  <c r="BJ212" i="33"/>
  <c r="BK212" i="33"/>
  <c r="BL212" i="33"/>
  <c r="BM212" i="33"/>
  <c r="BN212" i="33"/>
  <c r="BO212" i="33"/>
  <c r="BQ212" i="33"/>
  <c r="BR212" i="33"/>
  <c r="BS212" i="33"/>
  <c r="BT212" i="33"/>
  <c r="BU212" i="33"/>
  <c r="BV212" i="33"/>
  <c r="BA213" i="33"/>
  <c r="BB213" i="33"/>
  <c r="BC213" i="33"/>
  <c r="BD213" i="33"/>
  <c r="BE213" i="33"/>
  <c r="BF213" i="33"/>
  <c r="BG213" i="33"/>
  <c r="BH213" i="33"/>
  <c r="BJ213" i="33"/>
  <c r="BK213" i="33"/>
  <c r="BL213" i="33"/>
  <c r="BM213" i="33"/>
  <c r="BN213" i="33"/>
  <c r="BO213" i="33"/>
  <c r="BQ213" i="33"/>
  <c r="BR213" i="33"/>
  <c r="BS213" i="33"/>
  <c r="BT213" i="33"/>
  <c r="BU213" i="33"/>
  <c r="BV213" i="33"/>
  <c r="BA214" i="33"/>
  <c r="BB214" i="33"/>
  <c r="BC214" i="33"/>
  <c r="BD214" i="33"/>
  <c r="BE214" i="33"/>
  <c r="BF214" i="33"/>
  <c r="BG214" i="33"/>
  <c r="BH214" i="33"/>
  <c r="BJ214" i="33"/>
  <c r="BK214" i="33"/>
  <c r="BL214" i="33"/>
  <c r="BM214" i="33"/>
  <c r="BN214" i="33"/>
  <c r="BO214" i="33"/>
  <c r="BQ214" i="33"/>
  <c r="BR214" i="33"/>
  <c r="BS214" i="33"/>
  <c r="BT214" i="33"/>
  <c r="BU214" i="33"/>
  <c r="BV214" i="33"/>
  <c r="BA215" i="33"/>
  <c r="BB215" i="33"/>
  <c r="BC215" i="33"/>
  <c r="BD215" i="33"/>
  <c r="BE215" i="33"/>
  <c r="BF215" i="33"/>
  <c r="BG215" i="33"/>
  <c r="BH215" i="33"/>
  <c r="BJ215" i="33"/>
  <c r="BK215" i="33"/>
  <c r="BL215" i="33"/>
  <c r="BM215" i="33"/>
  <c r="BN215" i="33"/>
  <c r="BO215" i="33"/>
  <c r="BQ215" i="33"/>
  <c r="BR215" i="33"/>
  <c r="BS215" i="33"/>
  <c r="BT215" i="33"/>
  <c r="BU215" i="33"/>
  <c r="BV215" i="33"/>
  <c r="BA216" i="33"/>
  <c r="BB216" i="33"/>
  <c r="BC216" i="33"/>
  <c r="BD216" i="33"/>
  <c r="BE216" i="33"/>
  <c r="BF216" i="33"/>
  <c r="BG216" i="33"/>
  <c r="BH216" i="33"/>
  <c r="BJ216" i="33"/>
  <c r="BK216" i="33"/>
  <c r="BL216" i="33"/>
  <c r="BM216" i="33"/>
  <c r="BN216" i="33"/>
  <c r="BO216" i="33"/>
  <c r="BQ216" i="33"/>
  <c r="BR216" i="33"/>
  <c r="BS216" i="33"/>
  <c r="BT216" i="33"/>
  <c r="BU216" i="33"/>
  <c r="BV216" i="33"/>
  <c r="BA217" i="33"/>
  <c r="BB217" i="33"/>
  <c r="BC217" i="33"/>
  <c r="BD217" i="33"/>
  <c r="BE217" i="33"/>
  <c r="BF217" i="33"/>
  <c r="BG217" i="33"/>
  <c r="BH217" i="33"/>
  <c r="BJ217" i="33"/>
  <c r="BK217" i="33"/>
  <c r="BL217" i="33"/>
  <c r="BM217" i="33"/>
  <c r="BN217" i="33"/>
  <c r="BO217" i="33"/>
  <c r="BQ217" i="33"/>
  <c r="BR217" i="33"/>
  <c r="BS217" i="33"/>
  <c r="BT217" i="33"/>
  <c r="BU217" i="33"/>
  <c r="BV217" i="33"/>
  <c r="BA218" i="33"/>
  <c r="BB218" i="33"/>
  <c r="BC218" i="33"/>
  <c r="BD218" i="33"/>
  <c r="BE218" i="33"/>
  <c r="BF218" i="33"/>
  <c r="BG218" i="33"/>
  <c r="BH218" i="33"/>
  <c r="BJ218" i="33"/>
  <c r="BK218" i="33"/>
  <c r="BL218" i="33"/>
  <c r="BM218" i="33"/>
  <c r="BN218" i="33"/>
  <c r="BO218" i="33"/>
  <c r="BQ218" i="33"/>
  <c r="BR218" i="33"/>
  <c r="BS218" i="33"/>
  <c r="BT218" i="33"/>
  <c r="BU218" i="33"/>
  <c r="BV218" i="33"/>
  <c r="BB208" i="33"/>
  <c r="BC208" i="33"/>
  <c r="BD208" i="33"/>
  <c r="BE208" i="33"/>
  <c r="BF208" i="33"/>
  <c r="BG208" i="33"/>
  <c r="BH208" i="33"/>
  <c r="BJ208" i="33"/>
  <c r="BK208" i="33"/>
  <c r="BL208" i="33"/>
  <c r="BM208" i="33"/>
  <c r="BN208" i="33"/>
  <c r="BO208" i="33"/>
  <c r="BQ208" i="33"/>
  <c r="BR208" i="33"/>
  <c r="BS208" i="33"/>
  <c r="BT208" i="33"/>
  <c r="BU208" i="33"/>
  <c r="BV208" i="33"/>
  <c r="BA208" i="33"/>
  <c r="BE201" i="27"/>
  <c r="BA223" i="27"/>
  <c r="C502" i="33"/>
  <c r="D502" i="33"/>
  <c r="E502" i="33"/>
  <c r="F502" i="33"/>
  <c r="G502" i="33"/>
  <c r="H502" i="33"/>
  <c r="I502" i="33"/>
  <c r="J502" i="33"/>
  <c r="L502" i="33"/>
  <c r="M502" i="33"/>
  <c r="N502" i="33"/>
  <c r="O502" i="33"/>
  <c r="P502" i="33"/>
  <c r="Q502" i="33"/>
  <c r="S502" i="33"/>
  <c r="T502" i="33"/>
  <c r="U502" i="33"/>
  <c r="V502" i="33"/>
  <c r="W502" i="33"/>
  <c r="X502" i="33"/>
  <c r="C503" i="33"/>
  <c r="D503" i="33"/>
  <c r="E503" i="33"/>
  <c r="F503" i="33"/>
  <c r="G503" i="33"/>
  <c r="H503" i="33"/>
  <c r="I503" i="33"/>
  <c r="J503" i="33"/>
  <c r="L503" i="33"/>
  <c r="M503" i="33"/>
  <c r="N503" i="33"/>
  <c r="O503" i="33"/>
  <c r="P503" i="33"/>
  <c r="Q503" i="33"/>
  <c r="S503" i="33"/>
  <c r="T503" i="33"/>
  <c r="U503" i="33"/>
  <c r="V503" i="33"/>
  <c r="W503" i="33"/>
  <c r="X503" i="33"/>
  <c r="C504" i="33"/>
  <c r="D504" i="33"/>
  <c r="E504" i="33"/>
  <c r="F504" i="33"/>
  <c r="G504" i="33"/>
  <c r="H504" i="33"/>
  <c r="I504" i="33"/>
  <c r="J504" i="33"/>
  <c r="L504" i="33"/>
  <c r="M504" i="33"/>
  <c r="N504" i="33"/>
  <c r="O504" i="33"/>
  <c r="P504" i="33"/>
  <c r="Q504" i="33"/>
  <c r="S504" i="33"/>
  <c r="T504" i="33"/>
  <c r="U504" i="33"/>
  <c r="V504" i="33"/>
  <c r="W504" i="33"/>
  <c r="X504" i="33"/>
  <c r="C505" i="33"/>
  <c r="D505" i="33"/>
  <c r="E505" i="33"/>
  <c r="F505" i="33"/>
  <c r="G505" i="33"/>
  <c r="H505" i="33"/>
  <c r="I505" i="33"/>
  <c r="J505" i="33"/>
  <c r="L505" i="33"/>
  <c r="M505" i="33"/>
  <c r="N505" i="33"/>
  <c r="O505" i="33"/>
  <c r="P505" i="33"/>
  <c r="Q505" i="33"/>
  <c r="S505" i="33"/>
  <c r="T505" i="33"/>
  <c r="U505" i="33"/>
  <c r="V505" i="33"/>
  <c r="W505" i="33"/>
  <c r="X505" i="33"/>
  <c r="C506" i="33"/>
  <c r="D506" i="33"/>
  <c r="E506" i="33"/>
  <c r="F506" i="33"/>
  <c r="G506" i="33"/>
  <c r="H506" i="33"/>
  <c r="I506" i="33"/>
  <c r="J506" i="33"/>
  <c r="L506" i="33"/>
  <c r="M506" i="33"/>
  <c r="N506" i="33"/>
  <c r="O506" i="33"/>
  <c r="P506" i="33"/>
  <c r="Q506" i="33"/>
  <c r="S506" i="33"/>
  <c r="T506" i="33"/>
  <c r="U506" i="33"/>
  <c r="V506" i="33"/>
  <c r="W506" i="33"/>
  <c r="X506" i="33"/>
  <c r="C507" i="33"/>
  <c r="D507" i="33"/>
  <c r="E507" i="33"/>
  <c r="F507" i="33"/>
  <c r="G507" i="33"/>
  <c r="H507" i="33"/>
  <c r="I507" i="33"/>
  <c r="J507" i="33"/>
  <c r="L507" i="33"/>
  <c r="M507" i="33"/>
  <c r="N507" i="33"/>
  <c r="O507" i="33"/>
  <c r="P507" i="33"/>
  <c r="Q507" i="33"/>
  <c r="S507" i="33"/>
  <c r="T507" i="33"/>
  <c r="U507" i="33"/>
  <c r="V507" i="33"/>
  <c r="W507" i="33"/>
  <c r="X507" i="33"/>
  <c r="C508" i="33"/>
  <c r="D508" i="33"/>
  <c r="E508" i="33"/>
  <c r="F508" i="33"/>
  <c r="G508" i="33"/>
  <c r="H508" i="33"/>
  <c r="I508" i="33"/>
  <c r="J508" i="33"/>
  <c r="L508" i="33"/>
  <c r="M508" i="33"/>
  <c r="N508" i="33"/>
  <c r="O508" i="33"/>
  <c r="P508" i="33"/>
  <c r="Q508" i="33"/>
  <c r="S508" i="33"/>
  <c r="T508" i="33"/>
  <c r="U508" i="33"/>
  <c r="V508" i="33"/>
  <c r="W508" i="33"/>
  <c r="X508" i="33"/>
  <c r="C509" i="33"/>
  <c r="D509" i="33"/>
  <c r="E509" i="33"/>
  <c r="F509" i="33"/>
  <c r="G509" i="33"/>
  <c r="H509" i="33"/>
  <c r="I509" i="33"/>
  <c r="J509" i="33"/>
  <c r="L509" i="33"/>
  <c r="M509" i="33"/>
  <c r="N509" i="33"/>
  <c r="O509" i="33"/>
  <c r="P509" i="33"/>
  <c r="Q509" i="33"/>
  <c r="S509" i="33"/>
  <c r="T509" i="33"/>
  <c r="U509" i="33"/>
  <c r="V509" i="33"/>
  <c r="W509" i="33"/>
  <c r="X509" i="33"/>
  <c r="C510" i="33"/>
  <c r="D510" i="33"/>
  <c r="E510" i="33"/>
  <c r="F510" i="33"/>
  <c r="G510" i="33"/>
  <c r="H510" i="33"/>
  <c r="I510" i="33"/>
  <c r="J510" i="33"/>
  <c r="L510" i="33"/>
  <c r="M510" i="33"/>
  <c r="N510" i="33"/>
  <c r="O510" i="33"/>
  <c r="P510" i="33"/>
  <c r="Q510" i="33"/>
  <c r="S510" i="33"/>
  <c r="T510" i="33"/>
  <c r="U510" i="33"/>
  <c r="V510" i="33"/>
  <c r="W510" i="33"/>
  <c r="X510" i="33"/>
  <c r="C511" i="33"/>
  <c r="D511" i="33"/>
  <c r="E511" i="33"/>
  <c r="F511" i="33"/>
  <c r="G511" i="33"/>
  <c r="H511" i="33"/>
  <c r="I511" i="33"/>
  <c r="J511" i="33"/>
  <c r="L511" i="33"/>
  <c r="M511" i="33"/>
  <c r="N511" i="33"/>
  <c r="O511" i="33"/>
  <c r="P511" i="33"/>
  <c r="Q511" i="33"/>
  <c r="S511" i="33"/>
  <c r="T511" i="33"/>
  <c r="U511" i="33"/>
  <c r="V511" i="33"/>
  <c r="W511" i="33"/>
  <c r="X511" i="33"/>
  <c r="C512" i="33"/>
  <c r="D512" i="33"/>
  <c r="E512" i="33"/>
  <c r="F512" i="33"/>
  <c r="G512" i="33"/>
  <c r="H512" i="33"/>
  <c r="I512" i="33"/>
  <c r="J512" i="33"/>
  <c r="L512" i="33"/>
  <c r="M512" i="33"/>
  <c r="N512" i="33"/>
  <c r="O512" i="33"/>
  <c r="P512" i="33"/>
  <c r="Q512" i="33"/>
  <c r="S512" i="33"/>
  <c r="T512" i="33"/>
  <c r="U512" i="33"/>
  <c r="V512" i="33"/>
  <c r="W512" i="33"/>
  <c r="X512" i="33"/>
  <c r="C513" i="33"/>
  <c r="D513" i="33"/>
  <c r="E513" i="33"/>
  <c r="F513" i="33"/>
  <c r="G513" i="33"/>
  <c r="H513" i="33"/>
  <c r="I513" i="33"/>
  <c r="J513" i="33"/>
  <c r="L513" i="33"/>
  <c r="M513" i="33"/>
  <c r="N513" i="33"/>
  <c r="O513" i="33"/>
  <c r="P513" i="33"/>
  <c r="Q513" i="33"/>
  <c r="S513" i="33"/>
  <c r="T513" i="33"/>
  <c r="U513" i="33"/>
  <c r="V513" i="33"/>
  <c r="W513" i="33"/>
  <c r="X513" i="33"/>
  <c r="C514" i="33"/>
  <c r="D514" i="33"/>
  <c r="F501" i="33"/>
  <c r="G501" i="33"/>
  <c r="H501" i="33"/>
  <c r="I501" i="33"/>
  <c r="J501" i="33"/>
  <c r="L501" i="33"/>
  <c r="M501" i="33"/>
  <c r="N501" i="33"/>
  <c r="O501" i="33"/>
  <c r="P501" i="33"/>
  <c r="Q501" i="33"/>
  <c r="S501" i="33"/>
  <c r="T501" i="33"/>
  <c r="U501" i="33"/>
  <c r="V501" i="33"/>
  <c r="W501" i="33"/>
  <c r="X501" i="33"/>
  <c r="E501" i="33"/>
  <c r="C501" i="33"/>
  <c r="Z526" i="19" l="1"/>
  <c r="BX233" i="19"/>
  <c r="K23" i="33"/>
  <c r="BJ222" i="33" s="1"/>
  <c r="L23" i="33"/>
  <c r="BK222" i="33" s="1"/>
  <c r="M23" i="33"/>
  <c r="BL222" i="33" s="1"/>
  <c r="N23" i="33"/>
  <c r="BM222" i="33" s="1"/>
  <c r="O23" i="33"/>
  <c r="BN222" i="33" s="1"/>
  <c r="P23" i="33"/>
  <c r="BO222" i="33" s="1"/>
  <c r="R23" i="33"/>
  <c r="BQ222" i="33" s="1"/>
  <c r="S23" i="33"/>
  <c r="BR222" i="33" s="1"/>
  <c r="T23" i="33"/>
  <c r="BS222" i="33" s="1"/>
  <c r="U23" i="33"/>
  <c r="BT222" i="33" s="1"/>
  <c r="V23" i="33"/>
  <c r="BU222" i="33" s="1"/>
  <c r="W23" i="33"/>
  <c r="BV222" i="33" s="1"/>
  <c r="E23" i="33"/>
  <c r="BD222" i="33" s="1"/>
  <c r="F23" i="33"/>
  <c r="BE222" i="33" s="1"/>
  <c r="G23" i="33"/>
  <c r="BF222" i="33" s="1"/>
  <c r="H23" i="33"/>
  <c r="BG222" i="33" s="1"/>
  <c r="I23" i="33"/>
  <c r="BH222" i="33" s="1"/>
  <c r="D23" i="33"/>
  <c r="BC222" i="33" s="1"/>
  <c r="X12" i="33" l="1"/>
  <c r="Q12" i="33"/>
  <c r="J12" i="33"/>
  <c r="S22" i="33"/>
  <c r="T22" i="33"/>
  <c r="U22" i="33"/>
  <c r="V22" i="33"/>
  <c r="W22" i="33"/>
  <c r="R22" i="33"/>
  <c r="L22" i="33"/>
  <c r="M22" i="33"/>
  <c r="N22" i="33"/>
  <c r="O22" i="33"/>
  <c r="P22" i="33"/>
  <c r="K22" i="33"/>
  <c r="E22" i="33"/>
  <c r="F22" i="33"/>
  <c r="G22" i="33"/>
  <c r="H22" i="33"/>
  <c r="I22" i="33"/>
  <c r="D22" i="33"/>
  <c r="D501" i="33"/>
  <c r="BX207" i="33"/>
  <c r="BW207" i="33"/>
  <c r="BV207" i="33"/>
  <c r="BU207" i="33"/>
  <c r="BT207" i="33"/>
  <c r="BS207" i="33"/>
  <c r="BR207" i="33"/>
  <c r="BQ207" i="33"/>
  <c r="BP207" i="33"/>
  <c r="BO207" i="33"/>
  <c r="BN207" i="33"/>
  <c r="BM207" i="33"/>
  <c r="BL207" i="33"/>
  <c r="BK207" i="33"/>
  <c r="BJ207" i="33"/>
  <c r="BI207" i="33"/>
  <c r="BH207" i="33"/>
  <c r="BG207" i="33"/>
  <c r="BF207" i="33"/>
  <c r="BE207" i="33"/>
  <c r="BD207" i="33"/>
  <c r="BC207" i="33"/>
  <c r="BB207" i="33"/>
  <c r="BA207" i="33"/>
  <c r="BW206" i="33"/>
  <c r="BV206" i="33"/>
  <c r="BU206" i="33"/>
  <c r="BT206" i="33"/>
  <c r="BS206" i="33"/>
  <c r="BR206" i="33"/>
  <c r="BQ206" i="33"/>
  <c r="BP206" i="33"/>
  <c r="BO206" i="33"/>
  <c r="BN206" i="33"/>
  <c r="BM206" i="33"/>
  <c r="BL206" i="33"/>
  <c r="BK206" i="33"/>
  <c r="BJ206" i="33"/>
  <c r="BI206" i="33"/>
  <c r="BH206" i="33"/>
  <c r="BG206" i="33"/>
  <c r="BF206" i="33"/>
  <c r="BE206" i="33"/>
  <c r="BD206" i="33"/>
  <c r="BC206" i="33"/>
  <c r="BQ205" i="33"/>
  <c r="BJ205" i="33"/>
  <c r="BC205" i="33"/>
  <c r="BX204" i="33"/>
  <c r="BC204" i="33"/>
  <c r="BB204" i="33"/>
  <c r="BA204" i="33"/>
  <c r="BA203" i="33"/>
  <c r="BA202" i="33"/>
  <c r="BA201" i="33"/>
  <c r="X21" i="33"/>
  <c r="Q21" i="33"/>
  <c r="J21" i="33"/>
  <c r="X20" i="33"/>
  <c r="Q20" i="33"/>
  <c r="J20" i="33"/>
  <c r="X19" i="33"/>
  <c r="Q19" i="33"/>
  <c r="J19" i="33"/>
  <c r="X18" i="33"/>
  <c r="Q18" i="33"/>
  <c r="J18" i="33"/>
  <c r="X16" i="33"/>
  <c r="Q16" i="33"/>
  <c r="BP215" i="33" s="1"/>
  <c r="J16" i="33"/>
  <c r="BI215" i="33" s="1"/>
  <c r="X15" i="33"/>
  <c r="Q15" i="33"/>
  <c r="J15" i="33"/>
  <c r="BI214" i="33" s="1"/>
  <c r="J14" i="33"/>
  <c r="X13" i="33"/>
  <c r="Q13" i="33"/>
  <c r="J13" i="33"/>
  <c r="X11" i="33"/>
  <c r="Q11" i="33"/>
  <c r="J11" i="33"/>
  <c r="X10" i="33"/>
  <c r="Q10" i="33"/>
  <c r="J10" i="33"/>
  <c r="X9" i="33"/>
  <c r="Q9" i="33"/>
  <c r="J9" i="33"/>
  <c r="K511" i="33" l="1"/>
  <c r="BI218" i="33"/>
  <c r="T514" i="33"/>
  <c r="BR221" i="33"/>
  <c r="R511" i="33"/>
  <c r="BP218" i="33"/>
  <c r="I514" i="33"/>
  <c r="BG221" i="33"/>
  <c r="R504" i="33"/>
  <c r="BP211" i="33"/>
  <c r="Y501" i="33"/>
  <c r="BW208" i="33"/>
  <c r="R505" i="33"/>
  <c r="BP212" i="33"/>
  <c r="Y508" i="33"/>
  <c r="BW215" i="33"/>
  <c r="R512" i="33"/>
  <c r="BP219" i="33"/>
  <c r="F514" i="33"/>
  <c r="BD221" i="33"/>
  <c r="X514" i="33"/>
  <c r="BV221" i="33"/>
  <c r="Y513" i="33"/>
  <c r="BW220" i="33"/>
  <c r="O514" i="33"/>
  <c r="BM221" i="33"/>
  <c r="Y507" i="33"/>
  <c r="BW214" i="33"/>
  <c r="N514" i="33"/>
  <c r="BL221" i="33"/>
  <c r="K501" i="33"/>
  <c r="BI208" i="33"/>
  <c r="M514" i="33"/>
  <c r="BK221" i="33"/>
  <c r="R501" i="33"/>
  <c r="BP208" i="33"/>
  <c r="K512" i="33"/>
  <c r="BI219" i="33"/>
  <c r="K502" i="33"/>
  <c r="BI209" i="33"/>
  <c r="Y505" i="33"/>
  <c r="BW212" i="33"/>
  <c r="K510" i="33"/>
  <c r="BI217" i="33"/>
  <c r="Y512" i="33"/>
  <c r="BW219" i="33"/>
  <c r="L514" i="33"/>
  <c r="BJ221" i="33"/>
  <c r="W514" i="33"/>
  <c r="BU221" i="33"/>
  <c r="K503" i="33"/>
  <c r="BI210" i="33"/>
  <c r="K506" i="33"/>
  <c r="BI213" i="33"/>
  <c r="V514" i="33"/>
  <c r="BT221" i="33"/>
  <c r="R507" i="33"/>
  <c r="BP214" i="33"/>
  <c r="R503" i="33"/>
  <c r="BP210" i="33"/>
  <c r="R502" i="33"/>
  <c r="BP209" i="33"/>
  <c r="R510" i="33"/>
  <c r="BP217" i="33"/>
  <c r="K513" i="33"/>
  <c r="BI220" i="33"/>
  <c r="Q514" i="33"/>
  <c r="BO221" i="33"/>
  <c r="Y502" i="33"/>
  <c r="BW209" i="33"/>
  <c r="Y510" i="33"/>
  <c r="BW217" i="33"/>
  <c r="R513" i="33"/>
  <c r="BP220" i="33"/>
  <c r="E514" i="33"/>
  <c r="BC221" i="33"/>
  <c r="P514" i="33"/>
  <c r="BN221" i="33"/>
  <c r="U514" i="33"/>
  <c r="BS221" i="33"/>
  <c r="J514" i="33"/>
  <c r="BH221" i="33"/>
  <c r="K504" i="33"/>
  <c r="BI211" i="33"/>
  <c r="Y503" i="33"/>
  <c r="BW210" i="33"/>
  <c r="Y511" i="33"/>
  <c r="BW218" i="33"/>
  <c r="H514" i="33"/>
  <c r="BF221" i="33"/>
  <c r="K505" i="33"/>
  <c r="BI212" i="33"/>
  <c r="G514" i="33"/>
  <c r="BE221" i="33"/>
  <c r="S514" i="33"/>
  <c r="BQ221" i="33"/>
  <c r="Y504" i="33"/>
  <c r="BW211" i="33"/>
  <c r="R508" i="33"/>
  <c r="K508" i="33"/>
  <c r="K507" i="33"/>
  <c r="Y12" i="33"/>
  <c r="V28" i="33"/>
  <c r="BU227" i="33" s="1"/>
  <c r="V27" i="33"/>
  <c r="BU226" i="33" s="1"/>
  <c r="V24" i="33"/>
  <c r="BU223" i="33" s="1"/>
  <c r="U27" i="33"/>
  <c r="BT226" i="33" s="1"/>
  <c r="U28" i="33"/>
  <c r="BT227" i="33" s="1"/>
  <c r="U24" i="33"/>
  <c r="BT223" i="33" s="1"/>
  <c r="T27" i="33"/>
  <c r="BS226" i="33" s="1"/>
  <c r="T28" i="33"/>
  <c r="BS227" i="33" s="1"/>
  <c r="T24" i="33"/>
  <c r="BS223" i="33" s="1"/>
  <c r="S28" i="33"/>
  <c r="BR227" i="33" s="1"/>
  <c r="S27" i="33"/>
  <c r="BR226" i="33" s="1"/>
  <c r="S24" i="33"/>
  <c r="BR223" i="33" s="1"/>
  <c r="R28" i="33"/>
  <c r="BQ227" i="33" s="1"/>
  <c r="R27" i="33"/>
  <c r="BQ226" i="33" s="1"/>
  <c r="R24" i="33"/>
  <c r="BQ223" i="33" s="1"/>
  <c r="W28" i="33"/>
  <c r="BV227" i="33" s="1"/>
  <c r="W27" i="33"/>
  <c r="BV226" i="33" s="1"/>
  <c r="W24" i="33"/>
  <c r="BV223" i="33" s="1"/>
  <c r="Y20" i="33"/>
  <c r="BX219" i="33" s="1"/>
  <c r="K28" i="33"/>
  <c r="BJ227" i="33" s="1"/>
  <c r="K27" i="33"/>
  <c r="BJ226" i="33" s="1"/>
  <c r="K24" i="33"/>
  <c r="BJ223" i="33" s="1"/>
  <c r="P28" i="33"/>
  <c r="BO227" i="33" s="1"/>
  <c r="P27" i="33"/>
  <c r="BO226" i="33" s="1"/>
  <c r="P24" i="33"/>
  <c r="BO223" i="33" s="1"/>
  <c r="O27" i="33"/>
  <c r="BN226" i="33" s="1"/>
  <c r="O28" i="33"/>
  <c r="BN227" i="33" s="1"/>
  <c r="O24" i="33"/>
  <c r="BN223" i="33" s="1"/>
  <c r="N27" i="33"/>
  <c r="BM226" i="33" s="1"/>
  <c r="N28" i="33"/>
  <c r="BM227" i="33" s="1"/>
  <c r="N24" i="33"/>
  <c r="BM223" i="33" s="1"/>
  <c r="M28" i="33"/>
  <c r="BL227" i="33" s="1"/>
  <c r="M27" i="33"/>
  <c r="BL226" i="33" s="1"/>
  <c r="M24" i="33"/>
  <c r="BL223" i="33" s="1"/>
  <c r="L28" i="33"/>
  <c r="BK227" i="33" s="1"/>
  <c r="L27" i="33"/>
  <c r="BK226" i="33" s="1"/>
  <c r="L24" i="33"/>
  <c r="BK223" i="33" s="1"/>
  <c r="I27" i="33"/>
  <c r="BH226" i="33" s="1"/>
  <c r="I28" i="33"/>
  <c r="BH227" i="33" s="1"/>
  <c r="I24" i="33"/>
  <c r="BH223" i="33" s="1"/>
  <c r="H27" i="33"/>
  <c r="BG226" i="33" s="1"/>
  <c r="H28" i="33"/>
  <c r="BG227" i="33" s="1"/>
  <c r="H24" i="33"/>
  <c r="BG223" i="33" s="1"/>
  <c r="G27" i="33"/>
  <c r="BF226" i="33" s="1"/>
  <c r="G28" i="33"/>
  <c r="BF227" i="33" s="1"/>
  <c r="G24" i="33"/>
  <c r="BF223" i="33" s="1"/>
  <c r="F27" i="33"/>
  <c r="BE226" i="33" s="1"/>
  <c r="F28" i="33"/>
  <c r="BE227" i="33" s="1"/>
  <c r="F24" i="33"/>
  <c r="BE223" i="33" s="1"/>
  <c r="E28" i="33"/>
  <c r="BD227" i="33" s="1"/>
  <c r="E27" i="33"/>
  <c r="BD226" i="33" s="1"/>
  <c r="E24" i="33"/>
  <c r="BD223" i="33" s="1"/>
  <c r="D24" i="33"/>
  <c r="BC223" i="33" s="1"/>
  <c r="D28" i="33"/>
  <c r="BC227" i="33" s="1"/>
  <c r="D27" i="33"/>
  <c r="BC226" i="33" s="1"/>
  <c r="Y13" i="33"/>
  <c r="BX212" i="33" s="1"/>
  <c r="Y19" i="33"/>
  <c r="BX218" i="33" s="1"/>
  <c r="Y10" i="33"/>
  <c r="BX209" i="33" s="1"/>
  <c r="X17" i="33"/>
  <c r="BW216" i="33" s="1"/>
  <c r="Q17" i="33"/>
  <c r="Q14" i="33"/>
  <c r="BP213" i="33" s="1"/>
  <c r="Y11" i="33"/>
  <c r="Y9" i="33"/>
  <c r="Y15" i="33"/>
  <c r="X14" i="33"/>
  <c r="J17" i="33"/>
  <c r="Y16" i="33"/>
  <c r="Y18" i="33"/>
  <c r="Y21" i="33"/>
  <c r="Z513" i="33" l="1"/>
  <c r="BX220" i="33"/>
  <c r="Z510" i="33"/>
  <c r="BX217" i="33"/>
  <c r="R509" i="33"/>
  <c r="BP216" i="33"/>
  <c r="K509" i="33"/>
  <c r="BI216" i="33"/>
  <c r="Y506" i="33"/>
  <c r="BW213" i="33"/>
  <c r="Z504" i="33"/>
  <c r="BX211" i="33"/>
  <c r="Z507" i="33"/>
  <c r="BX214" i="33"/>
  <c r="Z501" i="33"/>
  <c r="BX208" i="33"/>
  <c r="Z503" i="33"/>
  <c r="BX210" i="33"/>
  <c r="Z508" i="33"/>
  <c r="BX215" i="33"/>
  <c r="Z502" i="33"/>
  <c r="Z511" i="33"/>
  <c r="Z505" i="33"/>
  <c r="R506" i="33"/>
  <c r="Y509" i="33"/>
  <c r="Z512" i="33"/>
  <c r="Y14" i="33"/>
  <c r="X22" i="33"/>
  <c r="J22" i="33"/>
  <c r="Y17" i="33"/>
  <c r="Q22" i="33"/>
  <c r="Z509" i="33" l="1"/>
  <c r="BX216" i="33"/>
  <c r="Z506" i="33"/>
  <c r="BX213" i="33"/>
  <c r="Y514" i="33"/>
  <c r="BW221" i="33"/>
  <c r="K514" i="33"/>
  <c r="BI221" i="33"/>
  <c r="R514" i="33"/>
  <c r="BP221" i="33"/>
  <c r="X28" i="33"/>
  <c r="BW227" i="33" s="1"/>
  <c r="X27" i="33"/>
  <c r="BW226" i="33" s="1"/>
  <c r="Q28" i="33"/>
  <c r="BP227" i="33" s="1"/>
  <c r="Q27" i="33"/>
  <c r="BP226" i="33" s="1"/>
  <c r="J28" i="33"/>
  <c r="BI227" i="33" s="1"/>
  <c r="J27" i="33"/>
  <c r="BI226" i="33" s="1"/>
  <c r="Y22" i="33"/>
  <c r="Z514" i="33" l="1"/>
  <c r="BX221" i="33"/>
  <c r="F2" i="33"/>
  <c r="BE201" i="33" s="1"/>
  <c r="Y27" i="33"/>
  <c r="BX226" i="33" s="1"/>
  <c r="Y28" i="33"/>
  <c r="BX227" i="33" s="1"/>
  <c r="T18" i="16"/>
  <c r="R14" i="16"/>
  <c r="M14" i="16"/>
  <c r="H14" i="16"/>
  <c r="I15" i="16"/>
  <c r="J507" i="16" s="1"/>
  <c r="J15" i="16"/>
  <c r="K507" i="16" s="1"/>
  <c r="K15" i="16"/>
  <c r="L507" i="16" s="1"/>
  <c r="L15" i="16"/>
  <c r="M507" i="16" s="1"/>
  <c r="N15" i="16"/>
  <c r="O507" i="16" s="1"/>
  <c r="O15" i="16"/>
  <c r="P507" i="16" s="1"/>
  <c r="P15" i="16"/>
  <c r="Q507" i="16" s="1"/>
  <c r="Q15" i="16"/>
  <c r="R507" i="16" s="1"/>
  <c r="E15" i="16"/>
  <c r="F507" i="16" s="1"/>
  <c r="F15" i="16"/>
  <c r="G507" i="16" s="1"/>
  <c r="G15" i="16"/>
  <c r="H507" i="16" s="1"/>
  <c r="D15" i="16"/>
  <c r="G18" i="16" l="1"/>
  <c r="BF217" i="16" s="1"/>
  <c r="K18" i="16"/>
  <c r="BJ217" i="16" s="1"/>
  <c r="P18" i="16"/>
  <c r="BO217" i="16" s="1"/>
  <c r="O18" i="16"/>
  <c r="BN217" i="16" s="1"/>
  <c r="L18" i="16"/>
  <c r="BK217" i="16" s="1"/>
  <c r="F18" i="16"/>
  <c r="BE217" i="16" s="1"/>
  <c r="BL213" i="16"/>
  <c r="N506" i="16"/>
  <c r="J18" i="16"/>
  <c r="BI217" i="16" s="1"/>
  <c r="S506" i="16"/>
  <c r="BQ213" i="16"/>
  <c r="D18" i="16"/>
  <c r="BC217" i="16" s="1"/>
  <c r="E507" i="16"/>
  <c r="S14" i="16"/>
  <c r="Q18" i="16"/>
  <c r="BP217" i="16" s="1"/>
  <c r="I18" i="16"/>
  <c r="BH217" i="16" s="1"/>
  <c r="BG213" i="16"/>
  <c r="I506" i="16"/>
  <c r="N18" i="16"/>
  <c r="BM217" i="16" s="1"/>
  <c r="E18" i="16"/>
  <c r="BD217" i="16" s="1"/>
  <c r="BR213" i="16" l="1"/>
  <c r="T506" i="16"/>
  <c r="X20" i="17"/>
  <c r="X512" i="17" s="1"/>
  <c r="W20" i="17"/>
  <c r="W512" i="17" s="1"/>
  <c r="V20" i="17"/>
  <c r="V512" i="17" s="1"/>
  <c r="U20" i="17"/>
  <c r="U512" i="17" s="1"/>
  <c r="T20" i="17"/>
  <c r="T512" i="17" s="1"/>
  <c r="S20" i="17"/>
  <c r="S512" i="17" s="1"/>
  <c r="Q20" i="17"/>
  <c r="Q512" i="17" s="1"/>
  <c r="P20" i="17"/>
  <c r="P512" i="17" s="1"/>
  <c r="O20" i="17"/>
  <c r="O512" i="17" s="1"/>
  <c r="N20" i="17"/>
  <c r="N512" i="17" s="1"/>
  <c r="M20" i="17"/>
  <c r="M512" i="17" s="1"/>
  <c r="L20" i="17"/>
  <c r="L512" i="17" s="1"/>
  <c r="Y24" i="17"/>
  <c r="R24" i="17"/>
  <c r="K24" i="17"/>
  <c r="Y516" i="17" l="1"/>
  <c r="BX223" i="17"/>
  <c r="R516" i="17"/>
  <c r="BQ223" i="17"/>
  <c r="K516" i="17"/>
  <c r="BJ223" i="17"/>
  <c r="T19" i="17"/>
  <c r="T36" i="17"/>
  <c r="BS235" i="17" s="1"/>
  <c r="V19" i="17"/>
  <c r="V36" i="17"/>
  <c r="BU235" i="17" s="1"/>
  <c r="L19" i="17"/>
  <c r="L36" i="17"/>
  <c r="BK235" i="17" s="1"/>
  <c r="N19" i="17"/>
  <c r="N36" i="17"/>
  <c r="BM235" i="17" s="1"/>
  <c r="W19" i="17"/>
  <c r="W36" i="17"/>
  <c r="BV235" i="17" s="1"/>
  <c r="S19" i="17"/>
  <c r="S36" i="17"/>
  <c r="BR235" i="17" s="1"/>
  <c r="M19" i="17"/>
  <c r="M36" i="17"/>
  <c r="BL235" i="17" s="1"/>
  <c r="X19" i="17"/>
  <c r="X36" i="17"/>
  <c r="BW235" i="17" s="1"/>
  <c r="U19" i="17"/>
  <c r="U36" i="17"/>
  <c r="BT235" i="17" s="1"/>
  <c r="O19" i="17"/>
  <c r="O36" i="17"/>
  <c r="BN235" i="17" s="1"/>
  <c r="P19" i="17"/>
  <c r="P36" i="17"/>
  <c r="BO235" i="17" s="1"/>
  <c r="Q19" i="17"/>
  <c r="Q36" i="17"/>
  <c r="BP235" i="17" s="1"/>
  <c r="Z24" i="17"/>
  <c r="Z516" i="17" l="1"/>
  <c r="BY223" i="17"/>
  <c r="X37" i="17"/>
  <c r="BW236" i="17" s="1"/>
  <c r="X511" i="17"/>
  <c r="W37" i="17"/>
  <c r="BV236" i="17" s="1"/>
  <c r="W511" i="17"/>
  <c r="V37" i="17"/>
  <c r="BU236" i="17" s="1"/>
  <c r="V511" i="17"/>
  <c r="U37" i="17"/>
  <c r="BT236" i="17" s="1"/>
  <c r="U511" i="17"/>
  <c r="T37" i="17"/>
  <c r="BS236" i="17" s="1"/>
  <c r="T511" i="17"/>
  <c r="S37" i="17"/>
  <c r="BR236" i="17" s="1"/>
  <c r="S511" i="17"/>
  <c r="Q37" i="17"/>
  <c r="BP236" i="17" s="1"/>
  <c r="Q511" i="17"/>
  <c r="P37" i="17"/>
  <c r="BO236" i="17" s="1"/>
  <c r="P511" i="17"/>
  <c r="O37" i="17"/>
  <c r="BN236" i="17" s="1"/>
  <c r="O511" i="17"/>
  <c r="N37" i="17"/>
  <c r="BM236" i="17" s="1"/>
  <c r="N511" i="17"/>
  <c r="M37" i="17"/>
  <c r="BL236" i="17" s="1"/>
  <c r="M511" i="17"/>
  <c r="L37" i="17"/>
  <c r="BK236" i="17" s="1"/>
  <c r="L511" i="17"/>
  <c r="BD232" i="23"/>
  <c r="BE232" i="23"/>
  <c r="BG232" i="23"/>
  <c r="BH232" i="23"/>
  <c r="BI232" i="23"/>
  <c r="BK232" i="23"/>
  <c r="BL232" i="23"/>
  <c r="BM232" i="23"/>
  <c r="BO232" i="23"/>
  <c r="BP232" i="23"/>
  <c r="BQ232" i="23"/>
  <c r="BS232" i="23"/>
  <c r="BT232" i="23"/>
  <c r="BU232" i="23"/>
  <c r="CA232" i="23"/>
  <c r="CB232" i="23"/>
  <c r="CC232" i="23"/>
  <c r="CE232" i="23"/>
  <c r="CF232" i="23"/>
  <c r="CG232" i="23"/>
  <c r="CI232" i="23"/>
  <c r="CJ232" i="23"/>
  <c r="CK232" i="23"/>
  <c r="CM232" i="23"/>
  <c r="CN232" i="23"/>
  <c r="CO232" i="23"/>
  <c r="BD233" i="23"/>
  <c r="BE233" i="23"/>
  <c r="BG233" i="23"/>
  <c r="BH233" i="23"/>
  <c r="BI233" i="23"/>
  <c r="BK233" i="23"/>
  <c r="BL233" i="23"/>
  <c r="BM233" i="23"/>
  <c r="BO233" i="23"/>
  <c r="BP233" i="23"/>
  <c r="BQ233" i="23"/>
  <c r="BS233" i="23"/>
  <c r="BT233" i="23"/>
  <c r="BU233" i="23"/>
  <c r="CA233" i="23"/>
  <c r="CB233" i="23"/>
  <c r="CC233" i="23"/>
  <c r="CE233" i="23"/>
  <c r="CF233" i="23"/>
  <c r="CG233" i="23"/>
  <c r="CI233" i="23"/>
  <c r="CJ233" i="23"/>
  <c r="CK233" i="23"/>
  <c r="CM233" i="23"/>
  <c r="CN233" i="23"/>
  <c r="CO233" i="23"/>
  <c r="BD234" i="23"/>
  <c r="BE234" i="23"/>
  <c r="BG234" i="23"/>
  <c r="BH234" i="23"/>
  <c r="BI234" i="23"/>
  <c r="BK234" i="23"/>
  <c r="BL234" i="23"/>
  <c r="BM234" i="23"/>
  <c r="BO234" i="23"/>
  <c r="BP234" i="23"/>
  <c r="BQ234" i="23"/>
  <c r="BS234" i="23"/>
  <c r="BT234" i="23"/>
  <c r="BU234" i="23"/>
  <c r="CA234" i="23"/>
  <c r="CB234" i="23"/>
  <c r="CC234" i="23"/>
  <c r="CE234" i="23"/>
  <c r="CF234" i="23"/>
  <c r="CG234" i="23"/>
  <c r="CI234" i="23"/>
  <c r="CJ234" i="23"/>
  <c r="CK234" i="23"/>
  <c r="CM234" i="23"/>
  <c r="CN234" i="23"/>
  <c r="CO234" i="23"/>
  <c r="BD235" i="23"/>
  <c r="BE235" i="23"/>
  <c r="BG235" i="23"/>
  <c r="BH235" i="23"/>
  <c r="BI235" i="23"/>
  <c r="BK235" i="23"/>
  <c r="BL235" i="23"/>
  <c r="BM235" i="23"/>
  <c r="BO235" i="23"/>
  <c r="BP235" i="23"/>
  <c r="BQ235" i="23"/>
  <c r="BS235" i="23"/>
  <c r="BT235" i="23"/>
  <c r="BU235" i="23"/>
  <c r="CA235" i="23"/>
  <c r="CB235" i="23"/>
  <c r="CC235" i="23"/>
  <c r="CE235" i="23"/>
  <c r="CF235" i="23"/>
  <c r="CG235" i="23"/>
  <c r="CI235" i="23"/>
  <c r="CJ235" i="23"/>
  <c r="CK235" i="23"/>
  <c r="CM235" i="23"/>
  <c r="CN235" i="23"/>
  <c r="CO235" i="23"/>
  <c r="BC233" i="23"/>
  <c r="BC234" i="23"/>
  <c r="BC235" i="23"/>
  <c r="BC232" i="23"/>
  <c r="E505" i="26" l="1"/>
  <c r="F505" i="26"/>
  <c r="G505" i="26"/>
  <c r="I505" i="26"/>
  <c r="J505" i="26"/>
  <c r="K505" i="26"/>
  <c r="E506" i="26"/>
  <c r="F506" i="26"/>
  <c r="G506" i="26"/>
  <c r="I506" i="26"/>
  <c r="J506" i="26"/>
  <c r="K506" i="26"/>
  <c r="E507" i="26"/>
  <c r="F507" i="26"/>
  <c r="G507" i="26"/>
  <c r="I507" i="26"/>
  <c r="J507" i="26"/>
  <c r="K507" i="26"/>
  <c r="E508" i="26"/>
  <c r="F508" i="26"/>
  <c r="G508" i="26"/>
  <c r="I508" i="26"/>
  <c r="J508" i="26"/>
  <c r="K508" i="26"/>
  <c r="E509" i="26"/>
  <c r="F509" i="26"/>
  <c r="G509" i="26"/>
  <c r="I509" i="26"/>
  <c r="J509" i="26"/>
  <c r="K509" i="26"/>
  <c r="F504" i="26"/>
  <c r="G504" i="26"/>
  <c r="I504" i="26"/>
  <c r="J504" i="26"/>
  <c r="K504" i="26"/>
  <c r="E504" i="26"/>
  <c r="D505" i="26"/>
  <c r="D506" i="26"/>
  <c r="D507" i="26"/>
  <c r="D508" i="26"/>
  <c r="D509" i="26"/>
  <c r="D510" i="26"/>
  <c r="C505" i="26"/>
  <c r="C506" i="26"/>
  <c r="C507" i="26"/>
  <c r="C508" i="26"/>
  <c r="C509" i="26"/>
  <c r="C510" i="26"/>
  <c r="C504" i="26"/>
  <c r="D504" i="26"/>
  <c r="E501" i="26"/>
  <c r="C501" i="26"/>
  <c r="D501" i="26"/>
  <c r="E503" i="22"/>
  <c r="F503" i="22"/>
  <c r="G503" i="22"/>
  <c r="H503" i="22"/>
  <c r="J503" i="22"/>
  <c r="K503" i="22"/>
  <c r="L503" i="22"/>
  <c r="M503" i="22"/>
  <c r="O503" i="22"/>
  <c r="P503" i="22"/>
  <c r="Q503" i="22"/>
  <c r="R503" i="22"/>
  <c r="E504" i="22"/>
  <c r="F504" i="22"/>
  <c r="G504" i="22"/>
  <c r="H504" i="22"/>
  <c r="J504" i="22"/>
  <c r="K504" i="22"/>
  <c r="L504" i="22"/>
  <c r="M504" i="22"/>
  <c r="O504" i="22"/>
  <c r="P504" i="22"/>
  <c r="Q504" i="22"/>
  <c r="R504" i="22"/>
  <c r="E505" i="22"/>
  <c r="F505" i="22"/>
  <c r="G505" i="22"/>
  <c r="H505" i="22"/>
  <c r="J505" i="22"/>
  <c r="K505" i="22"/>
  <c r="L505" i="22"/>
  <c r="M505" i="22"/>
  <c r="O505" i="22"/>
  <c r="P505" i="22"/>
  <c r="Q505" i="22"/>
  <c r="R505" i="22"/>
  <c r="E506" i="22"/>
  <c r="F506" i="22"/>
  <c r="G506" i="22"/>
  <c r="H506" i="22"/>
  <c r="J506" i="22"/>
  <c r="K506" i="22"/>
  <c r="L506" i="22"/>
  <c r="M506" i="22"/>
  <c r="O506" i="22"/>
  <c r="P506" i="22"/>
  <c r="Q506" i="22"/>
  <c r="R506" i="22"/>
  <c r="E507" i="22"/>
  <c r="F507" i="22"/>
  <c r="G507" i="22"/>
  <c r="H507" i="22"/>
  <c r="J507" i="22"/>
  <c r="K507" i="22"/>
  <c r="L507" i="22"/>
  <c r="M507" i="22"/>
  <c r="O507" i="22"/>
  <c r="P507" i="22"/>
  <c r="Q507" i="22"/>
  <c r="R507" i="22"/>
  <c r="E508" i="22"/>
  <c r="F508" i="22"/>
  <c r="G508" i="22"/>
  <c r="H508" i="22"/>
  <c r="J508" i="22"/>
  <c r="K508" i="22"/>
  <c r="L508" i="22"/>
  <c r="M508" i="22"/>
  <c r="O508" i="22"/>
  <c r="P508" i="22"/>
  <c r="Q508" i="22"/>
  <c r="R508" i="22"/>
  <c r="E509" i="22"/>
  <c r="F509" i="22"/>
  <c r="G509" i="22"/>
  <c r="H509" i="22"/>
  <c r="J509" i="22"/>
  <c r="K509" i="22"/>
  <c r="L509" i="22"/>
  <c r="M509" i="22"/>
  <c r="O509" i="22"/>
  <c r="P509" i="22"/>
  <c r="Q509" i="22"/>
  <c r="R509" i="22"/>
  <c r="E510" i="22"/>
  <c r="F510" i="22"/>
  <c r="G510" i="22"/>
  <c r="H510" i="22"/>
  <c r="J510" i="22"/>
  <c r="K510" i="22"/>
  <c r="L510" i="22"/>
  <c r="M510" i="22"/>
  <c r="O510" i="22"/>
  <c r="P510" i="22"/>
  <c r="Q510" i="22"/>
  <c r="R510" i="22"/>
  <c r="E512" i="22"/>
  <c r="F512" i="22"/>
  <c r="G512" i="22"/>
  <c r="H512" i="22"/>
  <c r="J512" i="22"/>
  <c r="K512" i="22"/>
  <c r="L512" i="22"/>
  <c r="M512" i="22"/>
  <c r="O512" i="22"/>
  <c r="P512" i="22"/>
  <c r="Q512" i="22"/>
  <c r="R512" i="22"/>
  <c r="E513" i="22"/>
  <c r="F513" i="22"/>
  <c r="G513" i="22"/>
  <c r="H513" i="22"/>
  <c r="J513" i="22"/>
  <c r="K513" i="22"/>
  <c r="L513" i="22"/>
  <c r="M513" i="22"/>
  <c r="O513" i="22"/>
  <c r="P513" i="22"/>
  <c r="Q513" i="22"/>
  <c r="R513" i="22"/>
  <c r="E514" i="22"/>
  <c r="F514" i="22"/>
  <c r="G514" i="22"/>
  <c r="H514" i="22"/>
  <c r="J514" i="22"/>
  <c r="K514" i="22"/>
  <c r="L514" i="22"/>
  <c r="M514" i="22"/>
  <c r="O514" i="22"/>
  <c r="P514" i="22"/>
  <c r="Q514" i="22"/>
  <c r="R514" i="22"/>
  <c r="E515" i="22"/>
  <c r="F515" i="22"/>
  <c r="G515" i="22"/>
  <c r="H515" i="22"/>
  <c r="J515" i="22"/>
  <c r="K515" i="22"/>
  <c r="L515" i="22"/>
  <c r="M515" i="22"/>
  <c r="O515" i="22"/>
  <c r="P515" i="22"/>
  <c r="Q515" i="22"/>
  <c r="R515" i="22"/>
  <c r="E516" i="22"/>
  <c r="F516" i="22"/>
  <c r="G516" i="22"/>
  <c r="H516" i="22"/>
  <c r="J516" i="22"/>
  <c r="K516" i="22"/>
  <c r="L516" i="22"/>
  <c r="M516" i="22"/>
  <c r="O516" i="22"/>
  <c r="P516" i="22"/>
  <c r="Q516" i="22"/>
  <c r="R516" i="22"/>
  <c r="E517" i="22"/>
  <c r="F517" i="22"/>
  <c r="G517" i="22"/>
  <c r="H517" i="22"/>
  <c r="J517" i="22"/>
  <c r="K517" i="22"/>
  <c r="L517" i="22"/>
  <c r="M517" i="22"/>
  <c r="O517" i="22"/>
  <c r="P517" i="22"/>
  <c r="Q517" i="22"/>
  <c r="R517" i="22"/>
  <c r="E518" i="22"/>
  <c r="F518" i="22"/>
  <c r="G518" i="22"/>
  <c r="H518" i="22"/>
  <c r="J518" i="22"/>
  <c r="K518" i="22"/>
  <c r="L518" i="22"/>
  <c r="M518" i="22"/>
  <c r="O518" i="22"/>
  <c r="P518" i="22"/>
  <c r="Q518" i="22"/>
  <c r="R518" i="22"/>
  <c r="E519" i="22"/>
  <c r="F519" i="22"/>
  <c r="G519" i="22"/>
  <c r="H519" i="22"/>
  <c r="J519" i="22"/>
  <c r="K519" i="22"/>
  <c r="L519" i="22"/>
  <c r="M519" i="22"/>
  <c r="O519" i="22"/>
  <c r="P519" i="22"/>
  <c r="Q519" i="22"/>
  <c r="R519" i="22"/>
  <c r="E520" i="22"/>
  <c r="F520" i="22"/>
  <c r="G520" i="22"/>
  <c r="H520" i="22"/>
  <c r="J520" i="22"/>
  <c r="K520" i="22"/>
  <c r="L520" i="22"/>
  <c r="M520" i="22"/>
  <c r="O520" i="22"/>
  <c r="P520" i="22"/>
  <c r="Q520" i="22"/>
  <c r="R520" i="22"/>
  <c r="F501" i="22"/>
  <c r="G501" i="22"/>
  <c r="H501" i="22"/>
  <c r="J501" i="22"/>
  <c r="K501" i="22"/>
  <c r="L501" i="22"/>
  <c r="M501" i="22"/>
  <c r="O501" i="22"/>
  <c r="P501" i="22"/>
  <c r="Q501" i="22"/>
  <c r="R501" i="22"/>
  <c r="E501" i="22"/>
  <c r="D502" i="22"/>
  <c r="D503" i="22"/>
  <c r="D504" i="22"/>
  <c r="D505" i="22"/>
  <c r="D506" i="22"/>
  <c r="D507" i="22"/>
  <c r="D508" i="22"/>
  <c r="D509" i="22"/>
  <c r="D510" i="22"/>
  <c r="D511" i="22"/>
  <c r="D512" i="22"/>
  <c r="D513" i="22"/>
  <c r="D514" i="22"/>
  <c r="D515" i="22"/>
  <c r="D516" i="22"/>
  <c r="D517" i="22"/>
  <c r="D518" i="22"/>
  <c r="D519" i="22"/>
  <c r="D520" i="22"/>
  <c r="D521" i="22"/>
  <c r="C520" i="22"/>
  <c r="C521" i="22"/>
  <c r="C502" i="22"/>
  <c r="C503" i="22"/>
  <c r="C504" i="22"/>
  <c r="C505" i="22"/>
  <c r="C506" i="22"/>
  <c r="C507" i="22"/>
  <c r="C508" i="22"/>
  <c r="C509" i="22"/>
  <c r="C510" i="22"/>
  <c r="C511" i="22"/>
  <c r="C512" i="22"/>
  <c r="C513" i="22"/>
  <c r="C514" i="22"/>
  <c r="C515" i="22"/>
  <c r="C516" i="22"/>
  <c r="C517" i="22"/>
  <c r="C518" i="22"/>
  <c r="C519" i="22"/>
  <c r="C501" i="22"/>
  <c r="D501" i="22"/>
  <c r="E502" i="21"/>
  <c r="F502" i="21"/>
  <c r="G502" i="21"/>
  <c r="E503" i="21"/>
  <c r="F503" i="21"/>
  <c r="G503" i="21"/>
  <c r="E505" i="21"/>
  <c r="F505" i="21"/>
  <c r="G505" i="21"/>
  <c r="E506" i="21"/>
  <c r="F506" i="21"/>
  <c r="G506" i="21"/>
  <c r="E508" i="21"/>
  <c r="F508" i="21"/>
  <c r="G508" i="21"/>
  <c r="E509" i="21"/>
  <c r="F509" i="21"/>
  <c r="G509" i="21"/>
  <c r="E511" i="21"/>
  <c r="F511" i="21"/>
  <c r="G511" i="21"/>
  <c r="E512" i="21"/>
  <c r="F512" i="21"/>
  <c r="G512" i="21"/>
  <c r="D502" i="21"/>
  <c r="D503" i="21"/>
  <c r="D504" i="21"/>
  <c r="D505" i="21"/>
  <c r="D506" i="21"/>
  <c r="D507" i="21"/>
  <c r="D508" i="21"/>
  <c r="D509" i="21"/>
  <c r="D510" i="21"/>
  <c r="D511" i="21"/>
  <c r="D512" i="21"/>
  <c r="D513" i="21"/>
  <c r="C511" i="21"/>
  <c r="C512" i="21"/>
  <c r="C513" i="21"/>
  <c r="C502" i="21"/>
  <c r="C503" i="21"/>
  <c r="C504" i="21"/>
  <c r="C505" i="21"/>
  <c r="C506" i="21"/>
  <c r="C507" i="21"/>
  <c r="C508" i="21"/>
  <c r="C509" i="21"/>
  <c r="C510" i="21"/>
  <c r="C501" i="21"/>
  <c r="D501" i="21"/>
  <c r="E502" i="20"/>
  <c r="F502" i="20"/>
  <c r="G502" i="20"/>
  <c r="I502" i="20"/>
  <c r="J502" i="20"/>
  <c r="K502" i="20"/>
  <c r="M502" i="20"/>
  <c r="N502" i="20"/>
  <c r="O502" i="20"/>
  <c r="Q502" i="20"/>
  <c r="R502" i="20"/>
  <c r="S502" i="20"/>
  <c r="U502" i="20"/>
  <c r="V502" i="20"/>
  <c r="W502" i="20"/>
  <c r="Y502" i="20"/>
  <c r="Z502" i="20"/>
  <c r="AA502" i="20"/>
  <c r="E503" i="20"/>
  <c r="F503" i="20"/>
  <c r="G503" i="20"/>
  <c r="I503" i="20"/>
  <c r="J503" i="20"/>
  <c r="K503" i="20"/>
  <c r="M503" i="20"/>
  <c r="N503" i="20"/>
  <c r="O503" i="20"/>
  <c r="Q503" i="20"/>
  <c r="R503" i="20"/>
  <c r="S503" i="20"/>
  <c r="U503" i="20"/>
  <c r="V503" i="20"/>
  <c r="W503" i="20"/>
  <c r="Y503" i="20"/>
  <c r="Z503" i="20"/>
  <c r="AA503" i="20"/>
  <c r="E504" i="20"/>
  <c r="F504" i="20"/>
  <c r="G504" i="20"/>
  <c r="I504" i="20"/>
  <c r="J504" i="20"/>
  <c r="K504" i="20"/>
  <c r="M504" i="20"/>
  <c r="N504" i="20"/>
  <c r="O504" i="20"/>
  <c r="Q504" i="20"/>
  <c r="R504" i="20"/>
  <c r="S504" i="20"/>
  <c r="U504" i="20"/>
  <c r="V504" i="20"/>
  <c r="W504" i="20"/>
  <c r="Y504" i="20"/>
  <c r="Z504" i="20"/>
  <c r="AA504" i="20"/>
  <c r="E505" i="20"/>
  <c r="F505" i="20"/>
  <c r="G505" i="20"/>
  <c r="I505" i="20"/>
  <c r="J505" i="20"/>
  <c r="K505" i="20"/>
  <c r="M505" i="20"/>
  <c r="N505" i="20"/>
  <c r="O505" i="20"/>
  <c r="Q505" i="20"/>
  <c r="R505" i="20"/>
  <c r="S505" i="20"/>
  <c r="U505" i="20"/>
  <c r="V505" i="20"/>
  <c r="W505" i="20"/>
  <c r="Y505" i="20"/>
  <c r="Z505" i="20"/>
  <c r="AA505" i="20"/>
  <c r="E506" i="20"/>
  <c r="F506" i="20"/>
  <c r="G506" i="20"/>
  <c r="I506" i="20"/>
  <c r="J506" i="20"/>
  <c r="K506" i="20"/>
  <c r="M506" i="20"/>
  <c r="N506" i="20"/>
  <c r="O506" i="20"/>
  <c r="Q506" i="20"/>
  <c r="R506" i="20"/>
  <c r="S506" i="20"/>
  <c r="U506" i="20"/>
  <c r="V506" i="20"/>
  <c r="W506" i="20"/>
  <c r="Y506" i="20"/>
  <c r="Z506" i="20"/>
  <c r="AA506" i="20"/>
  <c r="E507" i="20"/>
  <c r="F507" i="20"/>
  <c r="G507" i="20"/>
  <c r="I507" i="20"/>
  <c r="J507" i="20"/>
  <c r="K507" i="20"/>
  <c r="M507" i="20"/>
  <c r="N507" i="20"/>
  <c r="O507" i="20"/>
  <c r="Q507" i="20"/>
  <c r="R507" i="20"/>
  <c r="S507" i="20"/>
  <c r="U507" i="20"/>
  <c r="V507" i="20"/>
  <c r="W507" i="20"/>
  <c r="Y507" i="20"/>
  <c r="Z507" i="20"/>
  <c r="AA507" i="20"/>
  <c r="E508" i="20"/>
  <c r="F508" i="20"/>
  <c r="G508" i="20"/>
  <c r="I508" i="20"/>
  <c r="J508" i="20"/>
  <c r="K508" i="20"/>
  <c r="M508" i="20"/>
  <c r="N508" i="20"/>
  <c r="O508" i="20"/>
  <c r="Q508" i="20"/>
  <c r="R508" i="20"/>
  <c r="S508" i="20"/>
  <c r="U508" i="20"/>
  <c r="V508" i="20"/>
  <c r="W508" i="20"/>
  <c r="Y508" i="20"/>
  <c r="Z508" i="20"/>
  <c r="AA508" i="20"/>
  <c r="E509" i="20"/>
  <c r="F509" i="20"/>
  <c r="G509" i="20"/>
  <c r="I509" i="20"/>
  <c r="J509" i="20"/>
  <c r="K509" i="20"/>
  <c r="M509" i="20"/>
  <c r="N509" i="20"/>
  <c r="O509" i="20"/>
  <c r="Q509" i="20"/>
  <c r="R509" i="20"/>
  <c r="S509" i="20"/>
  <c r="U509" i="20"/>
  <c r="V509" i="20"/>
  <c r="W509" i="20"/>
  <c r="Y509" i="20"/>
  <c r="Z509" i="20"/>
  <c r="AA509" i="20"/>
  <c r="F501" i="20"/>
  <c r="G501" i="20"/>
  <c r="I501" i="20"/>
  <c r="J501" i="20"/>
  <c r="K501" i="20"/>
  <c r="M501" i="20"/>
  <c r="N501" i="20"/>
  <c r="O501" i="20"/>
  <c r="Q501" i="20"/>
  <c r="R501" i="20"/>
  <c r="S501" i="20"/>
  <c r="U501" i="20"/>
  <c r="V501" i="20"/>
  <c r="W501" i="20"/>
  <c r="Y501" i="20"/>
  <c r="Z501" i="20"/>
  <c r="AA501" i="20"/>
  <c r="E501" i="20"/>
  <c r="D502" i="20"/>
  <c r="D503" i="20"/>
  <c r="D504" i="20"/>
  <c r="D505" i="20"/>
  <c r="D506" i="20"/>
  <c r="D507" i="20"/>
  <c r="D508" i="20"/>
  <c r="D509" i="20"/>
  <c r="D510" i="20"/>
  <c r="C502" i="20"/>
  <c r="C503" i="20"/>
  <c r="C504" i="20"/>
  <c r="C505" i="20"/>
  <c r="C506" i="20"/>
  <c r="C507" i="20"/>
  <c r="C508" i="20"/>
  <c r="C509" i="20"/>
  <c r="C510" i="20"/>
  <c r="C501" i="20"/>
  <c r="D501" i="20"/>
  <c r="F501" i="19"/>
  <c r="G501" i="19"/>
  <c r="H501" i="19"/>
  <c r="I501" i="19"/>
  <c r="J501" i="19"/>
  <c r="L501" i="19"/>
  <c r="M501" i="19"/>
  <c r="N501" i="19"/>
  <c r="O501" i="19"/>
  <c r="P501" i="19"/>
  <c r="Q501" i="19"/>
  <c r="S501" i="19"/>
  <c r="T501" i="19"/>
  <c r="U501" i="19"/>
  <c r="V501" i="19"/>
  <c r="W501" i="19"/>
  <c r="X501" i="19"/>
  <c r="E501" i="19"/>
  <c r="C501" i="19"/>
  <c r="D501" i="19"/>
  <c r="E502" i="25"/>
  <c r="F502" i="25"/>
  <c r="G502" i="25"/>
  <c r="H502" i="25"/>
  <c r="I502" i="25"/>
  <c r="J502" i="25"/>
  <c r="L502" i="25"/>
  <c r="M502" i="25"/>
  <c r="N502" i="25"/>
  <c r="O502" i="25"/>
  <c r="P502" i="25"/>
  <c r="Q502" i="25"/>
  <c r="S502" i="25"/>
  <c r="T502" i="25"/>
  <c r="U502" i="25"/>
  <c r="V502" i="25"/>
  <c r="W502" i="25"/>
  <c r="X502" i="25"/>
  <c r="E503" i="25"/>
  <c r="F503" i="25"/>
  <c r="G503" i="25"/>
  <c r="H503" i="25"/>
  <c r="I503" i="25"/>
  <c r="J503" i="25"/>
  <c r="L503" i="25"/>
  <c r="M503" i="25"/>
  <c r="N503" i="25"/>
  <c r="O503" i="25"/>
  <c r="P503" i="25"/>
  <c r="Q503" i="25"/>
  <c r="S503" i="25"/>
  <c r="T503" i="25"/>
  <c r="U503" i="25"/>
  <c r="V503" i="25"/>
  <c r="W503" i="25"/>
  <c r="X503" i="25"/>
  <c r="E504" i="25"/>
  <c r="F504" i="25"/>
  <c r="G504" i="25"/>
  <c r="H504" i="25"/>
  <c r="I504" i="25"/>
  <c r="J504" i="25"/>
  <c r="L504" i="25"/>
  <c r="M504" i="25"/>
  <c r="N504" i="25"/>
  <c r="O504" i="25"/>
  <c r="P504" i="25"/>
  <c r="Q504" i="25"/>
  <c r="S504" i="25"/>
  <c r="T504" i="25"/>
  <c r="U504" i="25"/>
  <c r="V504" i="25"/>
  <c r="W504" i="25"/>
  <c r="X504" i="25"/>
  <c r="E505" i="25"/>
  <c r="F505" i="25"/>
  <c r="G505" i="25"/>
  <c r="H505" i="25"/>
  <c r="I505" i="25"/>
  <c r="J505" i="25"/>
  <c r="L505" i="25"/>
  <c r="M505" i="25"/>
  <c r="N505" i="25"/>
  <c r="O505" i="25"/>
  <c r="P505" i="25"/>
  <c r="Q505" i="25"/>
  <c r="S505" i="25"/>
  <c r="T505" i="25"/>
  <c r="U505" i="25"/>
  <c r="V505" i="25"/>
  <c r="W505" i="25"/>
  <c r="X505" i="25"/>
  <c r="E507" i="25"/>
  <c r="F507" i="25"/>
  <c r="G507" i="25"/>
  <c r="H507" i="25"/>
  <c r="I507" i="25"/>
  <c r="J507" i="25"/>
  <c r="L507" i="25"/>
  <c r="M507" i="25"/>
  <c r="N507" i="25"/>
  <c r="O507" i="25"/>
  <c r="P507" i="25"/>
  <c r="Q507" i="25"/>
  <c r="S507" i="25"/>
  <c r="T507" i="25"/>
  <c r="U507" i="25"/>
  <c r="V507" i="25"/>
  <c r="W507" i="25"/>
  <c r="X507" i="25"/>
  <c r="E508" i="25"/>
  <c r="F508" i="25"/>
  <c r="G508" i="25"/>
  <c r="H508" i="25"/>
  <c r="I508" i="25"/>
  <c r="J508" i="25"/>
  <c r="L508" i="25"/>
  <c r="M508" i="25"/>
  <c r="N508" i="25"/>
  <c r="O508" i="25"/>
  <c r="P508" i="25"/>
  <c r="Q508" i="25"/>
  <c r="S508" i="25"/>
  <c r="T508" i="25"/>
  <c r="U508" i="25"/>
  <c r="V508" i="25"/>
  <c r="W508" i="25"/>
  <c r="X508" i="25"/>
  <c r="E509" i="25"/>
  <c r="F509" i="25"/>
  <c r="G509" i="25"/>
  <c r="H509" i="25"/>
  <c r="I509" i="25"/>
  <c r="J509" i="25"/>
  <c r="L509" i="25"/>
  <c r="M509" i="25"/>
  <c r="N509" i="25"/>
  <c r="O509" i="25"/>
  <c r="P509" i="25"/>
  <c r="Q509" i="25"/>
  <c r="S509" i="25"/>
  <c r="T509" i="25"/>
  <c r="U509" i="25"/>
  <c r="V509" i="25"/>
  <c r="W509" i="25"/>
  <c r="X509" i="25"/>
  <c r="E511" i="25"/>
  <c r="F511" i="25"/>
  <c r="G511" i="25"/>
  <c r="H511" i="25"/>
  <c r="I511" i="25"/>
  <c r="J511" i="25"/>
  <c r="L511" i="25"/>
  <c r="M511" i="25"/>
  <c r="N511" i="25"/>
  <c r="O511" i="25"/>
  <c r="P511" i="25"/>
  <c r="Q511" i="25"/>
  <c r="S511" i="25"/>
  <c r="T511" i="25"/>
  <c r="U511" i="25"/>
  <c r="V511" i="25"/>
  <c r="W511" i="25"/>
  <c r="X511" i="25"/>
  <c r="E512" i="25"/>
  <c r="F512" i="25"/>
  <c r="G512" i="25"/>
  <c r="H512" i="25"/>
  <c r="I512" i="25"/>
  <c r="J512" i="25"/>
  <c r="L512" i="25"/>
  <c r="M512" i="25"/>
  <c r="N512" i="25"/>
  <c r="O512" i="25"/>
  <c r="P512" i="25"/>
  <c r="Q512" i="25"/>
  <c r="S512" i="25"/>
  <c r="T512" i="25"/>
  <c r="U512" i="25"/>
  <c r="V512" i="25"/>
  <c r="W512" i="25"/>
  <c r="X512" i="25"/>
  <c r="E513" i="25"/>
  <c r="F513" i="25"/>
  <c r="G513" i="25"/>
  <c r="H513" i="25"/>
  <c r="I513" i="25"/>
  <c r="J513" i="25"/>
  <c r="L513" i="25"/>
  <c r="M513" i="25"/>
  <c r="N513" i="25"/>
  <c r="O513" i="25"/>
  <c r="P513" i="25"/>
  <c r="Q513" i="25"/>
  <c r="S513" i="25"/>
  <c r="T513" i="25"/>
  <c r="U513" i="25"/>
  <c r="V513" i="25"/>
  <c r="W513" i="25"/>
  <c r="X513" i="25"/>
  <c r="E514" i="25"/>
  <c r="F514" i="25"/>
  <c r="G514" i="25"/>
  <c r="H514" i="25"/>
  <c r="I514" i="25"/>
  <c r="J514" i="25"/>
  <c r="L514" i="25"/>
  <c r="M514" i="25"/>
  <c r="N514" i="25"/>
  <c r="O514" i="25"/>
  <c r="P514" i="25"/>
  <c r="Q514" i="25"/>
  <c r="S514" i="25"/>
  <c r="T514" i="25"/>
  <c r="U514" i="25"/>
  <c r="V514" i="25"/>
  <c r="W514" i="25"/>
  <c r="X514" i="25"/>
  <c r="E515" i="25"/>
  <c r="F515" i="25"/>
  <c r="G515" i="25"/>
  <c r="H515" i="25"/>
  <c r="I515" i="25"/>
  <c r="J515" i="25"/>
  <c r="L515" i="25"/>
  <c r="M515" i="25"/>
  <c r="N515" i="25"/>
  <c r="O515" i="25"/>
  <c r="P515" i="25"/>
  <c r="Q515" i="25"/>
  <c r="S515" i="25"/>
  <c r="T515" i="25"/>
  <c r="U515" i="25"/>
  <c r="V515" i="25"/>
  <c r="W515" i="25"/>
  <c r="X515" i="25"/>
  <c r="E516" i="25"/>
  <c r="F516" i="25"/>
  <c r="G516" i="25"/>
  <c r="H516" i="25"/>
  <c r="I516" i="25"/>
  <c r="J516" i="25"/>
  <c r="L516" i="25"/>
  <c r="M516" i="25"/>
  <c r="N516" i="25"/>
  <c r="O516" i="25"/>
  <c r="P516" i="25"/>
  <c r="Q516" i="25"/>
  <c r="S516" i="25"/>
  <c r="T516" i="25"/>
  <c r="U516" i="25"/>
  <c r="V516" i="25"/>
  <c r="W516" i="25"/>
  <c r="X516" i="25"/>
  <c r="F501" i="25"/>
  <c r="G501" i="25"/>
  <c r="H501" i="25"/>
  <c r="I501" i="25"/>
  <c r="J501" i="25"/>
  <c r="L501" i="25"/>
  <c r="M501" i="25"/>
  <c r="N501" i="25"/>
  <c r="O501" i="25"/>
  <c r="P501" i="25"/>
  <c r="Q501" i="25"/>
  <c r="S501" i="25"/>
  <c r="T501" i="25"/>
  <c r="U501" i="25"/>
  <c r="V501" i="25"/>
  <c r="W501" i="25"/>
  <c r="X501" i="25"/>
  <c r="E501" i="25"/>
  <c r="D502" i="25"/>
  <c r="D503" i="25"/>
  <c r="D504" i="25"/>
  <c r="D505" i="25"/>
  <c r="D506" i="25"/>
  <c r="D507" i="25"/>
  <c r="D508" i="25"/>
  <c r="D509" i="25"/>
  <c r="D510" i="25"/>
  <c r="D511" i="25"/>
  <c r="D512" i="25"/>
  <c r="D513" i="25"/>
  <c r="D514" i="25"/>
  <c r="D515" i="25"/>
  <c r="D516" i="25"/>
  <c r="D517" i="25"/>
  <c r="C502" i="25"/>
  <c r="C503" i="25"/>
  <c r="C504" i="25"/>
  <c r="C505" i="25"/>
  <c r="C506" i="25"/>
  <c r="C507" i="25"/>
  <c r="C508" i="25"/>
  <c r="C509" i="25"/>
  <c r="C510" i="25"/>
  <c r="C511" i="25"/>
  <c r="C512" i="25"/>
  <c r="C513" i="25"/>
  <c r="C514" i="25"/>
  <c r="C515" i="25"/>
  <c r="C516" i="25"/>
  <c r="C517" i="25"/>
  <c r="C501" i="25"/>
  <c r="D501" i="25"/>
  <c r="E502" i="24" l="1"/>
  <c r="F502" i="24"/>
  <c r="G502" i="24"/>
  <c r="I502" i="24"/>
  <c r="J502" i="24"/>
  <c r="K502" i="24"/>
  <c r="M502" i="24"/>
  <c r="N502" i="24"/>
  <c r="O502" i="24"/>
  <c r="Q502" i="24"/>
  <c r="R502" i="24"/>
  <c r="S502" i="24"/>
  <c r="U502" i="24"/>
  <c r="V502" i="24"/>
  <c r="W502" i="24"/>
  <c r="AC502" i="24"/>
  <c r="AD502" i="24"/>
  <c r="AE502" i="24"/>
  <c r="AG502" i="24"/>
  <c r="AH502" i="24"/>
  <c r="AI502" i="24"/>
  <c r="AK502" i="24"/>
  <c r="AL502" i="24"/>
  <c r="AM502" i="24"/>
  <c r="AO502" i="24"/>
  <c r="AP502" i="24"/>
  <c r="AQ502" i="24"/>
  <c r="E503" i="24"/>
  <c r="F503" i="24"/>
  <c r="G503" i="24"/>
  <c r="I503" i="24"/>
  <c r="J503" i="24"/>
  <c r="K503" i="24"/>
  <c r="M503" i="24"/>
  <c r="N503" i="24"/>
  <c r="O503" i="24"/>
  <c r="Q503" i="24"/>
  <c r="R503" i="24"/>
  <c r="S503" i="24"/>
  <c r="U503" i="24"/>
  <c r="V503" i="24"/>
  <c r="W503" i="24"/>
  <c r="AC503" i="24"/>
  <c r="AD503" i="24"/>
  <c r="AE503" i="24"/>
  <c r="AG503" i="24"/>
  <c r="AH503" i="24"/>
  <c r="AI503" i="24"/>
  <c r="AK503" i="24"/>
  <c r="AL503" i="24"/>
  <c r="AM503" i="24"/>
  <c r="AO503" i="24"/>
  <c r="AP503" i="24"/>
  <c r="AQ503" i="24"/>
  <c r="E504" i="24"/>
  <c r="F504" i="24"/>
  <c r="G504" i="24"/>
  <c r="I504" i="24"/>
  <c r="J504" i="24"/>
  <c r="K504" i="24"/>
  <c r="M504" i="24"/>
  <c r="N504" i="24"/>
  <c r="O504" i="24"/>
  <c r="Q504" i="24"/>
  <c r="R504" i="24"/>
  <c r="S504" i="24"/>
  <c r="U504" i="24"/>
  <c r="V504" i="24"/>
  <c r="W504" i="24"/>
  <c r="AC504" i="24"/>
  <c r="AD504" i="24"/>
  <c r="AE504" i="24"/>
  <c r="AG504" i="24"/>
  <c r="AH504" i="24"/>
  <c r="AI504" i="24"/>
  <c r="AK504" i="24"/>
  <c r="AL504" i="24"/>
  <c r="AM504" i="24"/>
  <c r="AO504" i="24"/>
  <c r="AP504" i="24"/>
  <c r="AQ504" i="24"/>
  <c r="E505" i="24"/>
  <c r="F505" i="24"/>
  <c r="G505" i="24"/>
  <c r="I505" i="24"/>
  <c r="J505" i="24"/>
  <c r="K505" i="24"/>
  <c r="M505" i="24"/>
  <c r="N505" i="24"/>
  <c r="O505" i="24"/>
  <c r="Q505" i="24"/>
  <c r="R505" i="24"/>
  <c r="S505" i="24"/>
  <c r="U505" i="24"/>
  <c r="V505" i="24"/>
  <c r="W505" i="24"/>
  <c r="AC505" i="24"/>
  <c r="AD505" i="24"/>
  <c r="AE505" i="24"/>
  <c r="AG505" i="24"/>
  <c r="AH505" i="24"/>
  <c r="AI505" i="24"/>
  <c r="AK505" i="24"/>
  <c r="AL505" i="24"/>
  <c r="AM505" i="24"/>
  <c r="AO505" i="24"/>
  <c r="AP505" i="24"/>
  <c r="AQ505" i="24"/>
  <c r="E506" i="24"/>
  <c r="F506" i="24"/>
  <c r="G506" i="24"/>
  <c r="I506" i="24"/>
  <c r="J506" i="24"/>
  <c r="K506" i="24"/>
  <c r="M506" i="24"/>
  <c r="N506" i="24"/>
  <c r="O506" i="24"/>
  <c r="Q506" i="24"/>
  <c r="R506" i="24"/>
  <c r="S506" i="24"/>
  <c r="U506" i="24"/>
  <c r="V506" i="24"/>
  <c r="W506" i="24"/>
  <c r="AC506" i="24"/>
  <c r="AD506" i="24"/>
  <c r="AE506" i="24"/>
  <c r="AG506" i="24"/>
  <c r="AH506" i="24"/>
  <c r="AI506" i="24"/>
  <c r="AK506" i="24"/>
  <c r="AL506" i="24"/>
  <c r="AM506" i="24"/>
  <c r="AO506" i="24"/>
  <c r="AP506" i="24"/>
  <c r="AQ506" i="24"/>
  <c r="E507" i="24"/>
  <c r="F507" i="24"/>
  <c r="G507" i="24"/>
  <c r="I507" i="24"/>
  <c r="J507" i="24"/>
  <c r="K507" i="24"/>
  <c r="M507" i="24"/>
  <c r="N507" i="24"/>
  <c r="O507" i="24"/>
  <c r="Q507" i="24"/>
  <c r="R507" i="24"/>
  <c r="S507" i="24"/>
  <c r="U507" i="24"/>
  <c r="V507" i="24"/>
  <c r="W507" i="24"/>
  <c r="AC507" i="24"/>
  <c r="AD507" i="24"/>
  <c r="AE507" i="24"/>
  <c r="AG507" i="24"/>
  <c r="AH507" i="24"/>
  <c r="AI507" i="24"/>
  <c r="AK507" i="24"/>
  <c r="AL507" i="24"/>
  <c r="AM507" i="24"/>
  <c r="AO507" i="24"/>
  <c r="AP507" i="24"/>
  <c r="AQ507" i="24"/>
  <c r="E508" i="24"/>
  <c r="F508" i="24"/>
  <c r="G508" i="24"/>
  <c r="I508" i="24"/>
  <c r="J508" i="24"/>
  <c r="K508" i="24"/>
  <c r="M508" i="24"/>
  <c r="N508" i="24"/>
  <c r="O508" i="24"/>
  <c r="Q508" i="24"/>
  <c r="R508" i="24"/>
  <c r="S508" i="24"/>
  <c r="U508" i="24"/>
  <c r="V508" i="24"/>
  <c r="W508" i="24"/>
  <c r="AC508" i="24"/>
  <c r="AD508" i="24"/>
  <c r="AE508" i="24"/>
  <c r="AG508" i="24"/>
  <c r="AH508" i="24"/>
  <c r="AI508" i="24"/>
  <c r="AK508" i="24"/>
  <c r="AL508" i="24"/>
  <c r="AM508" i="24"/>
  <c r="AO508" i="24"/>
  <c r="AP508" i="24"/>
  <c r="AQ508" i="24"/>
  <c r="E509" i="24"/>
  <c r="F509" i="24"/>
  <c r="G509" i="24"/>
  <c r="I509" i="24"/>
  <c r="J509" i="24"/>
  <c r="K509" i="24"/>
  <c r="M509" i="24"/>
  <c r="N509" i="24"/>
  <c r="O509" i="24"/>
  <c r="Q509" i="24"/>
  <c r="R509" i="24"/>
  <c r="S509" i="24"/>
  <c r="U509" i="24"/>
  <c r="V509" i="24"/>
  <c r="W509" i="24"/>
  <c r="AC509" i="24"/>
  <c r="AD509" i="24"/>
  <c r="AE509" i="24"/>
  <c r="AG509" i="24"/>
  <c r="AH509" i="24"/>
  <c r="AI509" i="24"/>
  <c r="AK509" i="24"/>
  <c r="AL509" i="24"/>
  <c r="AM509" i="24"/>
  <c r="AO509" i="24"/>
  <c r="AP509" i="24"/>
  <c r="AQ509" i="24"/>
  <c r="F501" i="24"/>
  <c r="G501" i="24"/>
  <c r="I501" i="24"/>
  <c r="J501" i="24"/>
  <c r="K501" i="24"/>
  <c r="M501" i="24"/>
  <c r="N501" i="24"/>
  <c r="O501" i="24"/>
  <c r="Q501" i="24"/>
  <c r="R501" i="24"/>
  <c r="S501" i="24"/>
  <c r="U501" i="24"/>
  <c r="V501" i="24"/>
  <c r="W501" i="24"/>
  <c r="AC501" i="24"/>
  <c r="AD501" i="24"/>
  <c r="AE501" i="24"/>
  <c r="AG501" i="24"/>
  <c r="AH501" i="24"/>
  <c r="AI501" i="24"/>
  <c r="AK501" i="24"/>
  <c r="AL501" i="24"/>
  <c r="AM501" i="24"/>
  <c r="AO501" i="24"/>
  <c r="AP501" i="24"/>
  <c r="AQ501" i="24"/>
  <c r="E501" i="24"/>
  <c r="D502" i="24"/>
  <c r="D503" i="24"/>
  <c r="D504" i="24"/>
  <c r="D505" i="24"/>
  <c r="D506" i="24"/>
  <c r="D507" i="24"/>
  <c r="D508" i="24"/>
  <c r="D509" i="24"/>
  <c r="D510" i="24"/>
  <c r="C502" i="24"/>
  <c r="C503" i="24"/>
  <c r="C504" i="24"/>
  <c r="C505" i="24"/>
  <c r="C506" i="24"/>
  <c r="C507" i="24"/>
  <c r="C508" i="24"/>
  <c r="C509" i="24"/>
  <c r="C510" i="24"/>
  <c r="C501" i="24"/>
  <c r="D501" i="24"/>
  <c r="E510" i="23"/>
  <c r="F510" i="23"/>
  <c r="G510" i="23"/>
  <c r="I510" i="23"/>
  <c r="J510" i="23"/>
  <c r="K510" i="23"/>
  <c r="M510" i="23"/>
  <c r="N510" i="23"/>
  <c r="O510" i="23"/>
  <c r="Q510" i="23"/>
  <c r="R510" i="23"/>
  <c r="S510" i="23"/>
  <c r="U510" i="23"/>
  <c r="V510" i="23"/>
  <c r="W510" i="23"/>
  <c r="AC510" i="23"/>
  <c r="AD510" i="23"/>
  <c r="AE510" i="23"/>
  <c r="AG510" i="23"/>
  <c r="AH510" i="23"/>
  <c r="AI510" i="23"/>
  <c r="AK510" i="23"/>
  <c r="AL510" i="23"/>
  <c r="AM510" i="23"/>
  <c r="AO510" i="23"/>
  <c r="AP510" i="23"/>
  <c r="AQ510" i="23"/>
  <c r="E511" i="23"/>
  <c r="F511" i="23"/>
  <c r="G511" i="23"/>
  <c r="I511" i="23"/>
  <c r="J511" i="23"/>
  <c r="K511" i="23"/>
  <c r="M511" i="23"/>
  <c r="N511" i="23"/>
  <c r="O511" i="23"/>
  <c r="Q511" i="23"/>
  <c r="R511" i="23"/>
  <c r="S511" i="23"/>
  <c r="U511" i="23"/>
  <c r="V511" i="23"/>
  <c r="W511" i="23"/>
  <c r="AC511" i="23"/>
  <c r="AD511" i="23"/>
  <c r="AE511" i="23"/>
  <c r="AG511" i="23"/>
  <c r="AH511" i="23"/>
  <c r="AI511" i="23"/>
  <c r="AK511" i="23"/>
  <c r="AL511" i="23"/>
  <c r="AM511" i="23"/>
  <c r="AO511" i="23"/>
  <c r="AP511" i="23"/>
  <c r="AQ511" i="23"/>
  <c r="E512" i="23"/>
  <c r="F512" i="23"/>
  <c r="G512" i="23"/>
  <c r="I512" i="23"/>
  <c r="J512" i="23"/>
  <c r="K512" i="23"/>
  <c r="M512" i="23"/>
  <c r="N512" i="23"/>
  <c r="O512" i="23"/>
  <c r="Q512" i="23"/>
  <c r="R512" i="23"/>
  <c r="S512" i="23"/>
  <c r="U512" i="23"/>
  <c r="V512" i="23"/>
  <c r="W512" i="23"/>
  <c r="AC512" i="23"/>
  <c r="AD512" i="23"/>
  <c r="AE512" i="23"/>
  <c r="AG512" i="23"/>
  <c r="AH512" i="23"/>
  <c r="AI512" i="23"/>
  <c r="AK512" i="23"/>
  <c r="AL512" i="23"/>
  <c r="AM512" i="23"/>
  <c r="AO512" i="23"/>
  <c r="AP512" i="23"/>
  <c r="AQ512" i="23"/>
  <c r="F509" i="23"/>
  <c r="G509" i="23"/>
  <c r="I509" i="23"/>
  <c r="J509" i="23"/>
  <c r="K509" i="23"/>
  <c r="M509" i="23"/>
  <c r="N509" i="23"/>
  <c r="O509" i="23"/>
  <c r="Q509" i="23"/>
  <c r="R509" i="23"/>
  <c r="S509" i="23"/>
  <c r="U509" i="23"/>
  <c r="V509" i="23"/>
  <c r="W509" i="23"/>
  <c r="AC509" i="23"/>
  <c r="AD509" i="23"/>
  <c r="AE509" i="23"/>
  <c r="AG509" i="23"/>
  <c r="AH509" i="23"/>
  <c r="AI509" i="23"/>
  <c r="AK509" i="23"/>
  <c r="AL509" i="23"/>
  <c r="AM509" i="23"/>
  <c r="AO509" i="23"/>
  <c r="AP509" i="23"/>
  <c r="AQ509" i="23"/>
  <c r="E509" i="23"/>
  <c r="D509" i="23"/>
  <c r="D510" i="23"/>
  <c r="D511" i="23"/>
  <c r="D512" i="23"/>
  <c r="D513" i="23"/>
  <c r="C510" i="23"/>
  <c r="C511" i="23"/>
  <c r="C512" i="23"/>
  <c r="C513" i="23"/>
  <c r="C509" i="23"/>
  <c r="E502" i="23"/>
  <c r="F502" i="23"/>
  <c r="G502" i="23"/>
  <c r="I502" i="23"/>
  <c r="J502" i="23"/>
  <c r="K502" i="23"/>
  <c r="M502" i="23"/>
  <c r="N502" i="23"/>
  <c r="O502" i="23"/>
  <c r="Q502" i="23"/>
  <c r="R502" i="23"/>
  <c r="S502" i="23"/>
  <c r="U502" i="23"/>
  <c r="V502" i="23"/>
  <c r="W502" i="23"/>
  <c r="AC502" i="23"/>
  <c r="AD502" i="23"/>
  <c r="AE502" i="23"/>
  <c r="AG502" i="23"/>
  <c r="AH502" i="23"/>
  <c r="AI502" i="23"/>
  <c r="AK502" i="23"/>
  <c r="AL502" i="23"/>
  <c r="AM502" i="23"/>
  <c r="AO502" i="23"/>
  <c r="AP502" i="23"/>
  <c r="AQ502" i="23"/>
  <c r="E503" i="23"/>
  <c r="F503" i="23"/>
  <c r="G503" i="23"/>
  <c r="I503" i="23"/>
  <c r="J503" i="23"/>
  <c r="K503" i="23"/>
  <c r="M503" i="23"/>
  <c r="N503" i="23"/>
  <c r="O503" i="23"/>
  <c r="Q503" i="23"/>
  <c r="R503" i="23"/>
  <c r="S503" i="23"/>
  <c r="U503" i="23"/>
  <c r="V503" i="23"/>
  <c r="W503" i="23"/>
  <c r="AC503" i="23"/>
  <c r="AD503" i="23"/>
  <c r="AE503" i="23"/>
  <c r="AG503" i="23"/>
  <c r="AH503" i="23"/>
  <c r="AI503" i="23"/>
  <c r="AK503" i="23"/>
  <c r="AL503" i="23"/>
  <c r="AM503" i="23"/>
  <c r="AO503" i="23"/>
  <c r="AP503" i="23"/>
  <c r="AQ503" i="23"/>
  <c r="E504" i="23"/>
  <c r="F504" i="23"/>
  <c r="G504" i="23"/>
  <c r="I504" i="23"/>
  <c r="J504" i="23"/>
  <c r="K504" i="23"/>
  <c r="M504" i="23"/>
  <c r="N504" i="23"/>
  <c r="O504" i="23"/>
  <c r="Q504" i="23"/>
  <c r="R504" i="23"/>
  <c r="S504" i="23"/>
  <c r="U504" i="23"/>
  <c r="V504" i="23"/>
  <c r="W504" i="23"/>
  <c r="AC504" i="23"/>
  <c r="AD504" i="23"/>
  <c r="AE504" i="23"/>
  <c r="AG504" i="23"/>
  <c r="AH504" i="23"/>
  <c r="AI504" i="23"/>
  <c r="AK504" i="23"/>
  <c r="AL504" i="23"/>
  <c r="AM504" i="23"/>
  <c r="AO504" i="23"/>
  <c r="AP504" i="23"/>
  <c r="AQ504" i="23"/>
  <c r="E505" i="23"/>
  <c r="F505" i="23"/>
  <c r="G505" i="23"/>
  <c r="I505" i="23"/>
  <c r="J505" i="23"/>
  <c r="K505" i="23"/>
  <c r="M505" i="23"/>
  <c r="N505" i="23"/>
  <c r="O505" i="23"/>
  <c r="Q505" i="23"/>
  <c r="R505" i="23"/>
  <c r="S505" i="23"/>
  <c r="U505" i="23"/>
  <c r="V505" i="23"/>
  <c r="W505" i="23"/>
  <c r="AC505" i="23"/>
  <c r="AD505" i="23"/>
  <c r="AE505" i="23"/>
  <c r="AG505" i="23"/>
  <c r="AH505" i="23"/>
  <c r="AI505" i="23"/>
  <c r="AK505" i="23"/>
  <c r="AL505" i="23"/>
  <c r="AM505" i="23"/>
  <c r="AO505" i="23"/>
  <c r="AP505" i="23"/>
  <c r="AQ505" i="23"/>
  <c r="E506" i="23"/>
  <c r="F506" i="23"/>
  <c r="G506" i="23"/>
  <c r="I506" i="23"/>
  <c r="J506" i="23"/>
  <c r="K506" i="23"/>
  <c r="M506" i="23"/>
  <c r="N506" i="23"/>
  <c r="O506" i="23"/>
  <c r="Q506" i="23"/>
  <c r="R506" i="23"/>
  <c r="S506" i="23"/>
  <c r="U506" i="23"/>
  <c r="V506" i="23"/>
  <c r="W506" i="23"/>
  <c r="AC506" i="23"/>
  <c r="AD506" i="23"/>
  <c r="AE506" i="23"/>
  <c r="AG506" i="23"/>
  <c r="AH506" i="23"/>
  <c r="AI506" i="23"/>
  <c r="AK506" i="23"/>
  <c r="AL506" i="23"/>
  <c r="AM506" i="23"/>
  <c r="AO506" i="23"/>
  <c r="AP506" i="23"/>
  <c r="AQ506" i="23"/>
  <c r="E507" i="23"/>
  <c r="F507" i="23"/>
  <c r="G507" i="23"/>
  <c r="I507" i="23"/>
  <c r="J507" i="23"/>
  <c r="K507" i="23"/>
  <c r="M507" i="23"/>
  <c r="N507" i="23"/>
  <c r="O507" i="23"/>
  <c r="Q507" i="23"/>
  <c r="R507" i="23"/>
  <c r="S507" i="23"/>
  <c r="U507" i="23"/>
  <c r="V507" i="23"/>
  <c r="W507" i="23"/>
  <c r="AC507" i="23"/>
  <c r="AD507" i="23"/>
  <c r="AE507" i="23"/>
  <c r="AG507" i="23"/>
  <c r="AH507" i="23"/>
  <c r="AI507" i="23"/>
  <c r="AK507" i="23"/>
  <c r="AL507" i="23"/>
  <c r="AM507" i="23"/>
  <c r="AO507" i="23"/>
  <c r="AP507" i="23"/>
  <c r="AQ507" i="23"/>
  <c r="F501" i="23"/>
  <c r="G501" i="23"/>
  <c r="I501" i="23"/>
  <c r="J501" i="23"/>
  <c r="K501" i="23"/>
  <c r="M501" i="23"/>
  <c r="N501" i="23"/>
  <c r="O501" i="23"/>
  <c r="Q501" i="23"/>
  <c r="R501" i="23"/>
  <c r="S501" i="23"/>
  <c r="U501" i="23"/>
  <c r="V501" i="23"/>
  <c r="W501" i="23"/>
  <c r="AC501" i="23"/>
  <c r="AD501" i="23"/>
  <c r="AE501" i="23"/>
  <c r="AG501" i="23"/>
  <c r="AH501" i="23"/>
  <c r="AI501" i="23"/>
  <c r="AK501" i="23"/>
  <c r="AL501" i="23"/>
  <c r="AM501" i="23"/>
  <c r="AO501" i="23"/>
  <c r="AP501" i="23"/>
  <c r="AQ501" i="23"/>
  <c r="E501" i="23"/>
  <c r="D502" i="23"/>
  <c r="D503" i="23"/>
  <c r="D504" i="23"/>
  <c r="D505" i="23"/>
  <c r="D506" i="23"/>
  <c r="D507" i="23"/>
  <c r="D508" i="23"/>
  <c r="C502" i="23"/>
  <c r="C503" i="23"/>
  <c r="C504" i="23"/>
  <c r="C505" i="23"/>
  <c r="C506" i="23"/>
  <c r="C507" i="23"/>
  <c r="C508" i="23"/>
  <c r="C501" i="23"/>
  <c r="D501" i="23"/>
  <c r="F501" i="17"/>
  <c r="G501" i="17"/>
  <c r="H501" i="17"/>
  <c r="I501" i="17"/>
  <c r="J501" i="17"/>
  <c r="L501" i="17"/>
  <c r="M501" i="17"/>
  <c r="N501" i="17"/>
  <c r="O501" i="17"/>
  <c r="P501" i="17"/>
  <c r="Q501" i="17"/>
  <c r="S501" i="17"/>
  <c r="T501" i="17"/>
  <c r="U501" i="17"/>
  <c r="V501" i="17"/>
  <c r="W501" i="17"/>
  <c r="X501" i="17"/>
  <c r="E501" i="17"/>
  <c r="C501" i="17"/>
  <c r="D501" i="17"/>
  <c r="E503" i="18"/>
  <c r="F503" i="18"/>
  <c r="G503" i="18"/>
  <c r="H503" i="18"/>
  <c r="I503" i="18"/>
  <c r="J503" i="18"/>
  <c r="L503" i="18"/>
  <c r="M503" i="18"/>
  <c r="N503" i="18"/>
  <c r="O503" i="18"/>
  <c r="P503" i="18"/>
  <c r="Q503" i="18"/>
  <c r="S503" i="18"/>
  <c r="T503" i="18"/>
  <c r="U503" i="18"/>
  <c r="V503" i="18"/>
  <c r="W503" i="18"/>
  <c r="X503" i="18"/>
  <c r="E504" i="18"/>
  <c r="F504" i="18"/>
  <c r="G504" i="18"/>
  <c r="H504" i="18"/>
  <c r="I504" i="18"/>
  <c r="J504" i="18"/>
  <c r="L504" i="18"/>
  <c r="M504" i="18"/>
  <c r="N504" i="18"/>
  <c r="O504" i="18"/>
  <c r="P504" i="18"/>
  <c r="Q504" i="18"/>
  <c r="S504" i="18"/>
  <c r="T504" i="18"/>
  <c r="U504" i="18"/>
  <c r="V504" i="18"/>
  <c r="W504" i="18"/>
  <c r="X504" i="18"/>
  <c r="E505" i="18"/>
  <c r="F505" i="18"/>
  <c r="G505" i="18"/>
  <c r="H505" i="18"/>
  <c r="I505" i="18"/>
  <c r="J505" i="18"/>
  <c r="L505" i="18"/>
  <c r="M505" i="18"/>
  <c r="N505" i="18"/>
  <c r="O505" i="18"/>
  <c r="P505" i="18"/>
  <c r="Q505" i="18"/>
  <c r="S505" i="18"/>
  <c r="T505" i="18"/>
  <c r="U505" i="18"/>
  <c r="V505" i="18"/>
  <c r="W505" i="18"/>
  <c r="X505" i="18"/>
  <c r="E506" i="18"/>
  <c r="F506" i="18"/>
  <c r="G506" i="18"/>
  <c r="H506" i="18"/>
  <c r="I506" i="18"/>
  <c r="J506" i="18"/>
  <c r="L506" i="18"/>
  <c r="M506" i="18"/>
  <c r="N506" i="18"/>
  <c r="O506" i="18"/>
  <c r="P506" i="18"/>
  <c r="Q506" i="18"/>
  <c r="S506" i="18"/>
  <c r="T506" i="18"/>
  <c r="U506" i="18"/>
  <c r="V506" i="18"/>
  <c r="W506" i="18"/>
  <c r="X506" i="18"/>
  <c r="E507" i="18"/>
  <c r="F507" i="18"/>
  <c r="G507" i="18"/>
  <c r="H507" i="18"/>
  <c r="I507" i="18"/>
  <c r="J507" i="18"/>
  <c r="L507" i="18"/>
  <c r="M507" i="18"/>
  <c r="N507" i="18"/>
  <c r="O507" i="18"/>
  <c r="P507" i="18"/>
  <c r="Q507" i="18"/>
  <c r="S507" i="18"/>
  <c r="T507" i="18"/>
  <c r="U507" i="18"/>
  <c r="V507" i="18"/>
  <c r="W507" i="18"/>
  <c r="X507" i="18"/>
  <c r="E508" i="18"/>
  <c r="F508" i="18"/>
  <c r="G508" i="18"/>
  <c r="H508" i="18"/>
  <c r="I508" i="18"/>
  <c r="J508" i="18"/>
  <c r="L508" i="18"/>
  <c r="M508" i="18"/>
  <c r="N508" i="18"/>
  <c r="O508" i="18"/>
  <c r="P508" i="18"/>
  <c r="Q508" i="18"/>
  <c r="S508" i="18"/>
  <c r="T508" i="18"/>
  <c r="U508" i="18"/>
  <c r="V508" i="18"/>
  <c r="W508" i="18"/>
  <c r="X508" i="18"/>
  <c r="E509" i="18"/>
  <c r="F509" i="18"/>
  <c r="G509" i="18"/>
  <c r="H509" i="18"/>
  <c r="I509" i="18"/>
  <c r="J509" i="18"/>
  <c r="L509" i="18"/>
  <c r="M509" i="18"/>
  <c r="N509" i="18"/>
  <c r="O509" i="18"/>
  <c r="P509" i="18"/>
  <c r="Q509" i="18"/>
  <c r="S509" i="18"/>
  <c r="T509" i="18"/>
  <c r="U509" i="18"/>
  <c r="V509" i="18"/>
  <c r="W509" i="18"/>
  <c r="X509" i="18"/>
  <c r="E510" i="18"/>
  <c r="F510" i="18"/>
  <c r="G510" i="18"/>
  <c r="H510" i="18"/>
  <c r="I510" i="18"/>
  <c r="J510" i="18"/>
  <c r="L510" i="18"/>
  <c r="M510" i="18"/>
  <c r="N510" i="18"/>
  <c r="O510" i="18"/>
  <c r="P510" i="18"/>
  <c r="Q510" i="18"/>
  <c r="S510" i="18"/>
  <c r="T510" i="18"/>
  <c r="U510" i="18"/>
  <c r="V510" i="18"/>
  <c r="W510" i="18"/>
  <c r="X510" i="18"/>
  <c r="E512" i="18"/>
  <c r="F512" i="18"/>
  <c r="G512" i="18"/>
  <c r="H512" i="18"/>
  <c r="I512" i="18"/>
  <c r="J512" i="18"/>
  <c r="L512" i="18"/>
  <c r="M512" i="18"/>
  <c r="N512" i="18"/>
  <c r="O512" i="18"/>
  <c r="P512" i="18"/>
  <c r="Q512" i="18"/>
  <c r="S512" i="18"/>
  <c r="T512" i="18"/>
  <c r="U512" i="18"/>
  <c r="V512" i="18"/>
  <c r="W512" i="18"/>
  <c r="X512" i="18"/>
  <c r="E513" i="18"/>
  <c r="F513" i="18"/>
  <c r="G513" i="18"/>
  <c r="H513" i="18"/>
  <c r="I513" i="18"/>
  <c r="J513" i="18"/>
  <c r="L513" i="18"/>
  <c r="M513" i="18"/>
  <c r="N513" i="18"/>
  <c r="O513" i="18"/>
  <c r="P513" i="18"/>
  <c r="Q513" i="18"/>
  <c r="S513" i="18"/>
  <c r="T513" i="18"/>
  <c r="U513" i="18"/>
  <c r="V513" i="18"/>
  <c r="W513" i="18"/>
  <c r="X513" i="18"/>
  <c r="E514" i="18"/>
  <c r="F514" i="18"/>
  <c r="G514" i="18"/>
  <c r="H514" i="18"/>
  <c r="I514" i="18"/>
  <c r="J514" i="18"/>
  <c r="L514" i="18"/>
  <c r="M514" i="18"/>
  <c r="N514" i="18"/>
  <c r="O514" i="18"/>
  <c r="P514" i="18"/>
  <c r="Q514" i="18"/>
  <c r="S514" i="18"/>
  <c r="T514" i="18"/>
  <c r="U514" i="18"/>
  <c r="V514" i="18"/>
  <c r="W514" i="18"/>
  <c r="X514" i="18"/>
  <c r="E515" i="18"/>
  <c r="F515" i="18"/>
  <c r="G515" i="18"/>
  <c r="H515" i="18"/>
  <c r="I515" i="18"/>
  <c r="J515" i="18"/>
  <c r="L515" i="18"/>
  <c r="M515" i="18"/>
  <c r="N515" i="18"/>
  <c r="O515" i="18"/>
  <c r="P515" i="18"/>
  <c r="Q515" i="18"/>
  <c r="S515" i="18"/>
  <c r="T515" i="18"/>
  <c r="U515" i="18"/>
  <c r="V515" i="18"/>
  <c r="W515" i="18"/>
  <c r="X515" i="18"/>
  <c r="E516" i="18"/>
  <c r="F516" i="18"/>
  <c r="G516" i="18"/>
  <c r="H516" i="18"/>
  <c r="I516" i="18"/>
  <c r="J516" i="18"/>
  <c r="L516" i="18"/>
  <c r="M516" i="18"/>
  <c r="N516" i="18"/>
  <c r="O516" i="18"/>
  <c r="P516" i="18"/>
  <c r="Q516" i="18"/>
  <c r="S516" i="18"/>
  <c r="T516" i="18"/>
  <c r="U516" i="18"/>
  <c r="V516" i="18"/>
  <c r="W516" i="18"/>
  <c r="X516" i="18"/>
  <c r="E517" i="18"/>
  <c r="F517" i="18"/>
  <c r="G517" i="18"/>
  <c r="H517" i="18"/>
  <c r="I517" i="18"/>
  <c r="J517" i="18"/>
  <c r="L517" i="18"/>
  <c r="M517" i="18"/>
  <c r="N517" i="18"/>
  <c r="O517" i="18"/>
  <c r="P517" i="18"/>
  <c r="Q517" i="18"/>
  <c r="S517" i="18"/>
  <c r="T517" i="18"/>
  <c r="U517" i="18"/>
  <c r="V517" i="18"/>
  <c r="W517" i="18"/>
  <c r="X517" i="18"/>
  <c r="E518" i="18"/>
  <c r="F518" i="18"/>
  <c r="G518" i="18"/>
  <c r="H518" i="18"/>
  <c r="I518" i="18"/>
  <c r="J518" i="18"/>
  <c r="L518" i="18"/>
  <c r="M518" i="18"/>
  <c r="N518" i="18"/>
  <c r="O518" i="18"/>
  <c r="P518" i="18"/>
  <c r="Q518" i="18"/>
  <c r="S518" i="18"/>
  <c r="T518" i="18"/>
  <c r="U518" i="18"/>
  <c r="V518" i="18"/>
  <c r="W518" i="18"/>
  <c r="X518" i="18"/>
  <c r="E519" i="18"/>
  <c r="F519" i="18"/>
  <c r="G519" i="18"/>
  <c r="H519" i="18"/>
  <c r="I519" i="18"/>
  <c r="J519" i="18"/>
  <c r="L519" i="18"/>
  <c r="M519" i="18"/>
  <c r="N519" i="18"/>
  <c r="O519" i="18"/>
  <c r="P519" i="18"/>
  <c r="Q519" i="18"/>
  <c r="S519" i="18"/>
  <c r="T519" i="18"/>
  <c r="U519" i="18"/>
  <c r="V519" i="18"/>
  <c r="W519" i="18"/>
  <c r="X519" i="18"/>
  <c r="E520" i="18"/>
  <c r="F520" i="18"/>
  <c r="G520" i="18"/>
  <c r="H520" i="18"/>
  <c r="I520" i="18"/>
  <c r="J520" i="18"/>
  <c r="L520" i="18"/>
  <c r="M520" i="18"/>
  <c r="N520" i="18"/>
  <c r="O520" i="18"/>
  <c r="P520" i="18"/>
  <c r="Q520" i="18"/>
  <c r="S520" i="18"/>
  <c r="T520" i="18"/>
  <c r="U520" i="18"/>
  <c r="V520" i="18"/>
  <c r="W520" i="18"/>
  <c r="X520" i="18"/>
  <c r="E521" i="18"/>
  <c r="F521" i="18"/>
  <c r="G521" i="18"/>
  <c r="H521" i="18"/>
  <c r="I521" i="18"/>
  <c r="J521" i="18"/>
  <c r="L521" i="18"/>
  <c r="M521" i="18"/>
  <c r="N521" i="18"/>
  <c r="O521" i="18"/>
  <c r="P521" i="18"/>
  <c r="Q521" i="18"/>
  <c r="S521" i="18"/>
  <c r="T521" i="18"/>
  <c r="U521" i="18"/>
  <c r="V521" i="18"/>
  <c r="W521" i="18"/>
  <c r="X521" i="18"/>
  <c r="E522" i="18"/>
  <c r="F522" i="18"/>
  <c r="G522" i="18"/>
  <c r="H522" i="18"/>
  <c r="I522" i="18"/>
  <c r="J522" i="18"/>
  <c r="L522" i="18"/>
  <c r="M522" i="18"/>
  <c r="N522" i="18"/>
  <c r="O522" i="18"/>
  <c r="P522" i="18"/>
  <c r="Q522" i="18"/>
  <c r="S522" i="18"/>
  <c r="T522" i="18"/>
  <c r="U522" i="18"/>
  <c r="V522" i="18"/>
  <c r="W522" i="18"/>
  <c r="X522" i="18"/>
  <c r="E523" i="18"/>
  <c r="F523" i="18"/>
  <c r="G523" i="18"/>
  <c r="H523" i="18"/>
  <c r="I523" i="18"/>
  <c r="J523" i="18"/>
  <c r="L523" i="18"/>
  <c r="M523" i="18"/>
  <c r="N523" i="18"/>
  <c r="O523" i="18"/>
  <c r="P523" i="18"/>
  <c r="Q523" i="18"/>
  <c r="S523" i="18"/>
  <c r="T523" i="18"/>
  <c r="U523" i="18"/>
  <c r="V523" i="18"/>
  <c r="W523" i="18"/>
  <c r="X523" i="18"/>
  <c r="E524" i="18"/>
  <c r="F524" i="18"/>
  <c r="G524" i="18"/>
  <c r="H524" i="18"/>
  <c r="I524" i="18"/>
  <c r="J524" i="18"/>
  <c r="L524" i="18"/>
  <c r="M524" i="18"/>
  <c r="N524" i="18"/>
  <c r="O524" i="18"/>
  <c r="P524" i="18"/>
  <c r="Q524" i="18"/>
  <c r="S524" i="18"/>
  <c r="T524" i="18"/>
  <c r="U524" i="18"/>
  <c r="V524" i="18"/>
  <c r="W524" i="18"/>
  <c r="X524" i="18"/>
  <c r="E525" i="18"/>
  <c r="F525" i="18"/>
  <c r="G525" i="18"/>
  <c r="H525" i="18"/>
  <c r="I525" i="18"/>
  <c r="J525" i="18"/>
  <c r="L525" i="18"/>
  <c r="M525" i="18"/>
  <c r="N525" i="18"/>
  <c r="O525" i="18"/>
  <c r="P525" i="18"/>
  <c r="Q525" i="18"/>
  <c r="S525" i="18"/>
  <c r="T525" i="18"/>
  <c r="U525" i="18"/>
  <c r="V525" i="18"/>
  <c r="W525" i="18"/>
  <c r="X525" i="18"/>
  <c r="E526" i="18"/>
  <c r="F526" i="18"/>
  <c r="G526" i="18"/>
  <c r="H526" i="18"/>
  <c r="I526" i="18"/>
  <c r="J526" i="18"/>
  <c r="L526" i="18"/>
  <c r="M526" i="18"/>
  <c r="N526" i="18"/>
  <c r="O526" i="18"/>
  <c r="P526" i="18"/>
  <c r="Q526" i="18"/>
  <c r="S526" i="18"/>
  <c r="T526" i="18"/>
  <c r="U526" i="18"/>
  <c r="V526" i="18"/>
  <c r="W526" i="18"/>
  <c r="X526" i="18"/>
  <c r="E527" i="18"/>
  <c r="F527" i="18"/>
  <c r="G527" i="18"/>
  <c r="H527" i="18"/>
  <c r="I527" i="18"/>
  <c r="J527" i="18"/>
  <c r="L527" i="18"/>
  <c r="M527" i="18"/>
  <c r="N527" i="18"/>
  <c r="O527" i="18"/>
  <c r="P527" i="18"/>
  <c r="Q527" i="18"/>
  <c r="S527" i="18"/>
  <c r="T527" i="18"/>
  <c r="U527" i="18"/>
  <c r="V527" i="18"/>
  <c r="W527" i="18"/>
  <c r="X527" i="18"/>
  <c r="E528" i="18"/>
  <c r="F528" i="18"/>
  <c r="G528" i="18"/>
  <c r="H528" i="18"/>
  <c r="I528" i="18"/>
  <c r="J528" i="18"/>
  <c r="L528" i="18"/>
  <c r="M528" i="18"/>
  <c r="N528" i="18"/>
  <c r="O528" i="18"/>
  <c r="P528" i="18"/>
  <c r="Q528" i="18"/>
  <c r="S528" i="18"/>
  <c r="T528" i="18"/>
  <c r="U528" i="18"/>
  <c r="V528" i="18"/>
  <c r="W528" i="18"/>
  <c r="X528" i="18"/>
  <c r="E529" i="18"/>
  <c r="F529" i="18"/>
  <c r="G529" i="18"/>
  <c r="H529" i="18"/>
  <c r="I529" i="18"/>
  <c r="J529" i="18"/>
  <c r="L529" i="18"/>
  <c r="M529" i="18"/>
  <c r="N529" i="18"/>
  <c r="O529" i="18"/>
  <c r="P529" i="18"/>
  <c r="Q529" i="18"/>
  <c r="S529" i="18"/>
  <c r="T529" i="18"/>
  <c r="U529" i="18"/>
  <c r="V529" i="18"/>
  <c r="W529" i="18"/>
  <c r="X529" i="18"/>
  <c r="E530" i="18"/>
  <c r="F530" i="18"/>
  <c r="G530" i="18"/>
  <c r="H530" i="18"/>
  <c r="I530" i="18"/>
  <c r="J530" i="18"/>
  <c r="L530" i="18"/>
  <c r="M530" i="18"/>
  <c r="N530" i="18"/>
  <c r="O530" i="18"/>
  <c r="P530" i="18"/>
  <c r="Q530" i="18"/>
  <c r="S530" i="18"/>
  <c r="T530" i="18"/>
  <c r="U530" i="18"/>
  <c r="V530" i="18"/>
  <c r="W530" i="18"/>
  <c r="X530" i="18"/>
  <c r="F501" i="18"/>
  <c r="G501" i="18"/>
  <c r="H501" i="18"/>
  <c r="I501" i="18"/>
  <c r="J501" i="18"/>
  <c r="L501" i="18"/>
  <c r="M501" i="18"/>
  <c r="N501" i="18"/>
  <c r="O501" i="18"/>
  <c r="P501" i="18"/>
  <c r="Q501" i="18"/>
  <c r="S501" i="18"/>
  <c r="T501" i="18"/>
  <c r="U501" i="18"/>
  <c r="V501" i="18"/>
  <c r="W501" i="18"/>
  <c r="X501" i="18"/>
  <c r="E501" i="18"/>
  <c r="D502" i="18"/>
  <c r="D503" i="18"/>
  <c r="D504" i="18"/>
  <c r="D505" i="18"/>
  <c r="D506" i="18"/>
  <c r="D507" i="18"/>
  <c r="D508" i="18"/>
  <c r="D509" i="18"/>
  <c r="D510" i="18"/>
  <c r="D511" i="18"/>
  <c r="D512" i="18"/>
  <c r="D513" i="18"/>
  <c r="D514" i="18"/>
  <c r="D515" i="18"/>
  <c r="D516" i="18"/>
  <c r="D517" i="18"/>
  <c r="D518" i="18"/>
  <c r="D519" i="18"/>
  <c r="D520" i="18"/>
  <c r="D521" i="18"/>
  <c r="D522" i="18"/>
  <c r="D523" i="18"/>
  <c r="D524" i="18"/>
  <c r="D525" i="18"/>
  <c r="D526" i="18"/>
  <c r="D527" i="18"/>
  <c r="D528" i="18"/>
  <c r="D529" i="18"/>
  <c r="D530" i="18"/>
  <c r="D53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01" i="18"/>
  <c r="D501" i="18"/>
  <c r="F501" i="16"/>
  <c r="G501" i="16"/>
  <c r="H501" i="16"/>
  <c r="J501" i="16"/>
  <c r="K501" i="16"/>
  <c r="L501" i="16"/>
  <c r="M501" i="16"/>
  <c r="O501" i="16"/>
  <c r="P501" i="16"/>
  <c r="Q501" i="16"/>
  <c r="R501" i="16"/>
  <c r="E501" i="16"/>
  <c r="C501" i="16"/>
  <c r="D501" i="16"/>
  <c r="F508" i="10"/>
  <c r="G508" i="10"/>
  <c r="H508" i="10"/>
  <c r="J508" i="10"/>
  <c r="K508" i="10"/>
  <c r="L508" i="10"/>
  <c r="F509" i="10"/>
  <c r="G509" i="10"/>
  <c r="H509" i="10"/>
  <c r="J509" i="10"/>
  <c r="K509" i="10"/>
  <c r="L509" i="10"/>
  <c r="F510" i="10"/>
  <c r="G510" i="10"/>
  <c r="H510" i="10"/>
  <c r="J510" i="10"/>
  <c r="K510" i="10"/>
  <c r="L510" i="10"/>
  <c r="F511" i="10"/>
  <c r="G511" i="10"/>
  <c r="H511" i="10"/>
  <c r="J511" i="10"/>
  <c r="K511" i="10"/>
  <c r="L511" i="10"/>
  <c r="G507" i="10"/>
  <c r="H507" i="10"/>
  <c r="J507" i="10"/>
  <c r="K507" i="10"/>
  <c r="L507" i="10"/>
  <c r="F507" i="10"/>
  <c r="F502" i="10"/>
  <c r="G502" i="10"/>
  <c r="H502" i="10"/>
  <c r="J502" i="10"/>
  <c r="K502" i="10"/>
  <c r="L502" i="10"/>
  <c r="F503" i="10"/>
  <c r="G503" i="10"/>
  <c r="H503" i="10"/>
  <c r="J503" i="10"/>
  <c r="K503" i="10"/>
  <c r="L503" i="10"/>
  <c r="F504" i="10"/>
  <c r="G504" i="10"/>
  <c r="H504" i="10"/>
  <c r="J504" i="10"/>
  <c r="K504" i="10"/>
  <c r="L504" i="10"/>
  <c r="F505" i="10"/>
  <c r="G505" i="10"/>
  <c r="H505" i="10"/>
  <c r="J505" i="10"/>
  <c r="K505" i="10"/>
  <c r="L505" i="10"/>
  <c r="G501" i="10"/>
  <c r="H501" i="10"/>
  <c r="J501" i="10"/>
  <c r="K501" i="10"/>
  <c r="L501" i="10"/>
  <c r="F501" i="10"/>
  <c r="E508" i="10"/>
  <c r="E509" i="10"/>
  <c r="E510" i="10"/>
  <c r="E511" i="10"/>
  <c r="E507" i="10"/>
  <c r="E502" i="10"/>
  <c r="E503" i="10"/>
  <c r="E504" i="10"/>
  <c r="E505" i="10"/>
  <c r="E501" i="10"/>
  <c r="D507" i="10"/>
  <c r="D508" i="10"/>
  <c r="D509" i="10"/>
  <c r="D510" i="10"/>
  <c r="D511" i="10"/>
  <c r="D512" i="10"/>
  <c r="C508" i="10"/>
  <c r="C509" i="10"/>
  <c r="C510" i="10"/>
  <c r="C511" i="10"/>
  <c r="C512" i="10"/>
  <c r="C507" i="10"/>
  <c r="D502" i="10"/>
  <c r="D503" i="10"/>
  <c r="D504" i="10"/>
  <c r="D505" i="10"/>
  <c r="D506" i="10"/>
  <c r="C502" i="10"/>
  <c r="C503" i="10"/>
  <c r="C504" i="10"/>
  <c r="C505" i="10"/>
  <c r="C506" i="10"/>
  <c r="C501" i="10"/>
  <c r="D501" i="10"/>
  <c r="L502" i="15"/>
  <c r="M502" i="15"/>
  <c r="L503" i="15"/>
  <c r="M503" i="15"/>
  <c r="L504" i="15"/>
  <c r="M504" i="15"/>
  <c r="L505" i="15"/>
  <c r="M505" i="15"/>
  <c r="L506" i="15"/>
  <c r="M506" i="15"/>
  <c r="L507" i="15"/>
  <c r="M507" i="15"/>
  <c r="L508" i="15"/>
  <c r="M508" i="15"/>
  <c r="M501" i="15"/>
  <c r="L501" i="15"/>
  <c r="K502" i="15"/>
  <c r="K503" i="15"/>
  <c r="K504" i="15"/>
  <c r="K505" i="15"/>
  <c r="K506" i="15"/>
  <c r="K507" i="15"/>
  <c r="K508" i="15"/>
  <c r="K501" i="15"/>
  <c r="I502" i="15"/>
  <c r="J502" i="15"/>
  <c r="I503" i="15"/>
  <c r="J503" i="15"/>
  <c r="I504" i="15"/>
  <c r="J504" i="15"/>
  <c r="I505" i="15"/>
  <c r="J505" i="15"/>
  <c r="I506" i="15"/>
  <c r="J506" i="15"/>
  <c r="I507" i="15"/>
  <c r="J507" i="15"/>
  <c r="I508" i="15"/>
  <c r="J508" i="15"/>
  <c r="J501" i="15"/>
  <c r="I501" i="15"/>
  <c r="H502" i="15"/>
  <c r="H503" i="15"/>
  <c r="H504" i="15"/>
  <c r="H505" i="15"/>
  <c r="H506" i="15"/>
  <c r="H507" i="15"/>
  <c r="H508" i="15"/>
  <c r="H501" i="15"/>
  <c r="F502" i="15"/>
  <c r="G502" i="15"/>
  <c r="F503" i="15"/>
  <c r="G503" i="15"/>
  <c r="F504" i="15"/>
  <c r="G504" i="15"/>
  <c r="F505" i="15"/>
  <c r="G505" i="15"/>
  <c r="F506" i="15"/>
  <c r="G506" i="15"/>
  <c r="F507" i="15"/>
  <c r="G507" i="15"/>
  <c r="F508" i="15"/>
  <c r="G508" i="15"/>
  <c r="G501" i="15"/>
  <c r="F501" i="15"/>
  <c r="E502" i="15"/>
  <c r="E503" i="15"/>
  <c r="E504" i="15"/>
  <c r="E505" i="15"/>
  <c r="E506" i="15"/>
  <c r="E507" i="15"/>
  <c r="E508" i="15"/>
  <c r="E501" i="15"/>
  <c r="D502" i="15"/>
  <c r="D503" i="15"/>
  <c r="D504" i="15"/>
  <c r="D505" i="15"/>
  <c r="D506" i="15"/>
  <c r="D507" i="15"/>
  <c r="D508" i="15"/>
  <c r="D509" i="15"/>
  <c r="C502" i="15"/>
  <c r="C503" i="15"/>
  <c r="C504" i="15"/>
  <c r="C505" i="15"/>
  <c r="C506" i="15"/>
  <c r="C507" i="15"/>
  <c r="C508" i="15"/>
  <c r="C509" i="15"/>
  <c r="C501" i="15"/>
  <c r="D501" i="15"/>
  <c r="L502" i="14"/>
  <c r="M502" i="14"/>
  <c r="L503" i="14"/>
  <c r="M503" i="14"/>
  <c r="L504" i="14"/>
  <c r="M504" i="14"/>
  <c r="L505" i="14"/>
  <c r="M505" i="14"/>
  <c r="L506" i="14"/>
  <c r="M506" i="14"/>
  <c r="L507" i="14"/>
  <c r="M507" i="14"/>
  <c r="L508" i="14"/>
  <c r="M508" i="14"/>
  <c r="L509" i="14"/>
  <c r="M509" i="14"/>
  <c r="L510" i="14"/>
  <c r="M510" i="14"/>
  <c r="L511" i="14"/>
  <c r="M511" i="14"/>
  <c r="L512" i="14"/>
  <c r="M512" i="14"/>
  <c r="M501" i="14"/>
  <c r="L501" i="14"/>
  <c r="K502" i="14"/>
  <c r="K503" i="14"/>
  <c r="K504" i="14"/>
  <c r="K505" i="14"/>
  <c r="K506" i="14"/>
  <c r="K507" i="14"/>
  <c r="K508" i="14"/>
  <c r="K509" i="14"/>
  <c r="K510" i="14"/>
  <c r="K511" i="14"/>
  <c r="K512" i="14"/>
  <c r="K501" i="14"/>
  <c r="I502" i="14"/>
  <c r="J502" i="14"/>
  <c r="I503" i="14"/>
  <c r="J503" i="14"/>
  <c r="I504" i="14"/>
  <c r="J504" i="14"/>
  <c r="I505" i="14"/>
  <c r="J505" i="14"/>
  <c r="I506" i="14"/>
  <c r="J506" i="14"/>
  <c r="I507" i="14"/>
  <c r="J507" i="14"/>
  <c r="I508" i="14"/>
  <c r="J508" i="14"/>
  <c r="I509" i="14"/>
  <c r="J509" i="14"/>
  <c r="I510" i="14"/>
  <c r="J510" i="14"/>
  <c r="I511" i="14"/>
  <c r="J511" i="14"/>
  <c r="I512" i="14"/>
  <c r="J512" i="14"/>
  <c r="J501" i="14"/>
  <c r="I501" i="14"/>
  <c r="H502" i="14"/>
  <c r="H503" i="14"/>
  <c r="H504" i="14"/>
  <c r="H505" i="14"/>
  <c r="H506" i="14"/>
  <c r="H507" i="14"/>
  <c r="H508" i="14"/>
  <c r="H509" i="14"/>
  <c r="H510" i="14"/>
  <c r="H511" i="14"/>
  <c r="H512" i="14"/>
  <c r="H501" i="14"/>
  <c r="F502" i="14"/>
  <c r="G502" i="14"/>
  <c r="F503" i="14"/>
  <c r="G503" i="14"/>
  <c r="F504" i="14"/>
  <c r="G504" i="14"/>
  <c r="F505" i="14"/>
  <c r="G505" i="14"/>
  <c r="F506" i="14"/>
  <c r="G506" i="14"/>
  <c r="F507" i="14"/>
  <c r="G507" i="14"/>
  <c r="F508" i="14"/>
  <c r="G508" i="14"/>
  <c r="F509" i="14"/>
  <c r="G509" i="14"/>
  <c r="F510" i="14"/>
  <c r="G510" i="14"/>
  <c r="F511" i="14"/>
  <c r="G511" i="14"/>
  <c r="F512" i="14"/>
  <c r="G512" i="14"/>
  <c r="G501" i="14"/>
  <c r="F501" i="14"/>
  <c r="E502" i="14"/>
  <c r="E503" i="14"/>
  <c r="E504" i="14"/>
  <c r="E505" i="14"/>
  <c r="E506" i="14"/>
  <c r="E507" i="14"/>
  <c r="E508" i="14"/>
  <c r="E509" i="14"/>
  <c r="E510" i="14"/>
  <c r="E511" i="14"/>
  <c r="E512" i="14"/>
  <c r="E501" i="14"/>
  <c r="D502" i="14"/>
  <c r="D503" i="14"/>
  <c r="D504" i="14"/>
  <c r="D505" i="14"/>
  <c r="D506" i="14"/>
  <c r="D507" i="14"/>
  <c r="D508" i="14"/>
  <c r="D509" i="14"/>
  <c r="D510" i="14"/>
  <c r="D511" i="14"/>
  <c r="D512" i="14"/>
  <c r="D513" i="14"/>
  <c r="C502" i="14"/>
  <c r="C503" i="14"/>
  <c r="C504" i="14"/>
  <c r="C505" i="14"/>
  <c r="C506" i="14"/>
  <c r="C507" i="14"/>
  <c r="C508" i="14"/>
  <c r="C509" i="14"/>
  <c r="C510" i="14"/>
  <c r="C511" i="14"/>
  <c r="C512" i="14"/>
  <c r="C513" i="14"/>
  <c r="C501" i="14"/>
  <c r="D501" i="14"/>
  <c r="F502" i="3"/>
  <c r="G502" i="3"/>
  <c r="H502" i="3"/>
  <c r="J502" i="3"/>
  <c r="K502" i="3"/>
  <c r="L502" i="3"/>
  <c r="F503" i="3"/>
  <c r="G503" i="3"/>
  <c r="H503" i="3"/>
  <c r="J503" i="3"/>
  <c r="K503" i="3"/>
  <c r="L503" i="3"/>
  <c r="F504" i="3"/>
  <c r="G504" i="3"/>
  <c r="H504" i="3"/>
  <c r="J504" i="3"/>
  <c r="K504" i="3"/>
  <c r="L504" i="3"/>
  <c r="F505" i="3"/>
  <c r="G505" i="3"/>
  <c r="H505" i="3"/>
  <c r="J505" i="3"/>
  <c r="K505" i="3"/>
  <c r="L505" i="3"/>
  <c r="F506" i="3"/>
  <c r="G506" i="3"/>
  <c r="H506" i="3"/>
  <c r="J506" i="3"/>
  <c r="K506" i="3"/>
  <c r="L506" i="3"/>
  <c r="F508" i="3"/>
  <c r="G508" i="3"/>
  <c r="H508" i="3"/>
  <c r="J508" i="3"/>
  <c r="K508" i="3"/>
  <c r="L508" i="3"/>
  <c r="F509" i="3"/>
  <c r="G509" i="3"/>
  <c r="H509" i="3"/>
  <c r="J509" i="3"/>
  <c r="K509" i="3"/>
  <c r="L509" i="3"/>
  <c r="F510" i="3"/>
  <c r="G510" i="3"/>
  <c r="H510" i="3"/>
  <c r="J510" i="3"/>
  <c r="K510" i="3"/>
  <c r="L510" i="3"/>
  <c r="F511" i="3"/>
  <c r="G511" i="3"/>
  <c r="H511" i="3"/>
  <c r="J511" i="3"/>
  <c r="K511" i="3"/>
  <c r="L511" i="3"/>
  <c r="F512" i="3"/>
  <c r="G512" i="3"/>
  <c r="H512" i="3"/>
  <c r="J512" i="3"/>
  <c r="K512" i="3"/>
  <c r="L512" i="3"/>
  <c r="F513" i="3"/>
  <c r="G513" i="3"/>
  <c r="H513" i="3"/>
  <c r="J513" i="3"/>
  <c r="K513" i="3"/>
  <c r="L513" i="3"/>
  <c r="F514" i="3"/>
  <c r="G514" i="3"/>
  <c r="H514" i="3"/>
  <c r="J514" i="3"/>
  <c r="K514" i="3"/>
  <c r="L514" i="3"/>
  <c r="G501" i="3"/>
  <c r="H501" i="3"/>
  <c r="J501" i="3"/>
  <c r="K501" i="3"/>
  <c r="L501" i="3"/>
  <c r="F501" i="3"/>
  <c r="E502" i="3"/>
  <c r="E503" i="3"/>
  <c r="E504" i="3"/>
  <c r="E505" i="3"/>
  <c r="E506" i="3"/>
  <c r="E508" i="3"/>
  <c r="E509" i="3"/>
  <c r="E510" i="3"/>
  <c r="E511" i="3"/>
  <c r="E512" i="3"/>
  <c r="E513" i="3"/>
  <c r="E514" i="3"/>
  <c r="E501" i="3"/>
  <c r="D502" i="3"/>
  <c r="D503" i="3"/>
  <c r="D504" i="3"/>
  <c r="D505" i="3"/>
  <c r="D506" i="3"/>
  <c r="D507" i="3"/>
  <c r="D508" i="3"/>
  <c r="D509" i="3"/>
  <c r="D510" i="3"/>
  <c r="D511" i="3"/>
  <c r="D512" i="3"/>
  <c r="D513" i="3"/>
  <c r="D514" i="3"/>
  <c r="D515" i="3"/>
  <c r="C502" i="3"/>
  <c r="C503" i="3"/>
  <c r="C504" i="3"/>
  <c r="C505" i="3"/>
  <c r="C506" i="3"/>
  <c r="C507" i="3"/>
  <c r="C508" i="3"/>
  <c r="C509" i="3"/>
  <c r="C510" i="3"/>
  <c r="C511" i="3"/>
  <c r="C512" i="3"/>
  <c r="C513" i="3"/>
  <c r="C514" i="3"/>
  <c r="C515" i="3"/>
  <c r="C501" i="3"/>
  <c r="D501" i="3"/>
  <c r="F509" i="12"/>
  <c r="G509" i="12"/>
  <c r="H509" i="12"/>
  <c r="J509" i="12"/>
  <c r="K509" i="12"/>
  <c r="L509" i="12"/>
  <c r="F510" i="12"/>
  <c r="G510" i="12"/>
  <c r="H510" i="12"/>
  <c r="J510" i="12"/>
  <c r="K510" i="12"/>
  <c r="L510" i="12"/>
  <c r="F511" i="12"/>
  <c r="G511" i="12"/>
  <c r="H511" i="12"/>
  <c r="J511" i="12"/>
  <c r="K511" i="12"/>
  <c r="L511" i="12"/>
  <c r="F512" i="12"/>
  <c r="G512" i="12"/>
  <c r="H512" i="12"/>
  <c r="J512" i="12"/>
  <c r="K512" i="12"/>
  <c r="L512" i="12"/>
  <c r="F513" i="12"/>
  <c r="G513" i="12"/>
  <c r="H513" i="12"/>
  <c r="J513" i="12"/>
  <c r="K513" i="12"/>
  <c r="L513" i="12"/>
  <c r="F514" i="12"/>
  <c r="G514" i="12"/>
  <c r="H514" i="12"/>
  <c r="J514" i="12"/>
  <c r="K514" i="12"/>
  <c r="L514" i="12"/>
  <c r="G508" i="12"/>
  <c r="H508" i="12"/>
  <c r="J508" i="12"/>
  <c r="K508" i="12"/>
  <c r="L508" i="12"/>
  <c r="F508" i="12"/>
  <c r="E509" i="12"/>
  <c r="E510" i="12"/>
  <c r="E511" i="12"/>
  <c r="E512" i="12"/>
  <c r="E513" i="12"/>
  <c r="E514" i="12"/>
  <c r="E508" i="12"/>
  <c r="D508" i="12"/>
  <c r="D509" i="12"/>
  <c r="D510" i="12"/>
  <c r="D511" i="12"/>
  <c r="D512" i="12"/>
  <c r="D513" i="12"/>
  <c r="D514" i="12"/>
  <c r="D515" i="12"/>
  <c r="D516" i="12"/>
  <c r="C509" i="12"/>
  <c r="C510" i="12"/>
  <c r="C511" i="12"/>
  <c r="C512" i="12"/>
  <c r="C513" i="12"/>
  <c r="C514" i="12"/>
  <c r="C515" i="12"/>
  <c r="C516" i="12"/>
  <c r="C508" i="12"/>
  <c r="F502" i="12"/>
  <c r="G502" i="12"/>
  <c r="H502" i="12"/>
  <c r="J502" i="12"/>
  <c r="K502" i="12"/>
  <c r="L502" i="12"/>
  <c r="F503" i="12"/>
  <c r="G503" i="12"/>
  <c r="H503" i="12"/>
  <c r="J503" i="12"/>
  <c r="K503" i="12"/>
  <c r="L503" i="12"/>
  <c r="F504" i="12"/>
  <c r="G504" i="12"/>
  <c r="H504" i="12"/>
  <c r="J504" i="12"/>
  <c r="K504" i="12"/>
  <c r="L504" i="12"/>
  <c r="F505" i="12"/>
  <c r="G505" i="12"/>
  <c r="H505" i="12"/>
  <c r="J505" i="12"/>
  <c r="K505" i="12"/>
  <c r="L505" i="12"/>
  <c r="F506" i="12"/>
  <c r="G506" i="12"/>
  <c r="H506" i="12"/>
  <c r="J506" i="12"/>
  <c r="K506" i="12"/>
  <c r="L506" i="12"/>
  <c r="G501" i="12"/>
  <c r="H501" i="12"/>
  <c r="J501" i="12"/>
  <c r="K501" i="12"/>
  <c r="L501" i="12"/>
  <c r="F501" i="12"/>
  <c r="E502" i="12"/>
  <c r="E503" i="12"/>
  <c r="E504" i="12"/>
  <c r="E505" i="12"/>
  <c r="E506" i="12"/>
  <c r="E501" i="12"/>
  <c r="D502" i="12"/>
  <c r="D503" i="12"/>
  <c r="D504" i="12"/>
  <c r="D505" i="12"/>
  <c r="D506" i="12"/>
  <c r="D507" i="12"/>
  <c r="C502" i="12"/>
  <c r="C503" i="12"/>
  <c r="C504" i="12"/>
  <c r="C505" i="12"/>
  <c r="C506" i="12"/>
  <c r="C507" i="12"/>
  <c r="C501" i="12"/>
  <c r="D501" i="12"/>
  <c r="F502" i="11"/>
  <c r="G502" i="11"/>
  <c r="H502" i="11"/>
  <c r="J502" i="11"/>
  <c r="K502" i="11"/>
  <c r="L502" i="11"/>
  <c r="F503" i="11"/>
  <c r="G503" i="11"/>
  <c r="H503" i="11"/>
  <c r="J503" i="11"/>
  <c r="K503" i="11"/>
  <c r="L503" i="11"/>
  <c r="F504" i="11"/>
  <c r="G504" i="11"/>
  <c r="H504" i="11"/>
  <c r="J504" i="11"/>
  <c r="K504" i="11"/>
  <c r="L504" i="11"/>
  <c r="G501" i="11"/>
  <c r="H501" i="11"/>
  <c r="J501" i="11"/>
  <c r="K501" i="11"/>
  <c r="L501" i="11"/>
  <c r="F501" i="11"/>
  <c r="E502" i="11"/>
  <c r="E503" i="11"/>
  <c r="E504" i="11"/>
  <c r="E501" i="11"/>
  <c r="D502" i="11"/>
  <c r="D503" i="11"/>
  <c r="D504" i="11"/>
  <c r="D505" i="11"/>
  <c r="C502" i="11"/>
  <c r="C503" i="11"/>
  <c r="C504" i="11"/>
  <c r="C505" i="11"/>
  <c r="C501" i="11"/>
  <c r="D501" i="11"/>
  <c r="E486" i="1"/>
  <c r="F486" i="1"/>
  <c r="G486" i="1"/>
  <c r="I486" i="1"/>
  <c r="J486" i="1"/>
  <c r="K486" i="1"/>
  <c r="E487" i="1"/>
  <c r="F487" i="1"/>
  <c r="G487" i="1"/>
  <c r="I487" i="1"/>
  <c r="J487" i="1"/>
  <c r="K487" i="1"/>
  <c r="E489" i="1"/>
  <c r="F489" i="1"/>
  <c r="G489" i="1"/>
  <c r="I489" i="1"/>
  <c r="J489" i="1"/>
  <c r="K489" i="1"/>
  <c r="E491" i="1"/>
  <c r="F491" i="1"/>
  <c r="G491" i="1"/>
  <c r="I491" i="1"/>
  <c r="J491" i="1"/>
  <c r="K491" i="1"/>
  <c r="E492" i="1"/>
  <c r="F492" i="1"/>
  <c r="G492" i="1"/>
  <c r="I492" i="1"/>
  <c r="J492" i="1"/>
  <c r="K492" i="1"/>
  <c r="E493" i="1"/>
  <c r="F493" i="1"/>
  <c r="G493" i="1"/>
  <c r="I493" i="1"/>
  <c r="J493" i="1"/>
  <c r="K493" i="1"/>
  <c r="E494" i="1"/>
  <c r="F494" i="1"/>
  <c r="G494" i="1"/>
  <c r="I494" i="1"/>
  <c r="J494" i="1"/>
  <c r="K494" i="1"/>
  <c r="E495" i="1"/>
  <c r="F495" i="1"/>
  <c r="G495" i="1"/>
  <c r="I495" i="1"/>
  <c r="J495" i="1"/>
  <c r="K495" i="1"/>
  <c r="D482" i="1"/>
  <c r="D483" i="1"/>
  <c r="D484" i="1"/>
  <c r="D485" i="1"/>
  <c r="D486" i="1"/>
  <c r="D487" i="1"/>
  <c r="D488" i="1"/>
  <c r="D489" i="1"/>
  <c r="D490" i="1"/>
  <c r="D491" i="1"/>
  <c r="D492" i="1"/>
  <c r="D493" i="1"/>
  <c r="D494" i="1"/>
  <c r="D495" i="1"/>
  <c r="D496" i="1"/>
  <c r="D497" i="1"/>
  <c r="C494" i="1"/>
  <c r="C495" i="1"/>
  <c r="C496" i="1"/>
  <c r="C497" i="1"/>
  <c r="C489" i="1"/>
  <c r="C490" i="1"/>
  <c r="C491" i="1"/>
  <c r="C492" i="1"/>
  <c r="C493" i="1"/>
  <c r="C485" i="1"/>
  <c r="C486" i="1"/>
  <c r="C487" i="1"/>
  <c r="C488" i="1"/>
  <c r="C482" i="1"/>
  <c r="C483" i="1"/>
  <c r="C484" i="1"/>
  <c r="C481" i="1"/>
  <c r="D481" i="1"/>
  <c r="C501" i="5" l="1"/>
  <c r="D501" i="5"/>
  <c r="C501" i="28" l="1"/>
  <c r="D501" i="28"/>
  <c r="S502" i="6"/>
  <c r="T502" i="6"/>
  <c r="U502" i="6"/>
  <c r="V502" i="6"/>
  <c r="W502" i="6"/>
  <c r="X502" i="6"/>
  <c r="S504" i="6"/>
  <c r="T504" i="6"/>
  <c r="U504" i="6"/>
  <c r="V504" i="6"/>
  <c r="W504" i="6"/>
  <c r="X504" i="6"/>
  <c r="S505" i="6"/>
  <c r="T505" i="6"/>
  <c r="U505" i="6"/>
  <c r="V505" i="6"/>
  <c r="W505" i="6"/>
  <c r="X505" i="6"/>
  <c r="S506" i="6"/>
  <c r="T506" i="6"/>
  <c r="U506" i="6"/>
  <c r="V506" i="6"/>
  <c r="W506" i="6"/>
  <c r="X506" i="6"/>
  <c r="S507" i="6"/>
  <c r="T507" i="6"/>
  <c r="U507" i="6"/>
  <c r="V507" i="6"/>
  <c r="W507" i="6"/>
  <c r="X507" i="6"/>
  <c r="S508" i="6"/>
  <c r="T508" i="6"/>
  <c r="U508" i="6"/>
  <c r="V508" i="6"/>
  <c r="W508" i="6"/>
  <c r="X508" i="6"/>
  <c r="S510" i="6"/>
  <c r="T510" i="6"/>
  <c r="U510" i="6"/>
  <c r="V510" i="6"/>
  <c r="W510" i="6"/>
  <c r="X510" i="6"/>
  <c r="S511" i="6"/>
  <c r="T511" i="6"/>
  <c r="U511" i="6"/>
  <c r="V511" i="6"/>
  <c r="W511" i="6"/>
  <c r="X511" i="6"/>
  <c r="S512" i="6"/>
  <c r="T512" i="6"/>
  <c r="U512" i="6"/>
  <c r="V512" i="6"/>
  <c r="W512" i="6"/>
  <c r="X512" i="6"/>
  <c r="S513" i="6"/>
  <c r="T513" i="6"/>
  <c r="U513" i="6"/>
  <c r="V513" i="6"/>
  <c r="W513" i="6"/>
  <c r="X513" i="6"/>
  <c r="S515" i="6"/>
  <c r="T515" i="6"/>
  <c r="U515" i="6"/>
  <c r="V515" i="6"/>
  <c r="W515" i="6"/>
  <c r="X515" i="6"/>
  <c r="S516" i="6"/>
  <c r="T516" i="6"/>
  <c r="U516" i="6"/>
  <c r="V516" i="6"/>
  <c r="W516" i="6"/>
  <c r="X516" i="6"/>
  <c r="S517" i="6"/>
  <c r="T517" i="6"/>
  <c r="U517" i="6"/>
  <c r="V517" i="6"/>
  <c r="W517" i="6"/>
  <c r="X517" i="6"/>
  <c r="S518" i="6"/>
  <c r="T518" i="6"/>
  <c r="U518" i="6"/>
  <c r="V518" i="6"/>
  <c r="W518" i="6"/>
  <c r="X518" i="6"/>
  <c r="S520" i="6"/>
  <c r="T520" i="6"/>
  <c r="U520" i="6"/>
  <c r="V520" i="6"/>
  <c r="W520" i="6"/>
  <c r="X520" i="6"/>
  <c r="S521" i="6"/>
  <c r="T521" i="6"/>
  <c r="U521" i="6"/>
  <c r="V521" i="6"/>
  <c r="W521" i="6"/>
  <c r="X521" i="6"/>
  <c r="S522" i="6"/>
  <c r="T522" i="6"/>
  <c r="U522" i="6"/>
  <c r="V522" i="6"/>
  <c r="W522" i="6"/>
  <c r="X522" i="6"/>
  <c r="S523" i="6"/>
  <c r="T523" i="6"/>
  <c r="U523" i="6"/>
  <c r="V523" i="6"/>
  <c r="W523" i="6"/>
  <c r="X523" i="6"/>
  <c r="S524" i="6"/>
  <c r="T524" i="6"/>
  <c r="U524" i="6"/>
  <c r="V524" i="6"/>
  <c r="W524" i="6"/>
  <c r="X524" i="6"/>
  <c r="S525" i="6"/>
  <c r="T525" i="6"/>
  <c r="U525" i="6"/>
  <c r="V525" i="6"/>
  <c r="W525" i="6"/>
  <c r="X525" i="6"/>
  <c r="S526" i="6"/>
  <c r="T526" i="6"/>
  <c r="U526" i="6"/>
  <c r="V526" i="6"/>
  <c r="W526" i="6"/>
  <c r="X526" i="6"/>
  <c r="S528" i="6"/>
  <c r="T528" i="6"/>
  <c r="U528" i="6"/>
  <c r="V528" i="6"/>
  <c r="W528" i="6"/>
  <c r="X528" i="6"/>
  <c r="S529" i="6"/>
  <c r="T529" i="6"/>
  <c r="U529" i="6"/>
  <c r="V529" i="6"/>
  <c r="W529" i="6"/>
  <c r="X529" i="6"/>
  <c r="S530" i="6"/>
  <c r="T530" i="6"/>
  <c r="U530" i="6"/>
  <c r="V530" i="6"/>
  <c r="W530" i="6"/>
  <c r="X530" i="6"/>
  <c r="S531" i="6"/>
  <c r="T531" i="6"/>
  <c r="U531" i="6"/>
  <c r="V531" i="6"/>
  <c r="W531" i="6"/>
  <c r="X531" i="6"/>
  <c r="S532" i="6"/>
  <c r="T532" i="6"/>
  <c r="U532" i="6"/>
  <c r="V532" i="6"/>
  <c r="W532" i="6"/>
  <c r="X532" i="6"/>
  <c r="S533" i="6"/>
  <c r="T533" i="6"/>
  <c r="U533" i="6"/>
  <c r="V533" i="6"/>
  <c r="W533" i="6"/>
  <c r="X533" i="6"/>
  <c r="S534" i="6"/>
  <c r="T534" i="6"/>
  <c r="U534" i="6"/>
  <c r="V534" i="6"/>
  <c r="W534" i="6"/>
  <c r="X534" i="6"/>
  <c r="S537" i="6"/>
  <c r="T537" i="6"/>
  <c r="U537" i="6"/>
  <c r="V537" i="6"/>
  <c r="W537" i="6"/>
  <c r="X537" i="6"/>
  <c r="S538" i="6"/>
  <c r="T538" i="6"/>
  <c r="U538" i="6"/>
  <c r="V538" i="6"/>
  <c r="W538" i="6"/>
  <c r="X538" i="6"/>
  <c r="S539" i="6"/>
  <c r="T539" i="6"/>
  <c r="U539" i="6"/>
  <c r="V539" i="6"/>
  <c r="W539" i="6"/>
  <c r="X539" i="6"/>
  <c r="S540" i="6"/>
  <c r="T540" i="6"/>
  <c r="U540" i="6"/>
  <c r="V540" i="6"/>
  <c r="W540" i="6"/>
  <c r="X540" i="6"/>
  <c r="S541" i="6"/>
  <c r="T541" i="6"/>
  <c r="U541" i="6"/>
  <c r="V541" i="6"/>
  <c r="W541" i="6"/>
  <c r="X541" i="6"/>
  <c r="S542" i="6"/>
  <c r="T542" i="6"/>
  <c r="U542" i="6"/>
  <c r="V542" i="6"/>
  <c r="W542" i="6"/>
  <c r="X542" i="6"/>
  <c r="S543" i="6"/>
  <c r="T543" i="6"/>
  <c r="U543" i="6"/>
  <c r="V543" i="6"/>
  <c r="W543" i="6"/>
  <c r="X543" i="6"/>
  <c r="T501" i="6"/>
  <c r="U501" i="6"/>
  <c r="V501" i="6"/>
  <c r="W501" i="6"/>
  <c r="X501" i="6"/>
  <c r="S501" i="6"/>
  <c r="L502" i="6"/>
  <c r="M502" i="6"/>
  <c r="N502" i="6"/>
  <c r="O502" i="6"/>
  <c r="P502" i="6"/>
  <c r="Q502" i="6"/>
  <c r="L504" i="6"/>
  <c r="M504" i="6"/>
  <c r="N504" i="6"/>
  <c r="O504" i="6"/>
  <c r="P504" i="6"/>
  <c r="Q504" i="6"/>
  <c r="L505" i="6"/>
  <c r="M505" i="6"/>
  <c r="N505" i="6"/>
  <c r="O505" i="6"/>
  <c r="P505" i="6"/>
  <c r="Q505" i="6"/>
  <c r="L506" i="6"/>
  <c r="M506" i="6"/>
  <c r="N506" i="6"/>
  <c r="O506" i="6"/>
  <c r="P506" i="6"/>
  <c r="Q506" i="6"/>
  <c r="L507" i="6"/>
  <c r="M507" i="6"/>
  <c r="N507" i="6"/>
  <c r="O507" i="6"/>
  <c r="P507" i="6"/>
  <c r="Q507" i="6"/>
  <c r="L508" i="6"/>
  <c r="M508" i="6"/>
  <c r="N508" i="6"/>
  <c r="O508" i="6"/>
  <c r="P508" i="6"/>
  <c r="Q508" i="6"/>
  <c r="L510" i="6"/>
  <c r="M510" i="6"/>
  <c r="N510" i="6"/>
  <c r="O510" i="6"/>
  <c r="P510" i="6"/>
  <c r="Q510" i="6"/>
  <c r="L511" i="6"/>
  <c r="M511" i="6"/>
  <c r="N511" i="6"/>
  <c r="O511" i="6"/>
  <c r="P511" i="6"/>
  <c r="Q511" i="6"/>
  <c r="L512" i="6"/>
  <c r="M512" i="6"/>
  <c r="N512" i="6"/>
  <c r="O512" i="6"/>
  <c r="P512" i="6"/>
  <c r="Q512" i="6"/>
  <c r="L513" i="6"/>
  <c r="M513" i="6"/>
  <c r="N513" i="6"/>
  <c r="O513" i="6"/>
  <c r="P513" i="6"/>
  <c r="Q513" i="6"/>
  <c r="L515" i="6"/>
  <c r="M515" i="6"/>
  <c r="N515" i="6"/>
  <c r="O515" i="6"/>
  <c r="P515" i="6"/>
  <c r="Q515" i="6"/>
  <c r="L516" i="6"/>
  <c r="M516" i="6"/>
  <c r="N516" i="6"/>
  <c r="O516" i="6"/>
  <c r="P516" i="6"/>
  <c r="Q516" i="6"/>
  <c r="L517" i="6"/>
  <c r="M517" i="6"/>
  <c r="N517" i="6"/>
  <c r="O517" i="6"/>
  <c r="P517" i="6"/>
  <c r="Q517" i="6"/>
  <c r="L518" i="6"/>
  <c r="M518" i="6"/>
  <c r="N518" i="6"/>
  <c r="O518" i="6"/>
  <c r="P518" i="6"/>
  <c r="Q518" i="6"/>
  <c r="L520" i="6"/>
  <c r="M520" i="6"/>
  <c r="N520" i="6"/>
  <c r="O520" i="6"/>
  <c r="P520" i="6"/>
  <c r="Q520" i="6"/>
  <c r="L521" i="6"/>
  <c r="M521" i="6"/>
  <c r="N521" i="6"/>
  <c r="O521" i="6"/>
  <c r="P521" i="6"/>
  <c r="Q521" i="6"/>
  <c r="L522" i="6"/>
  <c r="M522" i="6"/>
  <c r="N522" i="6"/>
  <c r="O522" i="6"/>
  <c r="P522" i="6"/>
  <c r="Q522" i="6"/>
  <c r="L523" i="6"/>
  <c r="M523" i="6"/>
  <c r="N523" i="6"/>
  <c r="O523" i="6"/>
  <c r="P523" i="6"/>
  <c r="Q523" i="6"/>
  <c r="L524" i="6"/>
  <c r="M524" i="6"/>
  <c r="N524" i="6"/>
  <c r="O524" i="6"/>
  <c r="P524" i="6"/>
  <c r="Q524" i="6"/>
  <c r="L525" i="6"/>
  <c r="M525" i="6"/>
  <c r="N525" i="6"/>
  <c r="O525" i="6"/>
  <c r="P525" i="6"/>
  <c r="Q525" i="6"/>
  <c r="L526" i="6"/>
  <c r="M526" i="6"/>
  <c r="N526" i="6"/>
  <c r="O526" i="6"/>
  <c r="P526" i="6"/>
  <c r="Q526" i="6"/>
  <c r="L528" i="6"/>
  <c r="M528" i="6"/>
  <c r="N528" i="6"/>
  <c r="O528" i="6"/>
  <c r="P528" i="6"/>
  <c r="Q528" i="6"/>
  <c r="L529" i="6"/>
  <c r="M529" i="6"/>
  <c r="N529" i="6"/>
  <c r="O529" i="6"/>
  <c r="P529" i="6"/>
  <c r="Q529" i="6"/>
  <c r="L530" i="6"/>
  <c r="M530" i="6"/>
  <c r="N530" i="6"/>
  <c r="O530" i="6"/>
  <c r="P530" i="6"/>
  <c r="Q530" i="6"/>
  <c r="L531" i="6"/>
  <c r="M531" i="6"/>
  <c r="N531" i="6"/>
  <c r="O531" i="6"/>
  <c r="P531" i="6"/>
  <c r="Q531" i="6"/>
  <c r="L532" i="6"/>
  <c r="M532" i="6"/>
  <c r="N532" i="6"/>
  <c r="O532" i="6"/>
  <c r="P532" i="6"/>
  <c r="Q532" i="6"/>
  <c r="L533" i="6"/>
  <c r="M533" i="6"/>
  <c r="N533" i="6"/>
  <c r="O533" i="6"/>
  <c r="P533" i="6"/>
  <c r="Q533" i="6"/>
  <c r="L534" i="6"/>
  <c r="M534" i="6"/>
  <c r="N534" i="6"/>
  <c r="O534" i="6"/>
  <c r="P534" i="6"/>
  <c r="Q534" i="6"/>
  <c r="L537" i="6"/>
  <c r="M537" i="6"/>
  <c r="N537" i="6"/>
  <c r="O537" i="6"/>
  <c r="P537" i="6"/>
  <c r="Q537" i="6"/>
  <c r="L538" i="6"/>
  <c r="M538" i="6"/>
  <c r="N538" i="6"/>
  <c r="O538" i="6"/>
  <c r="P538" i="6"/>
  <c r="Q538" i="6"/>
  <c r="L539" i="6"/>
  <c r="M539" i="6"/>
  <c r="N539" i="6"/>
  <c r="O539" i="6"/>
  <c r="P539" i="6"/>
  <c r="Q539" i="6"/>
  <c r="L540" i="6"/>
  <c r="M540" i="6"/>
  <c r="N540" i="6"/>
  <c r="O540" i="6"/>
  <c r="P540" i="6"/>
  <c r="Q540" i="6"/>
  <c r="L541" i="6"/>
  <c r="M541" i="6"/>
  <c r="N541" i="6"/>
  <c r="O541" i="6"/>
  <c r="P541" i="6"/>
  <c r="Q541" i="6"/>
  <c r="L542" i="6"/>
  <c r="M542" i="6"/>
  <c r="N542" i="6"/>
  <c r="O542" i="6"/>
  <c r="P542" i="6"/>
  <c r="Q542" i="6"/>
  <c r="L543" i="6"/>
  <c r="M543" i="6"/>
  <c r="N543" i="6"/>
  <c r="O543" i="6"/>
  <c r="P543" i="6"/>
  <c r="Q543" i="6"/>
  <c r="M501" i="6"/>
  <c r="N501" i="6"/>
  <c r="O501" i="6"/>
  <c r="P501" i="6"/>
  <c r="Q501" i="6"/>
  <c r="L501" i="6"/>
  <c r="E502" i="6"/>
  <c r="F502" i="6"/>
  <c r="G502" i="6"/>
  <c r="H502" i="6"/>
  <c r="I502" i="6"/>
  <c r="J502" i="6"/>
  <c r="E504" i="6"/>
  <c r="F504" i="6"/>
  <c r="G504" i="6"/>
  <c r="H504" i="6"/>
  <c r="I504" i="6"/>
  <c r="J504" i="6"/>
  <c r="E505" i="6"/>
  <c r="F505" i="6"/>
  <c r="G505" i="6"/>
  <c r="H505" i="6"/>
  <c r="I505" i="6"/>
  <c r="J505" i="6"/>
  <c r="E506" i="6"/>
  <c r="F506" i="6"/>
  <c r="G506" i="6"/>
  <c r="H506" i="6"/>
  <c r="I506" i="6"/>
  <c r="J506" i="6"/>
  <c r="E507" i="6"/>
  <c r="F507" i="6"/>
  <c r="G507" i="6"/>
  <c r="H507" i="6"/>
  <c r="I507" i="6"/>
  <c r="J507" i="6"/>
  <c r="E508" i="6"/>
  <c r="F508" i="6"/>
  <c r="G508" i="6"/>
  <c r="H508" i="6"/>
  <c r="I508" i="6"/>
  <c r="J508" i="6"/>
  <c r="E510" i="6"/>
  <c r="F510" i="6"/>
  <c r="G510" i="6"/>
  <c r="H510" i="6"/>
  <c r="I510" i="6"/>
  <c r="J510" i="6"/>
  <c r="E511" i="6"/>
  <c r="F511" i="6"/>
  <c r="G511" i="6"/>
  <c r="H511" i="6"/>
  <c r="I511" i="6"/>
  <c r="J511" i="6"/>
  <c r="E512" i="6"/>
  <c r="F512" i="6"/>
  <c r="G512" i="6"/>
  <c r="H512" i="6"/>
  <c r="I512" i="6"/>
  <c r="J512" i="6"/>
  <c r="E513" i="6"/>
  <c r="F513" i="6"/>
  <c r="G513" i="6"/>
  <c r="H513" i="6"/>
  <c r="I513" i="6"/>
  <c r="J513" i="6"/>
  <c r="E515" i="6"/>
  <c r="F515" i="6"/>
  <c r="G515" i="6"/>
  <c r="H515" i="6"/>
  <c r="I515" i="6"/>
  <c r="J515" i="6"/>
  <c r="E516" i="6"/>
  <c r="F516" i="6"/>
  <c r="G516" i="6"/>
  <c r="H516" i="6"/>
  <c r="I516" i="6"/>
  <c r="J516" i="6"/>
  <c r="E517" i="6"/>
  <c r="F517" i="6"/>
  <c r="G517" i="6"/>
  <c r="H517" i="6"/>
  <c r="I517" i="6"/>
  <c r="J517" i="6"/>
  <c r="E518" i="6"/>
  <c r="F518" i="6"/>
  <c r="G518" i="6"/>
  <c r="H518" i="6"/>
  <c r="I518" i="6"/>
  <c r="J518" i="6"/>
  <c r="E520" i="6"/>
  <c r="F520" i="6"/>
  <c r="G520" i="6"/>
  <c r="H520" i="6"/>
  <c r="I520" i="6"/>
  <c r="J520" i="6"/>
  <c r="E521" i="6"/>
  <c r="F521" i="6"/>
  <c r="G521" i="6"/>
  <c r="H521" i="6"/>
  <c r="I521" i="6"/>
  <c r="J521" i="6"/>
  <c r="E522" i="6"/>
  <c r="F522" i="6"/>
  <c r="G522" i="6"/>
  <c r="H522" i="6"/>
  <c r="I522" i="6"/>
  <c r="J522" i="6"/>
  <c r="E523" i="6"/>
  <c r="F523" i="6"/>
  <c r="G523" i="6"/>
  <c r="H523" i="6"/>
  <c r="I523" i="6"/>
  <c r="J523" i="6"/>
  <c r="E524" i="6"/>
  <c r="F524" i="6"/>
  <c r="G524" i="6"/>
  <c r="H524" i="6"/>
  <c r="I524" i="6"/>
  <c r="J524" i="6"/>
  <c r="E525" i="6"/>
  <c r="F525" i="6"/>
  <c r="G525" i="6"/>
  <c r="H525" i="6"/>
  <c r="I525" i="6"/>
  <c r="J525" i="6"/>
  <c r="E526" i="6"/>
  <c r="F526" i="6"/>
  <c r="G526" i="6"/>
  <c r="H526" i="6"/>
  <c r="I526" i="6"/>
  <c r="J526" i="6"/>
  <c r="E528" i="6"/>
  <c r="F528" i="6"/>
  <c r="G528" i="6"/>
  <c r="H528" i="6"/>
  <c r="I528" i="6"/>
  <c r="J528" i="6"/>
  <c r="E529" i="6"/>
  <c r="F529" i="6"/>
  <c r="G529" i="6"/>
  <c r="H529" i="6"/>
  <c r="I529" i="6"/>
  <c r="J529" i="6"/>
  <c r="E530" i="6"/>
  <c r="F530" i="6"/>
  <c r="G530" i="6"/>
  <c r="H530" i="6"/>
  <c r="I530" i="6"/>
  <c r="J530" i="6"/>
  <c r="E531" i="6"/>
  <c r="F531" i="6"/>
  <c r="G531" i="6"/>
  <c r="H531" i="6"/>
  <c r="I531" i="6"/>
  <c r="J531" i="6"/>
  <c r="E532" i="6"/>
  <c r="F532" i="6"/>
  <c r="G532" i="6"/>
  <c r="H532" i="6"/>
  <c r="I532" i="6"/>
  <c r="J532" i="6"/>
  <c r="E533" i="6"/>
  <c r="F533" i="6"/>
  <c r="G533" i="6"/>
  <c r="H533" i="6"/>
  <c r="I533" i="6"/>
  <c r="J533" i="6"/>
  <c r="E534" i="6"/>
  <c r="F534" i="6"/>
  <c r="G534" i="6"/>
  <c r="H534" i="6"/>
  <c r="I534" i="6"/>
  <c r="J534" i="6"/>
  <c r="E537" i="6"/>
  <c r="F537" i="6"/>
  <c r="G537" i="6"/>
  <c r="H537" i="6"/>
  <c r="I537" i="6"/>
  <c r="J537" i="6"/>
  <c r="E538" i="6"/>
  <c r="F538" i="6"/>
  <c r="G538" i="6"/>
  <c r="H538" i="6"/>
  <c r="I538" i="6"/>
  <c r="J538" i="6"/>
  <c r="E539" i="6"/>
  <c r="F539" i="6"/>
  <c r="G539" i="6"/>
  <c r="H539" i="6"/>
  <c r="I539" i="6"/>
  <c r="J539" i="6"/>
  <c r="E540" i="6"/>
  <c r="F540" i="6"/>
  <c r="G540" i="6"/>
  <c r="H540" i="6"/>
  <c r="I540" i="6"/>
  <c r="J540" i="6"/>
  <c r="E541" i="6"/>
  <c r="F541" i="6"/>
  <c r="G541" i="6"/>
  <c r="H541" i="6"/>
  <c r="I541" i="6"/>
  <c r="J541" i="6"/>
  <c r="E542" i="6"/>
  <c r="F542" i="6"/>
  <c r="G542" i="6"/>
  <c r="H542" i="6"/>
  <c r="I542" i="6"/>
  <c r="J542" i="6"/>
  <c r="E543" i="6"/>
  <c r="F543" i="6"/>
  <c r="G543" i="6"/>
  <c r="H543" i="6"/>
  <c r="I543" i="6"/>
  <c r="J543" i="6"/>
  <c r="F501" i="6"/>
  <c r="G501" i="6"/>
  <c r="H501" i="6"/>
  <c r="I501" i="6"/>
  <c r="J501" i="6"/>
  <c r="E501" i="6"/>
  <c r="D544" i="6"/>
  <c r="D502" i="6"/>
  <c r="D503" i="6"/>
  <c r="D504" i="6"/>
  <c r="D505" i="6"/>
  <c r="D506" i="6"/>
  <c r="D507" i="6"/>
  <c r="D508" i="6"/>
  <c r="D509" i="6"/>
  <c r="D510" i="6"/>
  <c r="D511" i="6"/>
  <c r="D512" i="6"/>
  <c r="D513" i="6"/>
  <c r="D514" i="6"/>
  <c r="D515" i="6"/>
  <c r="D516" i="6"/>
  <c r="D517" i="6"/>
  <c r="D518" i="6"/>
  <c r="D519" i="6"/>
  <c r="D520" i="6"/>
  <c r="D521" i="6"/>
  <c r="D522" i="6"/>
  <c r="D523" i="6"/>
  <c r="D524" i="6"/>
  <c r="D525" i="6"/>
  <c r="D526" i="6"/>
  <c r="D527" i="6"/>
  <c r="D528" i="6"/>
  <c r="D529" i="6"/>
  <c r="D530" i="6"/>
  <c r="D531" i="6"/>
  <c r="D532" i="6"/>
  <c r="D533" i="6"/>
  <c r="D534" i="6"/>
  <c r="D535" i="6"/>
  <c r="D536" i="6"/>
  <c r="D537" i="6"/>
  <c r="D538" i="6"/>
  <c r="D539" i="6"/>
  <c r="D540" i="6"/>
  <c r="D541" i="6"/>
  <c r="D542" i="6"/>
  <c r="D543" i="6"/>
  <c r="C540" i="6"/>
  <c r="C541" i="6"/>
  <c r="C542" i="6"/>
  <c r="C543" i="6"/>
  <c r="C544" i="6"/>
  <c r="C537" i="6"/>
  <c r="C538" i="6"/>
  <c r="C539" i="6"/>
  <c r="C534" i="6"/>
  <c r="C535" i="6"/>
  <c r="C536" i="6"/>
  <c r="C531" i="6"/>
  <c r="C532" i="6"/>
  <c r="C533" i="6"/>
  <c r="C528" i="6"/>
  <c r="C529" i="6"/>
  <c r="C530" i="6"/>
  <c r="C526" i="6"/>
  <c r="C527" i="6"/>
  <c r="C523" i="6"/>
  <c r="C524" i="6"/>
  <c r="C525" i="6"/>
  <c r="C502" i="6"/>
  <c r="C503" i="6"/>
  <c r="C504" i="6"/>
  <c r="C505" i="6"/>
  <c r="C506" i="6"/>
  <c r="C507" i="6"/>
  <c r="C508" i="6"/>
  <c r="C509" i="6"/>
  <c r="C510" i="6"/>
  <c r="C511" i="6"/>
  <c r="C512" i="6"/>
  <c r="C513" i="6"/>
  <c r="C514" i="6"/>
  <c r="C515" i="6"/>
  <c r="C516" i="6"/>
  <c r="C517" i="6"/>
  <c r="C518" i="6"/>
  <c r="C519" i="6"/>
  <c r="C520" i="6"/>
  <c r="C521" i="6"/>
  <c r="C522" i="6"/>
  <c r="C501" i="6"/>
  <c r="D501" i="6"/>
  <c r="F502" i="29"/>
  <c r="G502" i="29"/>
  <c r="H502" i="29"/>
  <c r="J502" i="29"/>
  <c r="K502" i="29"/>
  <c r="L502" i="29"/>
  <c r="F503" i="29"/>
  <c r="G503" i="29"/>
  <c r="H503" i="29"/>
  <c r="J503" i="29"/>
  <c r="K503" i="29"/>
  <c r="L503" i="29"/>
  <c r="F504" i="29"/>
  <c r="G504" i="29"/>
  <c r="H504" i="29"/>
  <c r="J504" i="29"/>
  <c r="K504" i="29"/>
  <c r="L504" i="29"/>
  <c r="F505" i="29"/>
  <c r="G505" i="29"/>
  <c r="H505" i="29"/>
  <c r="J505" i="29"/>
  <c r="K505" i="29"/>
  <c r="L505" i="29"/>
  <c r="F506" i="29"/>
  <c r="G506" i="29"/>
  <c r="H506" i="29"/>
  <c r="J506" i="29"/>
  <c r="K506" i="29"/>
  <c r="L506" i="29"/>
  <c r="F507" i="29"/>
  <c r="G507" i="29"/>
  <c r="H507" i="29"/>
  <c r="J507" i="29"/>
  <c r="K507" i="29"/>
  <c r="L507" i="29"/>
  <c r="F508" i="29"/>
  <c r="G508" i="29"/>
  <c r="H508" i="29"/>
  <c r="J508" i="29"/>
  <c r="K508" i="29"/>
  <c r="L508" i="29"/>
  <c r="F510" i="29"/>
  <c r="G510" i="29"/>
  <c r="H510" i="29"/>
  <c r="J510" i="29"/>
  <c r="K510" i="29"/>
  <c r="L510" i="29"/>
  <c r="F511" i="29"/>
  <c r="G511" i="29"/>
  <c r="H511" i="29"/>
  <c r="J511" i="29"/>
  <c r="K511" i="29"/>
  <c r="L511" i="29"/>
  <c r="F512" i="29"/>
  <c r="G512" i="29"/>
  <c r="H512" i="29"/>
  <c r="J512" i="29"/>
  <c r="K512" i="29"/>
  <c r="L512" i="29"/>
  <c r="F513" i="29"/>
  <c r="G513" i="29"/>
  <c r="H513" i="29"/>
  <c r="J513" i="29"/>
  <c r="K513" i="29"/>
  <c r="L513" i="29"/>
  <c r="G501" i="29"/>
  <c r="H501" i="29"/>
  <c r="J501" i="29"/>
  <c r="K501" i="29"/>
  <c r="L501" i="29"/>
  <c r="F501" i="29"/>
  <c r="E502" i="29"/>
  <c r="E503" i="29"/>
  <c r="E504" i="29"/>
  <c r="E505" i="29"/>
  <c r="E506" i="29"/>
  <c r="E507" i="29"/>
  <c r="E508" i="29"/>
  <c r="E510" i="29"/>
  <c r="E511" i="29"/>
  <c r="E512" i="29"/>
  <c r="E513" i="29"/>
  <c r="E501" i="29"/>
  <c r="D502" i="29"/>
  <c r="D503" i="29"/>
  <c r="D504" i="29"/>
  <c r="D505" i="29"/>
  <c r="D506" i="29"/>
  <c r="D507" i="29"/>
  <c r="D508" i="29"/>
  <c r="D509" i="29"/>
  <c r="D510" i="29"/>
  <c r="D511" i="29"/>
  <c r="D512" i="29"/>
  <c r="D513" i="29"/>
  <c r="D514" i="29"/>
  <c r="C502" i="29"/>
  <c r="C503" i="29"/>
  <c r="C504" i="29"/>
  <c r="C505" i="29"/>
  <c r="C506" i="29"/>
  <c r="C507" i="29"/>
  <c r="C508" i="29"/>
  <c r="C509" i="29"/>
  <c r="C510" i="29"/>
  <c r="C511" i="29"/>
  <c r="C512" i="29"/>
  <c r="C513" i="29"/>
  <c r="C514" i="29"/>
  <c r="C501" i="29"/>
  <c r="D501" i="29"/>
  <c r="F502" i="8"/>
  <c r="G502" i="8"/>
  <c r="H502" i="8"/>
  <c r="J502" i="8"/>
  <c r="K502" i="8"/>
  <c r="L502" i="8"/>
  <c r="F504" i="8"/>
  <c r="G504" i="8"/>
  <c r="H504" i="8"/>
  <c r="J504" i="8"/>
  <c r="K504" i="8"/>
  <c r="L504" i="8"/>
  <c r="F505" i="8"/>
  <c r="G505" i="8"/>
  <c r="H505" i="8"/>
  <c r="J505" i="8"/>
  <c r="K505" i="8"/>
  <c r="L505" i="8"/>
  <c r="F506" i="8"/>
  <c r="G506" i="8"/>
  <c r="H506" i="8"/>
  <c r="J506" i="8"/>
  <c r="K506" i="8"/>
  <c r="L506" i="8"/>
  <c r="F507" i="8"/>
  <c r="G507" i="8"/>
  <c r="H507" i="8"/>
  <c r="J507" i="8"/>
  <c r="K507" i="8"/>
  <c r="L507" i="8"/>
  <c r="F508" i="8"/>
  <c r="G508" i="8"/>
  <c r="H508" i="8"/>
  <c r="J508" i="8"/>
  <c r="K508" i="8"/>
  <c r="L508" i="8"/>
  <c r="F510" i="8"/>
  <c r="G510" i="8"/>
  <c r="H510" i="8"/>
  <c r="J510" i="8"/>
  <c r="K510" i="8"/>
  <c r="L510" i="8"/>
  <c r="F511" i="8"/>
  <c r="G511" i="8"/>
  <c r="H511" i="8"/>
  <c r="J511" i="8"/>
  <c r="K511" i="8"/>
  <c r="L511" i="8"/>
  <c r="F512" i="8"/>
  <c r="G512" i="8"/>
  <c r="H512" i="8"/>
  <c r="J512" i="8"/>
  <c r="K512" i="8"/>
  <c r="L512" i="8"/>
  <c r="F513" i="8"/>
  <c r="G513" i="8"/>
  <c r="H513" i="8"/>
  <c r="J513" i="8"/>
  <c r="K513" i="8"/>
  <c r="L513" i="8"/>
  <c r="F515" i="8"/>
  <c r="G515" i="8"/>
  <c r="H515" i="8"/>
  <c r="J515" i="8"/>
  <c r="K515" i="8"/>
  <c r="L515" i="8"/>
  <c r="F516" i="8"/>
  <c r="G516" i="8"/>
  <c r="H516" i="8"/>
  <c r="J516" i="8"/>
  <c r="K516" i="8"/>
  <c r="L516" i="8"/>
  <c r="F517" i="8"/>
  <c r="G517" i="8"/>
  <c r="H517" i="8"/>
  <c r="J517" i="8"/>
  <c r="K517" i="8"/>
  <c r="L517" i="8"/>
  <c r="F518" i="8"/>
  <c r="G518" i="8"/>
  <c r="H518" i="8"/>
  <c r="J518" i="8"/>
  <c r="K518" i="8"/>
  <c r="L518" i="8"/>
  <c r="F520" i="8"/>
  <c r="G520" i="8"/>
  <c r="H520" i="8"/>
  <c r="J520" i="8"/>
  <c r="K520" i="8"/>
  <c r="L520" i="8"/>
  <c r="F521" i="8"/>
  <c r="G521" i="8"/>
  <c r="H521" i="8"/>
  <c r="J521" i="8"/>
  <c r="K521" i="8"/>
  <c r="L521" i="8"/>
  <c r="F522" i="8"/>
  <c r="G522" i="8"/>
  <c r="H522" i="8"/>
  <c r="J522" i="8"/>
  <c r="K522" i="8"/>
  <c r="L522" i="8"/>
  <c r="F523" i="8"/>
  <c r="G523" i="8"/>
  <c r="H523" i="8"/>
  <c r="J523" i="8"/>
  <c r="K523" i="8"/>
  <c r="L523" i="8"/>
  <c r="F524" i="8"/>
  <c r="G524" i="8"/>
  <c r="H524" i="8"/>
  <c r="J524" i="8"/>
  <c r="K524" i="8"/>
  <c r="L524" i="8"/>
  <c r="F525" i="8"/>
  <c r="G525" i="8"/>
  <c r="H525" i="8"/>
  <c r="J525" i="8"/>
  <c r="K525" i="8"/>
  <c r="L525" i="8"/>
  <c r="F526" i="8"/>
  <c r="G526" i="8"/>
  <c r="H526" i="8"/>
  <c r="J526" i="8"/>
  <c r="K526" i="8"/>
  <c r="L526" i="8"/>
  <c r="F528" i="8"/>
  <c r="G528" i="8"/>
  <c r="H528" i="8"/>
  <c r="J528" i="8"/>
  <c r="K528" i="8"/>
  <c r="L528" i="8"/>
  <c r="F529" i="8"/>
  <c r="G529" i="8"/>
  <c r="H529" i="8"/>
  <c r="J529" i="8"/>
  <c r="K529" i="8"/>
  <c r="L529" i="8"/>
  <c r="F530" i="8"/>
  <c r="G530" i="8"/>
  <c r="H530" i="8"/>
  <c r="J530" i="8"/>
  <c r="K530" i="8"/>
  <c r="L530" i="8"/>
  <c r="F531" i="8"/>
  <c r="G531" i="8"/>
  <c r="H531" i="8"/>
  <c r="J531" i="8"/>
  <c r="K531" i="8"/>
  <c r="L531" i="8"/>
  <c r="F532" i="8"/>
  <c r="G532" i="8"/>
  <c r="H532" i="8"/>
  <c r="J532" i="8"/>
  <c r="K532" i="8"/>
  <c r="L532" i="8"/>
  <c r="F533" i="8"/>
  <c r="G533" i="8"/>
  <c r="H533" i="8"/>
  <c r="J533" i="8"/>
  <c r="K533" i="8"/>
  <c r="L533" i="8"/>
  <c r="F534" i="8"/>
  <c r="G534" i="8"/>
  <c r="H534" i="8"/>
  <c r="J534" i="8"/>
  <c r="K534" i="8"/>
  <c r="L534" i="8"/>
  <c r="F537" i="8"/>
  <c r="G537" i="8"/>
  <c r="H537" i="8"/>
  <c r="J537" i="8"/>
  <c r="K537" i="8"/>
  <c r="L537" i="8"/>
  <c r="F538" i="8"/>
  <c r="G538" i="8"/>
  <c r="H538" i="8"/>
  <c r="J538" i="8"/>
  <c r="K538" i="8"/>
  <c r="L538" i="8"/>
  <c r="F539" i="8"/>
  <c r="G539" i="8"/>
  <c r="H539" i="8"/>
  <c r="J539" i="8"/>
  <c r="K539" i="8"/>
  <c r="L539" i="8"/>
  <c r="F540" i="8"/>
  <c r="G540" i="8"/>
  <c r="H540" i="8"/>
  <c r="J540" i="8"/>
  <c r="K540" i="8"/>
  <c r="L540" i="8"/>
  <c r="F541" i="8"/>
  <c r="G541" i="8"/>
  <c r="H541" i="8"/>
  <c r="J541" i="8"/>
  <c r="K541" i="8"/>
  <c r="L541" i="8"/>
  <c r="F542" i="8"/>
  <c r="G542" i="8"/>
  <c r="H542" i="8"/>
  <c r="J542" i="8"/>
  <c r="K542" i="8"/>
  <c r="L542" i="8"/>
  <c r="F543" i="8"/>
  <c r="G543" i="8"/>
  <c r="H543" i="8"/>
  <c r="J543" i="8"/>
  <c r="K543" i="8"/>
  <c r="L543" i="8"/>
  <c r="J501" i="8"/>
  <c r="K501" i="8"/>
  <c r="L501" i="8"/>
  <c r="G501" i="8"/>
  <c r="H501" i="8"/>
  <c r="F501" i="8"/>
  <c r="E502" i="8"/>
  <c r="E504" i="8"/>
  <c r="E505" i="8"/>
  <c r="E506" i="8"/>
  <c r="E507" i="8"/>
  <c r="E508" i="8"/>
  <c r="E510" i="8"/>
  <c r="E511" i="8"/>
  <c r="E512" i="8"/>
  <c r="E513" i="8"/>
  <c r="E515" i="8"/>
  <c r="E516" i="8"/>
  <c r="E517" i="8"/>
  <c r="E518" i="8"/>
  <c r="E520" i="8"/>
  <c r="E521" i="8"/>
  <c r="E522" i="8"/>
  <c r="E523" i="8"/>
  <c r="E524" i="8"/>
  <c r="E525" i="8"/>
  <c r="E526" i="8"/>
  <c r="E528" i="8"/>
  <c r="E529" i="8"/>
  <c r="E530" i="8"/>
  <c r="E531" i="8"/>
  <c r="E532" i="8"/>
  <c r="E533" i="8"/>
  <c r="E534" i="8"/>
  <c r="E537" i="8"/>
  <c r="E538" i="8"/>
  <c r="E539" i="8"/>
  <c r="E540" i="8"/>
  <c r="E541" i="8"/>
  <c r="E542" i="8"/>
  <c r="E543" i="8"/>
  <c r="E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C543" i="8"/>
  <c r="C544" i="8"/>
  <c r="C537" i="8"/>
  <c r="C538" i="8"/>
  <c r="C539" i="8"/>
  <c r="C540" i="8"/>
  <c r="C541" i="8"/>
  <c r="C542"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01" i="8"/>
  <c r="D501" i="8"/>
  <c r="D516" i="27"/>
  <c r="D502" i="27"/>
  <c r="E502" i="27"/>
  <c r="F502" i="27"/>
  <c r="G502" i="27"/>
  <c r="H502" i="27"/>
  <c r="I502" i="27"/>
  <c r="J502" i="27"/>
  <c r="L502" i="27"/>
  <c r="M502" i="27"/>
  <c r="N502" i="27"/>
  <c r="O502" i="27"/>
  <c r="P502" i="27"/>
  <c r="Q502" i="27"/>
  <c r="S502" i="27"/>
  <c r="T502" i="27"/>
  <c r="U502" i="27"/>
  <c r="V502" i="27"/>
  <c r="W502" i="27"/>
  <c r="X502" i="27"/>
  <c r="D503" i="27"/>
  <c r="E503" i="27"/>
  <c r="F503" i="27"/>
  <c r="G503" i="27"/>
  <c r="H503" i="27"/>
  <c r="I503" i="27"/>
  <c r="J503" i="27"/>
  <c r="L503" i="27"/>
  <c r="M503" i="27"/>
  <c r="N503" i="27"/>
  <c r="O503" i="27"/>
  <c r="P503" i="27"/>
  <c r="Q503" i="27"/>
  <c r="S503" i="27"/>
  <c r="T503" i="27"/>
  <c r="U503" i="27"/>
  <c r="V503" i="27"/>
  <c r="W503" i="27"/>
  <c r="X503" i="27"/>
  <c r="D504" i="27"/>
  <c r="E504" i="27"/>
  <c r="F504" i="27"/>
  <c r="G504" i="27"/>
  <c r="H504" i="27"/>
  <c r="I504" i="27"/>
  <c r="J504" i="27"/>
  <c r="L504" i="27"/>
  <c r="M504" i="27"/>
  <c r="N504" i="27"/>
  <c r="O504" i="27"/>
  <c r="P504" i="27"/>
  <c r="Q504" i="27"/>
  <c r="S504" i="27"/>
  <c r="T504" i="27"/>
  <c r="U504" i="27"/>
  <c r="V504" i="27"/>
  <c r="W504" i="27"/>
  <c r="X504" i="27"/>
  <c r="D505" i="27"/>
  <c r="E505" i="27"/>
  <c r="F505" i="27"/>
  <c r="G505" i="27"/>
  <c r="H505" i="27"/>
  <c r="I505" i="27"/>
  <c r="J505" i="27"/>
  <c r="L505" i="27"/>
  <c r="M505" i="27"/>
  <c r="N505" i="27"/>
  <c r="O505" i="27"/>
  <c r="P505" i="27"/>
  <c r="Q505" i="27"/>
  <c r="S505" i="27"/>
  <c r="T505" i="27"/>
  <c r="U505" i="27"/>
  <c r="V505" i="27"/>
  <c r="W505" i="27"/>
  <c r="X505" i="27"/>
  <c r="D506" i="27"/>
  <c r="E506" i="27"/>
  <c r="F506" i="27"/>
  <c r="G506" i="27"/>
  <c r="H506" i="27"/>
  <c r="I506" i="27"/>
  <c r="J506" i="27"/>
  <c r="L506" i="27"/>
  <c r="M506" i="27"/>
  <c r="N506" i="27"/>
  <c r="O506" i="27"/>
  <c r="P506" i="27"/>
  <c r="Q506" i="27"/>
  <c r="S506" i="27"/>
  <c r="T506" i="27"/>
  <c r="U506" i="27"/>
  <c r="V506" i="27"/>
  <c r="W506" i="27"/>
  <c r="X506" i="27"/>
  <c r="D507" i="27"/>
  <c r="E507" i="27"/>
  <c r="F507" i="27"/>
  <c r="G507" i="27"/>
  <c r="H507" i="27"/>
  <c r="I507" i="27"/>
  <c r="J507" i="27"/>
  <c r="L507" i="27"/>
  <c r="M507" i="27"/>
  <c r="N507" i="27"/>
  <c r="O507" i="27"/>
  <c r="P507" i="27"/>
  <c r="Q507" i="27"/>
  <c r="S507" i="27"/>
  <c r="T507" i="27"/>
  <c r="U507" i="27"/>
  <c r="V507" i="27"/>
  <c r="W507" i="27"/>
  <c r="X507" i="27"/>
  <c r="D508" i="27"/>
  <c r="E508" i="27"/>
  <c r="F508" i="27"/>
  <c r="G508" i="27"/>
  <c r="H508" i="27"/>
  <c r="I508" i="27"/>
  <c r="J508" i="27"/>
  <c r="L508" i="27"/>
  <c r="M508" i="27"/>
  <c r="N508" i="27"/>
  <c r="O508" i="27"/>
  <c r="P508" i="27"/>
  <c r="Q508" i="27"/>
  <c r="S508" i="27"/>
  <c r="T508" i="27"/>
  <c r="U508" i="27"/>
  <c r="V508" i="27"/>
  <c r="W508" i="27"/>
  <c r="X508" i="27"/>
  <c r="D509" i="27"/>
  <c r="E509" i="27"/>
  <c r="F509" i="27"/>
  <c r="G509" i="27"/>
  <c r="H509" i="27"/>
  <c r="I509" i="27"/>
  <c r="J509" i="27"/>
  <c r="L509" i="27"/>
  <c r="M509" i="27"/>
  <c r="N509" i="27"/>
  <c r="O509" i="27"/>
  <c r="P509" i="27"/>
  <c r="Q509" i="27"/>
  <c r="S509" i="27"/>
  <c r="T509" i="27"/>
  <c r="U509" i="27"/>
  <c r="V509" i="27"/>
  <c r="W509" i="27"/>
  <c r="X509" i="27"/>
  <c r="D510" i="27"/>
  <c r="E510" i="27"/>
  <c r="F510" i="27"/>
  <c r="G510" i="27"/>
  <c r="H510" i="27"/>
  <c r="I510" i="27"/>
  <c r="J510" i="27"/>
  <c r="L510" i="27"/>
  <c r="M510" i="27"/>
  <c r="N510" i="27"/>
  <c r="O510" i="27"/>
  <c r="P510" i="27"/>
  <c r="Q510" i="27"/>
  <c r="S510" i="27"/>
  <c r="T510" i="27"/>
  <c r="U510" i="27"/>
  <c r="V510" i="27"/>
  <c r="W510" i="27"/>
  <c r="X510" i="27"/>
  <c r="D511" i="27"/>
  <c r="E511" i="27"/>
  <c r="F511" i="27"/>
  <c r="G511" i="27"/>
  <c r="H511" i="27"/>
  <c r="I511" i="27"/>
  <c r="J511" i="27"/>
  <c r="L511" i="27"/>
  <c r="M511" i="27"/>
  <c r="N511" i="27"/>
  <c r="O511" i="27"/>
  <c r="P511" i="27"/>
  <c r="Q511" i="27"/>
  <c r="S511" i="27"/>
  <c r="T511" i="27"/>
  <c r="U511" i="27"/>
  <c r="V511" i="27"/>
  <c r="W511" i="27"/>
  <c r="X511" i="27"/>
  <c r="D512" i="27"/>
  <c r="E512" i="27"/>
  <c r="F512" i="27"/>
  <c r="G512" i="27"/>
  <c r="H512" i="27"/>
  <c r="I512" i="27"/>
  <c r="J512" i="27"/>
  <c r="L512" i="27"/>
  <c r="M512" i="27"/>
  <c r="N512" i="27"/>
  <c r="O512" i="27"/>
  <c r="P512" i="27"/>
  <c r="Q512" i="27"/>
  <c r="S512" i="27"/>
  <c r="T512" i="27"/>
  <c r="U512" i="27"/>
  <c r="V512" i="27"/>
  <c r="W512" i="27"/>
  <c r="X512" i="27"/>
  <c r="D513" i="27"/>
  <c r="E513" i="27"/>
  <c r="F513" i="27"/>
  <c r="G513" i="27"/>
  <c r="H513" i="27"/>
  <c r="I513" i="27"/>
  <c r="J513" i="27"/>
  <c r="L513" i="27"/>
  <c r="M513" i="27"/>
  <c r="N513" i="27"/>
  <c r="O513" i="27"/>
  <c r="P513" i="27"/>
  <c r="Q513" i="27"/>
  <c r="S513" i="27"/>
  <c r="T513" i="27"/>
  <c r="U513" i="27"/>
  <c r="V513" i="27"/>
  <c r="W513" i="27"/>
  <c r="X513" i="27"/>
  <c r="D514" i="27"/>
  <c r="E514" i="27"/>
  <c r="F514" i="27"/>
  <c r="G514" i="27"/>
  <c r="H514" i="27"/>
  <c r="I514" i="27"/>
  <c r="J514" i="27"/>
  <c r="L514" i="27"/>
  <c r="M514" i="27"/>
  <c r="N514" i="27"/>
  <c r="O514" i="27"/>
  <c r="P514" i="27"/>
  <c r="Q514" i="27"/>
  <c r="S514" i="27"/>
  <c r="T514" i="27"/>
  <c r="U514" i="27"/>
  <c r="V514" i="27"/>
  <c r="W514" i="27"/>
  <c r="X514" i="27"/>
  <c r="D515" i="27"/>
  <c r="E515" i="27"/>
  <c r="F515" i="27"/>
  <c r="G515" i="27"/>
  <c r="H515" i="27"/>
  <c r="I515" i="27"/>
  <c r="J515" i="27"/>
  <c r="L515" i="27"/>
  <c r="M515" i="27"/>
  <c r="N515" i="27"/>
  <c r="O515" i="27"/>
  <c r="P515" i="27"/>
  <c r="Q515" i="27"/>
  <c r="S515" i="27"/>
  <c r="T515" i="27"/>
  <c r="U515" i="27"/>
  <c r="V515" i="27"/>
  <c r="W515" i="27"/>
  <c r="X515" i="27"/>
  <c r="C502" i="27"/>
  <c r="C503" i="27"/>
  <c r="C504" i="27"/>
  <c r="C505" i="27"/>
  <c r="C506" i="27"/>
  <c r="C507" i="27"/>
  <c r="C508" i="27"/>
  <c r="C509" i="27"/>
  <c r="C510" i="27"/>
  <c r="C511" i="27"/>
  <c r="C512" i="27"/>
  <c r="C513" i="27"/>
  <c r="C514" i="27"/>
  <c r="C515" i="27"/>
  <c r="C516" i="27"/>
  <c r="F501" i="27"/>
  <c r="G501" i="27"/>
  <c r="H501" i="27"/>
  <c r="I501" i="27"/>
  <c r="J501" i="27"/>
  <c r="L501" i="27"/>
  <c r="M501" i="27"/>
  <c r="N501" i="27"/>
  <c r="O501" i="27"/>
  <c r="P501" i="27"/>
  <c r="Q501" i="27"/>
  <c r="S501" i="27"/>
  <c r="T501" i="27"/>
  <c r="U501" i="27"/>
  <c r="V501" i="27"/>
  <c r="W501" i="27"/>
  <c r="X501" i="27"/>
  <c r="E501" i="27"/>
  <c r="C501" i="27"/>
  <c r="D501" i="27"/>
  <c r="BD204" i="10" l="1"/>
  <c r="BL205" i="15"/>
  <c r="BH205" i="15"/>
  <c r="BD205" i="15"/>
  <c r="BL205" i="14" l="1"/>
  <c r="BH205" i="14"/>
  <c r="BD205" i="14"/>
  <c r="BD204" i="3"/>
  <c r="BD204" i="12"/>
  <c r="BD204" i="11"/>
  <c r="BD204" i="28"/>
  <c r="BD204" i="29"/>
  <c r="BD204" i="8"/>
  <c r="BA217" i="26"/>
  <c r="BA230" i="22"/>
  <c r="BA229" i="22"/>
  <c r="CR223" i="24" l="1"/>
  <c r="CS223" i="24"/>
  <c r="CT223" i="24"/>
  <c r="CQ223" i="24"/>
  <c r="CQ222" i="24"/>
  <c r="BX223" i="24"/>
  <c r="BY223" i="24"/>
  <c r="BZ223" i="24"/>
  <c r="BW223" i="24"/>
  <c r="BW222" i="24"/>
  <c r="BA227" i="24"/>
  <c r="BA226" i="24"/>
  <c r="BA225" i="24"/>
  <c r="BA224" i="24"/>
  <c r="BA222" i="24"/>
  <c r="BA221" i="24"/>
  <c r="BA220" i="24"/>
  <c r="BA204" i="24"/>
  <c r="BA234" i="17"/>
  <c r="BA233" i="17"/>
  <c r="BA216" i="16"/>
  <c r="BA215" i="16"/>
  <c r="CR238" i="23"/>
  <c r="CS238" i="23"/>
  <c r="CT238" i="23"/>
  <c r="CQ238" i="23"/>
  <c r="CQ237" i="23"/>
  <c r="BX238" i="23"/>
  <c r="BY238" i="23"/>
  <c r="BZ238" i="23"/>
  <c r="BW238" i="23"/>
  <c r="BW237" i="23"/>
  <c r="CR221" i="23"/>
  <c r="CS221" i="23"/>
  <c r="CT221" i="23"/>
  <c r="CQ221" i="23"/>
  <c r="CQ220" i="23"/>
  <c r="BX221" i="23"/>
  <c r="BY221" i="23"/>
  <c r="BZ221" i="23"/>
  <c r="BW221" i="23"/>
  <c r="BW220" i="23"/>
  <c r="BA220" i="23"/>
  <c r="BA222" i="23"/>
  <c r="BA223" i="23"/>
  <c r="BA224" i="23"/>
  <c r="BA225" i="23"/>
  <c r="BA201" i="17"/>
  <c r="BA201" i="28"/>
  <c r="BA201" i="8"/>
  <c r="M15" i="15" l="1"/>
  <c r="BL214" i="15" s="1"/>
  <c r="M14" i="15"/>
  <c r="BL213" i="15" s="1"/>
  <c r="M13" i="15"/>
  <c r="BL212" i="15" s="1"/>
  <c r="M12" i="15"/>
  <c r="BL211" i="15" s="1"/>
  <c r="M11" i="15"/>
  <c r="BL210" i="15" s="1"/>
  <c r="M10" i="15"/>
  <c r="BL209" i="15" s="1"/>
  <c r="M9" i="15"/>
  <c r="BL208" i="15" s="1"/>
  <c r="M8" i="15"/>
  <c r="BL207" i="15" s="1"/>
  <c r="I15" i="15"/>
  <c r="BH214" i="15" s="1"/>
  <c r="I14" i="15"/>
  <c r="BH213" i="15" s="1"/>
  <c r="I13" i="15"/>
  <c r="BH212" i="15" s="1"/>
  <c r="I12" i="15"/>
  <c r="BH211" i="15" s="1"/>
  <c r="I11" i="15"/>
  <c r="BH210" i="15" s="1"/>
  <c r="I10" i="15"/>
  <c r="BH209" i="15" s="1"/>
  <c r="I9" i="15"/>
  <c r="BH208" i="15" s="1"/>
  <c r="I8" i="15"/>
  <c r="BH207" i="15" s="1"/>
  <c r="E15" i="15"/>
  <c r="BD214" i="15" s="1"/>
  <c r="E14" i="15"/>
  <c r="BD213" i="15" s="1"/>
  <c r="E13" i="15"/>
  <c r="BD212" i="15" s="1"/>
  <c r="E12" i="15"/>
  <c r="BD211" i="15" s="1"/>
  <c r="E11" i="15"/>
  <c r="BD210" i="15" s="1"/>
  <c r="E10" i="15"/>
  <c r="BD209" i="15" s="1"/>
  <c r="E9" i="15"/>
  <c r="BD208" i="15" s="1"/>
  <c r="E8" i="15"/>
  <c r="BD207" i="15" s="1"/>
  <c r="M9" i="14"/>
  <c r="BL208" i="14" s="1"/>
  <c r="M10" i="14"/>
  <c r="BL209" i="14" s="1"/>
  <c r="M11" i="14"/>
  <c r="BL210" i="14" s="1"/>
  <c r="M12" i="14"/>
  <c r="BL211" i="14" s="1"/>
  <c r="M13" i="14"/>
  <c r="BL212" i="14" s="1"/>
  <c r="M14" i="14"/>
  <c r="BL213" i="14" s="1"/>
  <c r="M15" i="14"/>
  <c r="BL214" i="14" s="1"/>
  <c r="M16" i="14"/>
  <c r="BL215" i="14" s="1"/>
  <c r="M17" i="14"/>
  <c r="BL216" i="14" s="1"/>
  <c r="M18" i="14"/>
  <c r="BL217" i="14" s="1"/>
  <c r="M19" i="14"/>
  <c r="BL218" i="14" s="1"/>
  <c r="I9" i="14"/>
  <c r="BH208" i="14" s="1"/>
  <c r="I10" i="14"/>
  <c r="BH209" i="14" s="1"/>
  <c r="I11" i="14"/>
  <c r="BH210" i="14" s="1"/>
  <c r="I12" i="14"/>
  <c r="BH211" i="14" s="1"/>
  <c r="I13" i="14"/>
  <c r="BH212" i="14" s="1"/>
  <c r="I14" i="14"/>
  <c r="BH213" i="14" s="1"/>
  <c r="I15" i="14"/>
  <c r="BH214" i="14" s="1"/>
  <c r="I16" i="14"/>
  <c r="BH215" i="14" s="1"/>
  <c r="I17" i="14"/>
  <c r="BH216" i="14" s="1"/>
  <c r="I18" i="14"/>
  <c r="BH217" i="14" s="1"/>
  <c r="I19" i="14"/>
  <c r="BH218" i="14" s="1"/>
  <c r="I8" i="14"/>
  <c r="BH207" i="14" s="1"/>
  <c r="M8" i="14"/>
  <c r="BL207" i="14" s="1"/>
  <c r="E9" i="14"/>
  <c r="BD208" i="14" s="1"/>
  <c r="E10" i="14"/>
  <c r="BD209" i="14" s="1"/>
  <c r="E11" i="14"/>
  <c r="BD210" i="14" s="1"/>
  <c r="E12" i="14"/>
  <c r="BD211" i="14" s="1"/>
  <c r="E13" i="14"/>
  <c r="BD212" i="14" s="1"/>
  <c r="E14" i="14"/>
  <c r="BD213" i="14" s="1"/>
  <c r="E15" i="14"/>
  <c r="BD214" i="14" s="1"/>
  <c r="E16" i="14"/>
  <c r="BD215" i="14" s="1"/>
  <c r="E17" i="14"/>
  <c r="BD216" i="14" s="1"/>
  <c r="E18" i="14"/>
  <c r="BD217" i="14" s="1"/>
  <c r="E19" i="14"/>
  <c r="BD218" i="14" s="1"/>
  <c r="E8" i="14"/>
  <c r="BD207" i="14" s="1"/>
  <c r="M18" i="12" l="1"/>
  <c r="M509" i="12" s="1"/>
  <c r="M19" i="12"/>
  <c r="M510" i="12" s="1"/>
  <c r="M20" i="12"/>
  <c r="M511" i="12" s="1"/>
  <c r="M21" i="12"/>
  <c r="M512" i="12" s="1"/>
  <c r="M22" i="12"/>
  <c r="M23" i="12"/>
  <c r="M514" i="12" s="1"/>
  <c r="M17" i="12"/>
  <c r="M508" i="12" s="1"/>
  <c r="M10" i="12"/>
  <c r="M502" i="12" s="1"/>
  <c r="M11" i="12"/>
  <c r="M503" i="12" s="1"/>
  <c r="M12" i="12"/>
  <c r="M504" i="12" s="1"/>
  <c r="M13" i="12"/>
  <c r="M505" i="12" s="1"/>
  <c r="M14" i="12"/>
  <c r="M506" i="12" s="1"/>
  <c r="M9" i="12"/>
  <c r="M501" i="12" s="1"/>
  <c r="M513" i="12" l="1"/>
  <c r="BA222" i="3"/>
  <c r="BB233" i="23" l="1"/>
  <c r="BB234" i="23"/>
  <c r="BB235" i="23"/>
  <c r="BB236" i="23"/>
  <c r="BB232" i="23"/>
  <c r="CQ229" i="23"/>
  <c r="CR229" i="23"/>
  <c r="CS229" i="23"/>
  <c r="CT229" i="23"/>
  <c r="CM229" i="23"/>
  <c r="CN229" i="23"/>
  <c r="CO229" i="23"/>
  <c r="CP229" i="23"/>
  <c r="CI229" i="23"/>
  <c r="CJ229" i="23"/>
  <c r="CK229" i="23"/>
  <c r="CL229" i="23"/>
  <c r="CE229" i="23"/>
  <c r="CF229" i="23"/>
  <c r="CG229" i="23"/>
  <c r="CH229" i="23"/>
  <c r="CA229" i="23"/>
  <c r="CB229" i="23"/>
  <c r="CC229" i="23"/>
  <c r="CD229" i="23"/>
  <c r="BW229" i="23"/>
  <c r="BX229" i="23"/>
  <c r="BY229" i="23"/>
  <c r="BZ229" i="23"/>
  <c r="BS229" i="23"/>
  <c r="BT229" i="23"/>
  <c r="BU229" i="23"/>
  <c r="BV229" i="23"/>
  <c r="BO229" i="23"/>
  <c r="BP229" i="23"/>
  <c r="BQ229" i="23"/>
  <c r="BR229" i="23"/>
  <c r="BK229" i="23"/>
  <c r="BL229" i="23"/>
  <c r="BM229" i="23"/>
  <c r="BN229" i="23"/>
  <c r="BG229" i="23"/>
  <c r="BH229" i="23"/>
  <c r="BI229" i="23"/>
  <c r="BJ229" i="23"/>
  <c r="BF229" i="23"/>
  <c r="BE229" i="23"/>
  <c r="BD229" i="23"/>
  <c r="CQ228" i="23"/>
  <c r="CM228" i="23"/>
  <c r="CI228" i="23"/>
  <c r="CE228" i="23"/>
  <c r="CA228" i="23"/>
  <c r="BW228" i="23"/>
  <c r="BS228" i="23"/>
  <c r="BO228" i="23"/>
  <c r="BK228" i="23"/>
  <c r="BG228" i="23"/>
  <c r="BC229" i="23"/>
  <c r="BC228" i="23"/>
  <c r="CA227" i="23"/>
  <c r="BC227" i="23"/>
  <c r="BC226" i="23"/>
  <c r="BB226" i="23"/>
  <c r="BC230" i="23"/>
  <c r="BD230" i="23"/>
  <c r="BE230" i="23"/>
  <c r="BF230" i="23"/>
  <c r="BG230" i="23"/>
  <c r="BH230" i="23"/>
  <c r="BI230" i="23"/>
  <c r="BJ230" i="23"/>
  <c r="BK230" i="23"/>
  <c r="BL230" i="23"/>
  <c r="BM230" i="23"/>
  <c r="BN230" i="23"/>
  <c r="BO230" i="23"/>
  <c r="BP230" i="23"/>
  <c r="BQ230" i="23"/>
  <c r="BR230" i="23"/>
  <c r="BS230" i="23"/>
  <c r="BT230" i="23"/>
  <c r="BU230" i="23"/>
  <c r="BV230" i="23"/>
  <c r="BW230" i="23"/>
  <c r="BX230" i="23"/>
  <c r="BY230" i="23"/>
  <c r="BZ230" i="23"/>
  <c r="CA230" i="23"/>
  <c r="CB230" i="23"/>
  <c r="CC230" i="23"/>
  <c r="CD230" i="23"/>
  <c r="CE230" i="23"/>
  <c r="CF230" i="23"/>
  <c r="CG230" i="23"/>
  <c r="CH230" i="23"/>
  <c r="CI230" i="23"/>
  <c r="CJ230" i="23"/>
  <c r="CK230" i="23"/>
  <c r="CL230" i="23"/>
  <c r="CM230" i="23"/>
  <c r="CN230" i="23"/>
  <c r="CO230" i="23"/>
  <c r="CP230" i="23"/>
  <c r="CQ230" i="23"/>
  <c r="CR230" i="23"/>
  <c r="CS230" i="23"/>
  <c r="CT230" i="23"/>
  <c r="BB230" i="23"/>
  <c r="BA230" i="23"/>
  <c r="BA226" i="23"/>
  <c r="BA242" i="23"/>
  <c r="BA241" i="23"/>
  <c r="BA240" i="23"/>
  <c r="BA239" i="23"/>
  <c r="BA237" i="23"/>
  <c r="BA236" i="23"/>
  <c r="BA233" i="23"/>
  <c r="BA234" i="23"/>
  <c r="BA235" i="23"/>
  <c r="BA232" i="23"/>
  <c r="BA231" i="23"/>
  <c r="BA209" i="23" l="1"/>
  <c r="BA208" i="3" l="1"/>
  <c r="BA209" i="3"/>
  <c r="BA210" i="3"/>
  <c r="BA211" i="3"/>
  <c r="BA212" i="3"/>
  <c r="BA213" i="3"/>
  <c r="BA216" i="3"/>
  <c r="BA217" i="3"/>
  <c r="BA218" i="3"/>
  <c r="BA219" i="3"/>
  <c r="BA220" i="3"/>
  <c r="BA221" i="3"/>
  <c r="BA215" i="12"/>
  <c r="AP32" i="23" l="1"/>
  <c r="AO32" i="23"/>
  <c r="AN32" i="23"/>
  <c r="AL32" i="23"/>
  <c r="AK32" i="23"/>
  <c r="AJ32" i="23"/>
  <c r="AH32" i="23"/>
  <c r="AG32" i="23"/>
  <c r="AF32" i="23"/>
  <c r="AD32" i="23"/>
  <c r="AC32" i="23"/>
  <c r="AB32" i="23"/>
  <c r="V32" i="23"/>
  <c r="U32" i="23"/>
  <c r="T32" i="23"/>
  <c r="R32" i="23"/>
  <c r="Q32" i="23"/>
  <c r="P32" i="23"/>
  <c r="N32" i="23"/>
  <c r="M32" i="23"/>
  <c r="L32" i="23"/>
  <c r="J32" i="23"/>
  <c r="I32" i="23"/>
  <c r="H32" i="23"/>
  <c r="F32" i="23"/>
  <c r="E32" i="23"/>
  <c r="D32" i="23"/>
  <c r="AT31" i="23"/>
  <c r="AS31" i="23"/>
  <c r="AR31" i="23"/>
  <c r="AV31" i="23" s="1"/>
  <c r="CU235" i="23" s="1"/>
  <c r="AQ31" i="23"/>
  <c r="AM31" i="23"/>
  <c r="AI31" i="23"/>
  <c r="AE31" i="23"/>
  <c r="Z31" i="23"/>
  <c r="Y31" i="23"/>
  <c r="X31" i="23"/>
  <c r="W31" i="23"/>
  <c r="S31" i="23"/>
  <c r="O31" i="23"/>
  <c r="K31" i="23"/>
  <c r="G31" i="23"/>
  <c r="AT30" i="23"/>
  <c r="AS30" i="23"/>
  <c r="AR30" i="23"/>
  <c r="AQ30" i="23"/>
  <c r="AM30" i="23"/>
  <c r="AI30" i="23"/>
  <c r="AE30" i="23"/>
  <c r="Z30" i="23"/>
  <c r="Y30" i="23"/>
  <c r="X30" i="23"/>
  <c r="W30" i="23"/>
  <c r="S30" i="23"/>
  <c r="O30" i="23"/>
  <c r="K30" i="23"/>
  <c r="G30" i="23"/>
  <c r="AT29" i="23"/>
  <c r="AS29" i="23"/>
  <c r="AR29" i="23"/>
  <c r="AQ29" i="23"/>
  <c r="AM29" i="23"/>
  <c r="AI29" i="23"/>
  <c r="AE29" i="23"/>
  <c r="Z29" i="23"/>
  <c r="Y29" i="23"/>
  <c r="X29" i="23"/>
  <c r="W29" i="23"/>
  <c r="S29" i="23"/>
  <c r="O29" i="23"/>
  <c r="K29" i="23"/>
  <c r="G29" i="23"/>
  <c r="AT28" i="23"/>
  <c r="AS28" i="23"/>
  <c r="AR28" i="23"/>
  <c r="AQ28" i="23"/>
  <c r="AM28" i="23"/>
  <c r="AI28" i="23"/>
  <c r="AE28" i="23"/>
  <c r="Z28" i="23"/>
  <c r="AX28" i="23" s="1"/>
  <c r="CW232" i="23" s="1"/>
  <c r="Y28" i="23"/>
  <c r="X28" i="23"/>
  <c r="W28" i="23"/>
  <c r="S28" i="23"/>
  <c r="O28" i="23"/>
  <c r="K28" i="23"/>
  <c r="G28" i="23"/>
  <c r="AW28" i="23" l="1"/>
  <c r="CV232" i="23" s="1"/>
  <c r="AX29" i="23"/>
  <c r="CW233" i="23" s="1"/>
  <c r="AW31" i="23"/>
  <c r="CV235" i="23" s="1"/>
  <c r="AV29" i="23"/>
  <c r="CU233" i="23" s="1"/>
  <c r="AX31" i="23"/>
  <c r="CW235" i="23" s="1"/>
  <c r="AV28" i="23"/>
  <c r="CU232" i="23" s="1"/>
  <c r="AW29" i="23"/>
  <c r="CV233" i="23" s="1"/>
  <c r="AX30" i="23"/>
  <c r="CW234" i="23" s="1"/>
  <c r="AW30" i="23"/>
  <c r="CV234" i="23" s="1"/>
  <c r="AV30" i="23"/>
  <c r="CU234" i="23" s="1"/>
  <c r="BY232" i="23"/>
  <c r="AA509" i="23"/>
  <c r="CD233" i="23"/>
  <c r="AF510" i="23"/>
  <c r="BJ234" i="23"/>
  <c r="L511" i="23"/>
  <c r="CH234" i="23"/>
  <c r="AJ511" i="23"/>
  <c r="BN235" i="23"/>
  <c r="P512" i="23"/>
  <c r="CL235" i="23"/>
  <c r="AN512" i="23"/>
  <c r="BG236" i="23"/>
  <c r="I513" i="23"/>
  <c r="BQ236" i="23"/>
  <c r="S513" i="23"/>
  <c r="CF236" i="23"/>
  <c r="AH513" i="23"/>
  <c r="BJ233" i="23"/>
  <c r="L510" i="23"/>
  <c r="CH233" i="23"/>
  <c r="AJ510" i="23"/>
  <c r="BN234" i="23"/>
  <c r="P511" i="23"/>
  <c r="CL234" i="23"/>
  <c r="AN511" i="23"/>
  <c r="BR235" i="23"/>
  <c r="T512" i="23"/>
  <c r="CP235" i="23"/>
  <c r="AR512" i="23"/>
  <c r="BH236" i="23"/>
  <c r="J513" i="23"/>
  <c r="BS236" i="23"/>
  <c r="U513" i="23"/>
  <c r="CG236" i="23"/>
  <c r="AI513" i="23"/>
  <c r="CH232" i="23"/>
  <c r="AJ509" i="23"/>
  <c r="BN233" i="23"/>
  <c r="P510" i="23"/>
  <c r="CL233" i="23"/>
  <c r="AN510" i="23"/>
  <c r="BR234" i="23"/>
  <c r="T511" i="23"/>
  <c r="CP234" i="23"/>
  <c r="AR511" i="23"/>
  <c r="BV235" i="23"/>
  <c r="X512" i="23"/>
  <c r="CQ235" i="23"/>
  <c r="AS512" i="23"/>
  <c r="BI236" i="23"/>
  <c r="K513" i="23"/>
  <c r="BT236" i="23"/>
  <c r="V513" i="23"/>
  <c r="CI236" i="23"/>
  <c r="AK513" i="23"/>
  <c r="H510" i="23"/>
  <c r="BF233" i="23"/>
  <c r="BJ232" i="23"/>
  <c r="L509" i="23"/>
  <c r="CL232" i="23"/>
  <c r="AN509" i="23"/>
  <c r="BR233" i="23"/>
  <c r="T510" i="23"/>
  <c r="CP233" i="23"/>
  <c r="AR510" i="23"/>
  <c r="BV234" i="23"/>
  <c r="X511" i="23"/>
  <c r="CQ234" i="23"/>
  <c r="AS511" i="23"/>
  <c r="BW235" i="23"/>
  <c r="Y512" i="23"/>
  <c r="CR235" i="23"/>
  <c r="AT512" i="23"/>
  <c r="BK236" i="23"/>
  <c r="M513" i="23"/>
  <c r="BU236" i="23"/>
  <c r="W513" i="23"/>
  <c r="CJ236" i="23"/>
  <c r="AL513" i="23"/>
  <c r="BR232" i="23"/>
  <c r="T509" i="23"/>
  <c r="CQ233" i="23"/>
  <c r="AS510" i="23"/>
  <c r="BW234" i="23"/>
  <c r="Y511" i="23"/>
  <c r="CR234" i="23"/>
  <c r="AT511" i="23"/>
  <c r="BX235" i="23"/>
  <c r="Z512" i="23"/>
  <c r="CS235" i="23"/>
  <c r="AU512" i="23"/>
  <c r="BL236" i="23"/>
  <c r="N513" i="23"/>
  <c r="CA236" i="23"/>
  <c r="AC513" i="23"/>
  <c r="CK236" i="23"/>
  <c r="AM513" i="23"/>
  <c r="BF232" i="23"/>
  <c r="H509" i="23"/>
  <c r="BN232" i="23"/>
  <c r="P509" i="23"/>
  <c r="BV232" i="23"/>
  <c r="X509" i="23"/>
  <c r="CQ232" i="23"/>
  <c r="AS509" i="23"/>
  <c r="BW233" i="23"/>
  <c r="Y510" i="23"/>
  <c r="CR233" i="23"/>
  <c r="AT510" i="23"/>
  <c r="BX234" i="23"/>
  <c r="Z511" i="23"/>
  <c r="CS234" i="23"/>
  <c r="AU511" i="23"/>
  <c r="BY235" i="23"/>
  <c r="AA512" i="23"/>
  <c r="BC236" i="23"/>
  <c r="E513" i="23"/>
  <c r="BM236" i="23"/>
  <c r="O513" i="23"/>
  <c r="CB236" i="23"/>
  <c r="AD513" i="23"/>
  <c r="CM236" i="23"/>
  <c r="AO513" i="23"/>
  <c r="CD232" i="23"/>
  <c r="AF509" i="23"/>
  <c r="BV233" i="23"/>
  <c r="X510" i="23"/>
  <c r="CR232" i="23"/>
  <c r="AT509" i="23"/>
  <c r="Z510" i="23"/>
  <c r="BX233" i="23"/>
  <c r="CS233" i="23"/>
  <c r="AU510" i="23"/>
  <c r="BY234" i="23"/>
  <c r="AA511" i="23"/>
  <c r="BF235" i="23"/>
  <c r="H512" i="23"/>
  <c r="CD235" i="23"/>
  <c r="AF512" i="23"/>
  <c r="F513" i="23"/>
  <c r="BD236" i="23"/>
  <c r="BO236" i="23"/>
  <c r="Q513" i="23"/>
  <c r="CC236" i="23"/>
  <c r="AE513" i="23"/>
  <c r="CN236" i="23"/>
  <c r="AP513" i="23"/>
  <c r="CP232" i="23"/>
  <c r="AR509" i="23"/>
  <c r="BW232" i="23"/>
  <c r="Y509" i="23"/>
  <c r="BX232" i="23"/>
  <c r="Z509" i="23"/>
  <c r="CS232" i="23"/>
  <c r="AU509" i="23"/>
  <c r="BY233" i="23"/>
  <c r="AA510" i="23"/>
  <c r="BF234" i="23"/>
  <c r="H511" i="23"/>
  <c r="CD234" i="23"/>
  <c r="AF511" i="23"/>
  <c r="BJ235" i="23"/>
  <c r="L512" i="23"/>
  <c r="CH235" i="23"/>
  <c r="AJ512" i="23"/>
  <c r="BE236" i="23"/>
  <c r="G513" i="23"/>
  <c r="BP236" i="23"/>
  <c r="R513" i="23"/>
  <c r="CE236" i="23"/>
  <c r="AG513" i="23"/>
  <c r="CO236" i="23"/>
  <c r="AQ513" i="23"/>
  <c r="AA29" i="23"/>
  <c r="G32" i="23"/>
  <c r="AE32" i="23"/>
  <c r="K32" i="23"/>
  <c r="AI32" i="23"/>
  <c r="O32" i="23"/>
  <c r="AM32" i="23"/>
  <c r="AU30" i="23"/>
  <c r="AU31" i="23"/>
  <c r="AA30" i="23"/>
  <c r="AS32" i="23"/>
  <c r="AA28" i="23"/>
  <c r="AT32" i="23"/>
  <c r="W32" i="23"/>
  <c r="Z32" i="23"/>
  <c r="AR32" i="23"/>
  <c r="S32" i="23"/>
  <c r="AA31" i="23"/>
  <c r="AQ32" i="23"/>
  <c r="X32" i="23"/>
  <c r="Y32" i="23"/>
  <c r="AU28" i="23"/>
  <c r="AU29" i="23"/>
  <c r="AY29" i="23" l="1"/>
  <c r="CX233" i="23" s="1"/>
  <c r="AW32" i="23"/>
  <c r="CV236" i="23" s="1"/>
  <c r="AY28" i="23"/>
  <c r="CX232" i="23" s="1"/>
  <c r="AY31" i="23"/>
  <c r="CX235" i="23" s="1"/>
  <c r="AX32" i="23"/>
  <c r="CW236" i="23" s="1"/>
  <c r="AV32" i="23"/>
  <c r="CU236" i="23" s="1"/>
  <c r="AY30" i="23"/>
  <c r="CX234" i="23" s="1"/>
  <c r="H513" i="23"/>
  <c r="BF236" i="23"/>
  <c r="BR236" i="23"/>
  <c r="T513" i="23"/>
  <c r="BZ235" i="23"/>
  <c r="AB512" i="23"/>
  <c r="CT234" i="23"/>
  <c r="AV511" i="23"/>
  <c r="CL236" i="23"/>
  <c r="AN513" i="23"/>
  <c r="BV236" i="23"/>
  <c r="X513" i="23"/>
  <c r="BN236" i="23"/>
  <c r="P513" i="23"/>
  <c r="AB510" i="23"/>
  <c r="BZ233" i="23"/>
  <c r="BY236" i="23"/>
  <c r="AA513" i="23"/>
  <c r="CS236" i="23"/>
  <c r="AU513" i="23"/>
  <c r="CH236" i="23"/>
  <c r="AJ513" i="23"/>
  <c r="BZ234" i="23"/>
  <c r="AB511" i="23"/>
  <c r="CQ236" i="23"/>
  <c r="AS513" i="23"/>
  <c r="CT232" i="23"/>
  <c r="AV509" i="23"/>
  <c r="BW236" i="23"/>
  <c r="Y513" i="23"/>
  <c r="BZ232" i="23"/>
  <c r="AB509" i="23"/>
  <c r="BJ236" i="23"/>
  <c r="L513" i="23"/>
  <c r="CT235" i="23"/>
  <c r="AV512" i="23"/>
  <c r="CT233" i="23"/>
  <c r="AV510" i="23"/>
  <c r="Z513" i="23"/>
  <c r="BX236" i="23"/>
  <c r="CP236" i="23"/>
  <c r="AR513" i="23"/>
  <c r="CR236" i="23"/>
  <c r="AT513" i="23"/>
  <c r="CD236" i="23"/>
  <c r="AF513" i="23"/>
  <c r="Z35" i="23"/>
  <c r="BY239" i="23" s="1"/>
  <c r="Y35" i="23"/>
  <c r="BX239" i="23" s="1"/>
  <c r="X35" i="23"/>
  <c r="BW239" i="23" s="1"/>
  <c r="AT35" i="23"/>
  <c r="CS239" i="23" s="1"/>
  <c r="Z36" i="23"/>
  <c r="BY240" i="23" s="1"/>
  <c r="AT36" i="23"/>
  <c r="CS240" i="23" s="1"/>
  <c r="AS36" i="23"/>
  <c r="CR240" i="23" s="1"/>
  <c r="AS35" i="23"/>
  <c r="CR239" i="23" s="1"/>
  <c r="Y36" i="23"/>
  <c r="BX240" i="23" s="1"/>
  <c r="X36" i="23"/>
  <c r="BW240" i="23" s="1"/>
  <c r="AR36" i="23"/>
  <c r="CQ240" i="23" s="1"/>
  <c r="AR35" i="23"/>
  <c r="CQ239" i="23" s="1"/>
  <c r="AA32" i="23"/>
  <c r="AU32" i="23"/>
  <c r="AY32" i="23" l="1"/>
  <c r="CX236" i="23" s="1"/>
  <c r="CT236" i="23"/>
  <c r="AV513" i="23"/>
  <c r="AB513" i="23"/>
  <c r="BZ236" i="23"/>
  <c r="AA35" i="23"/>
  <c r="BZ239" i="23" s="1"/>
  <c r="AU35" i="23"/>
  <c r="CT239" i="23" s="1"/>
  <c r="AA36" i="23"/>
  <c r="BZ240" i="23" s="1"/>
  <c r="AU36" i="23"/>
  <c r="CT240" i="23" s="1"/>
  <c r="BU231" i="6" l="1"/>
  <c r="BV231" i="6"/>
  <c r="BW231" i="6"/>
  <c r="BX231" i="6"/>
  <c r="BY231" i="6"/>
  <c r="BZ231" i="6"/>
  <c r="BL231" i="6"/>
  <c r="BM231" i="6"/>
  <c r="BN231" i="6"/>
  <c r="BO231" i="6"/>
  <c r="BP231" i="6"/>
  <c r="BQ231" i="6"/>
  <c r="BC231" i="6"/>
  <c r="BD231" i="6"/>
  <c r="BE231" i="6"/>
  <c r="BF231" i="6"/>
  <c r="BG231" i="6"/>
  <c r="BH231" i="6"/>
  <c r="BB231" i="6"/>
  <c r="BE230" i="8"/>
  <c r="BF230" i="8"/>
  <c r="BG230" i="8"/>
  <c r="BI230" i="8"/>
  <c r="BJ230" i="8"/>
  <c r="BK230" i="8"/>
  <c r="BC230" i="8"/>
  <c r="BB230" i="8"/>
  <c r="BB225" i="8"/>
  <c r="BA208" i="8"/>
  <c r="BA209" i="8"/>
  <c r="BA215" i="8"/>
  <c r="BA219" i="8"/>
  <c r="BA220" i="8"/>
  <c r="BA225" i="8"/>
  <c r="BA232" i="8"/>
  <c r="BA233" i="8"/>
  <c r="BA239" i="8"/>
  <c r="BA240" i="8"/>
  <c r="BA241" i="8"/>
  <c r="BA247" i="8"/>
  <c r="BA248" i="8"/>
  <c r="BA249" i="8"/>
  <c r="BA250" i="8"/>
  <c r="AC32" i="6" l="1"/>
  <c r="CB231" i="6" s="1"/>
  <c r="AB32" i="6"/>
  <c r="T32" i="6"/>
  <c r="BS231" i="6" s="1"/>
  <c r="S32" i="6"/>
  <c r="R524" i="6" s="1"/>
  <c r="K32" i="6"/>
  <c r="BJ231" i="6" s="1"/>
  <c r="M31" i="8"/>
  <c r="I31" i="8"/>
  <c r="I524" i="8" s="1"/>
  <c r="J32" i="6"/>
  <c r="K524" i="6" s="1"/>
  <c r="CA231" i="6" l="1"/>
  <c r="Y524" i="6"/>
  <c r="BL230" i="8"/>
  <c r="M524" i="8"/>
  <c r="AF32" i="6"/>
  <c r="CE231" i="6" s="1"/>
  <c r="BH230" i="8"/>
  <c r="E31" i="8"/>
  <c r="BD230" i="8" s="1"/>
  <c r="BR231" i="6"/>
  <c r="BI231" i="6"/>
  <c r="AD32" i="6"/>
  <c r="U32" i="6"/>
  <c r="AE32" i="6"/>
  <c r="L32" i="6"/>
  <c r="CD231" i="6" l="1"/>
  <c r="Z524" i="6"/>
  <c r="AG32" i="6"/>
  <c r="X11" i="17" l="1"/>
  <c r="X503" i="17" s="1"/>
  <c r="W11" i="17"/>
  <c r="W503" i="17" s="1"/>
  <c r="V11" i="17"/>
  <c r="V503" i="17" s="1"/>
  <c r="U11" i="17"/>
  <c r="U503" i="17" s="1"/>
  <c r="T11" i="17"/>
  <c r="T503" i="17" s="1"/>
  <c r="S11" i="17"/>
  <c r="S503" i="17" s="1"/>
  <c r="S10" i="17" l="1"/>
  <c r="S502" i="17" s="1"/>
  <c r="W10" i="17"/>
  <c r="W502" i="17" s="1"/>
  <c r="T10" i="17"/>
  <c r="T502" i="17" s="1"/>
  <c r="U10" i="17"/>
  <c r="U502" i="17" s="1"/>
  <c r="V10" i="17"/>
  <c r="V502" i="17" s="1"/>
  <c r="X10" i="17"/>
  <c r="X502" i="17" s="1"/>
  <c r="D9" i="5"/>
  <c r="E501" i="5" s="1"/>
  <c r="C459" i="23" l="1"/>
  <c r="D459" i="23"/>
  <c r="C453" i="23"/>
  <c r="D453" i="23"/>
  <c r="E453" i="23"/>
  <c r="F453" i="23"/>
  <c r="G453" i="23"/>
  <c r="I453" i="23"/>
  <c r="J453" i="23"/>
  <c r="K453" i="23"/>
  <c r="M453" i="23"/>
  <c r="N453" i="23"/>
  <c r="O453" i="23"/>
  <c r="Q453" i="23"/>
  <c r="R453" i="23"/>
  <c r="S453" i="23"/>
  <c r="U453" i="23"/>
  <c r="V453" i="23"/>
  <c r="W453" i="23"/>
  <c r="AC453" i="23"/>
  <c r="AD453" i="23"/>
  <c r="AE453" i="23"/>
  <c r="AG453" i="23"/>
  <c r="AH453" i="23"/>
  <c r="AI453" i="23"/>
  <c r="AK453" i="23"/>
  <c r="AL453" i="23"/>
  <c r="AM453" i="23"/>
  <c r="AO453" i="23"/>
  <c r="AP453" i="23"/>
  <c r="AQ453" i="23"/>
  <c r="C454" i="23"/>
  <c r="D454" i="23"/>
  <c r="E454" i="23"/>
  <c r="F454" i="23"/>
  <c r="G454" i="23"/>
  <c r="I454" i="23"/>
  <c r="J454" i="23"/>
  <c r="K454" i="23"/>
  <c r="M454" i="23"/>
  <c r="N454" i="23"/>
  <c r="O454" i="23"/>
  <c r="Q454" i="23"/>
  <c r="R454" i="23"/>
  <c r="S454" i="23"/>
  <c r="U454" i="23"/>
  <c r="V454" i="23"/>
  <c r="W454" i="23"/>
  <c r="AC454" i="23"/>
  <c r="AD454" i="23"/>
  <c r="AE454" i="23"/>
  <c r="AG454" i="23"/>
  <c r="AH454" i="23"/>
  <c r="AI454" i="23"/>
  <c r="AK454" i="23"/>
  <c r="AL454" i="23"/>
  <c r="AM454" i="23"/>
  <c r="AO454" i="23"/>
  <c r="AP454" i="23"/>
  <c r="AQ454" i="23"/>
  <c r="C455" i="23"/>
  <c r="D455" i="23"/>
  <c r="E455" i="23"/>
  <c r="F455" i="23"/>
  <c r="G455" i="23"/>
  <c r="I455" i="23"/>
  <c r="J455" i="23"/>
  <c r="K455" i="23"/>
  <c r="M455" i="23"/>
  <c r="N455" i="23"/>
  <c r="O455" i="23"/>
  <c r="Q455" i="23"/>
  <c r="R455" i="23"/>
  <c r="S455" i="23"/>
  <c r="U455" i="23"/>
  <c r="V455" i="23"/>
  <c r="W455" i="23"/>
  <c r="AC455" i="23"/>
  <c r="AD455" i="23"/>
  <c r="AE455" i="23"/>
  <c r="AG455" i="23"/>
  <c r="AH455" i="23"/>
  <c r="AI455" i="23"/>
  <c r="AK455" i="23"/>
  <c r="AL455" i="23"/>
  <c r="AM455" i="23"/>
  <c r="AO455" i="23"/>
  <c r="AP455" i="23"/>
  <c r="AQ455" i="23"/>
  <c r="C456" i="23"/>
  <c r="D456" i="23"/>
  <c r="E456" i="23"/>
  <c r="F456" i="23"/>
  <c r="G456" i="23"/>
  <c r="I456" i="23"/>
  <c r="J456" i="23"/>
  <c r="K456" i="23"/>
  <c r="M456" i="23"/>
  <c r="N456" i="23"/>
  <c r="O456" i="23"/>
  <c r="Q456" i="23"/>
  <c r="R456" i="23"/>
  <c r="S456" i="23"/>
  <c r="U456" i="23"/>
  <c r="V456" i="23"/>
  <c r="W456" i="23"/>
  <c r="AC456" i="23"/>
  <c r="AD456" i="23"/>
  <c r="AE456" i="23"/>
  <c r="AG456" i="23"/>
  <c r="AH456" i="23"/>
  <c r="AI456" i="23"/>
  <c r="AK456" i="23"/>
  <c r="AL456" i="23"/>
  <c r="AM456" i="23"/>
  <c r="AO456" i="23"/>
  <c r="AP456" i="23"/>
  <c r="AQ456" i="23"/>
  <c r="C457" i="23"/>
  <c r="D457" i="23"/>
  <c r="E457" i="23"/>
  <c r="F457" i="23"/>
  <c r="G457" i="23"/>
  <c r="I457" i="23"/>
  <c r="J457" i="23"/>
  <c r="K457" i="23"/>
  <c r="M457" i="23"/>
  <c r="N457" i="23"/>
  <c r="O457" i="23"/>
  <c r="Q457" i="23"/>
  <c r="R457" i="23"/>
  <c r="S457" i="23"/>
  <c r="U457" i="23"/>
  <c r="V457" i="23"/>
  <c r="W457" i="23"/>
  <c r="AC457" i="23"/>
  <c r="AD457" i="23"/>
  <c r="AE457" i="23"/>
  <c r="AG457" i="23"/>
  <c r="AH457" i="23"/>
  <c r="AI457" i="23"/>
  <c r="AK457" i="23"/>
  <c r="AL457" i="23"/>
  <c r="AM457" i="23"/>
  <c r="AO457" i="23"/>
  <c r="AP457" i="23"/>
  <c r="AQ457" i="23"/>
  <c r="C458" i="23"/>
  <c r="D458" i="23"/>
  <c r="E458" i="23"/>
  <c r="F458" i="23"/>
  <c r="G458" i="23"/>
  <c r="I458" i="23"/>
  <c r="J458" i="23"/>
  <c r="K458" i="23"/>
  <c r="M458" i="23"/>
  <c r="N458" i="23"/>
  <c r="O458" i="23"/>
  <c r="Q458" i="23"/>
  <c r="R458" i="23"/>
  <c r="S458" i="23"/>
  <c r="U458" i="23"/>
  <c r="V458" i="23"/>
  <c r="W458" i="23"/>
  <c r="AC458" i="23"/>
  <c r="AD458" i="23"/>
  <c r="AE458" i="23"/>
  <c r="AG458" i="23"/>
  <c r="AH458" i="23"/>
  <c r="AI458" i="23"/>
  <c r="AK458" i="23"/>
  <c r="AL458" i="23"/>
  <c r="AM458" i="23"/>
  <c r="AO458" i="23"/>
  <c r="AP458" i="23"/>
  <c r="AQ458" i="23"/>
  <c r="F452" i="23"/>
  <c r="G452" i="23"/>
  <c r="I452" i="23"/>
  <c r="J452" i="23"/>
  <c r="K452" i="23"/>
  <c r="M452" i="23"/>
  <c r="N452" i="23"/>
  <c r="O452" i="23"/>
  <c r="Q452" i="23"/>
  <c r="R452" i="23"/>
  <c r="S452" i="23"/>
  <c r="U452" i="23"/>
  <c r="V452" i="23"/>
  <c r="W452" i="23"/>
  <c r="AC452" i="23"/>
  <c r="AD452" i="23"/>
  <c r="AE452" i="23"/>
  <c r="AG452" i="23"/>
  <c r="AH452" i="23"/>
  <c r="AI452" i="23"/>
  <c r="AK452" i="23"/>
  <c r="AL452" i="23"/>
  <c r="AM452" i="23"/>
  <c r="AO452" i="23"/>
  <c r="AP452" i="23"/>
  <c r="AQ452" i="23"/>
  <c r="E452" i="23"/>
  <c r="C452" i="23"/>
  <c r="D452" i="23"/>
  <c r="BA203" i="26" l="1"/>
  <c r="BA201" i="26"/>
  <c r="BA204" i="26"/>
  <c r="BB204" i="26"/>
  <c r="BC204" i="26"/>
  <c r="BC205" i="26"/>
  <c r="BG205" i="26"/>
  <c r="BK205" i="26"/>
  <c r="BC206" i="26"/>
  <c r="BD206" i="26"/>
  <c r="BE206" i="26"/>
  <c r="BF206" i="26"/>
  <c r="BG206" i="26"/>
  <c r="BH206" i="26"/>
  <c r="BI206" i="26"/>
  <c r="BJ206" i="26"/>
  <c r="BK206" i="26"/>
  <c r="BL206" i="26"/>
  <c r="BM206" i="26"/>
  <c r="BN206" i="26"/>
  <c r="BA207" i="26"/>
  <c r="BB207" i="26"/>
  <c r="BC207" i="26"/>
  <c r="BD207" i="26"/>
  <c r="BE207" i="26"/>
  <c r="BF207" i="26"/>
  <c r="BG207" i="26"/>
  <c r="BH207" i="26"/>
  <c r="BI207" i="26"/>
  <c r="BJ207" i="26"/>
  <c r="BK207" i="26"/>
  <c r="BL207" i="26"/>
  <c r="BM207" i="26"/>
  <c r="BN207" i="26"/>
  <c r="BA208" i="26"/>
  <c r="BB208" i="26"/>
  <c r="BC208" i="26"/>
  <c r="BB209" i="26"/>
  <c r="BA210" i="26"/>
  <c r="BB210" i="26"/>
  <c r="BC210" i="26"/>
  <c r="BD210" i="26"/>
  <c r="BE210" i="26"/>
  <c r="BG210" i="26"/>
  <c r="BH210" i="26"/>
  <c r="BI210" i="26"/>
  <c r="BA211" i="26"/>
  <c r="BB211" i="26"/>
  <c r="BC211" i="26"/>
  <c r="BD211" i="26"/>
  <c r="BE211" i="26"/>
  <c r="BG211" i="26"/>
  <c r="BH211" i="26"/>
  <c r="BI211" i="26"/>
  <c r="BA212" i="26"/>
  <c r="BB212" i="26"/>
  <c r="BC212" i="26"/>
  <c r="BD212" i="26"/>
  <c r="BE212" i="26"/>
  <c r="BG212" i="26"/>
  <c r="BH212" i="26"/>
  <c r="BI212" i="26"/>
  <c r="BA213" i="26"/>
  <c r="BB213" i="26"/>
  <c r="BC213" i="26"/>
  <c r="BD213" i="26"/>
  <c r="BE213" i="26"/>
  <c r="BG213" i="26"/>
  <c r="BH213" i="26"/>
  <c r="BI213" i="26"/>
  <c r="BA214" i="26"/>
  <c r="BB214" i="26"/>
  <c r="BC214" i="26"/>
  <c r="BD214" i="26"/>
  <c r="BE214" i="26"/>
  <c r="BG214" i="26"/>
  <c r="BH214" i="26"/>
  <c r="BI214" i="26"/>
  <c r="BA215" i="26"/>
  <c r="BB215" i="26"/>
  <c r="BC215" i="26"/>
  <c r="BD215" i="26"/>
  <c r="BE215" i="26"/>
  <c r="BG215" i="26"/>
  <c r="BH215" i="26"/>
  <c r="BI215" i="26"/>
  <c r="BA216" i="26"/>
  <c r="BB216" i="26"/>
  <c r="BA218" i="26"/>
  <c r="BA219" i="26"/>
  <c r="BC219" i="26"/>
  <c r="BA202" i="26"/>
  <c r="BA239" i="19"/>
  <c r="BA226" i="25" l="1"/>
  <c r="BB220" i="25"/>
  <c r="BC220" i="25"/>
  <c r="BD220" i="25"/>
  <c r="BE220" i="25"/>
  <c r="BF220" i="25"/>
  <c r="BG220" i="25"/>
  <c r="BH220" i="25"/>
  <c r="BJ220" i="25"/>
  <c r="BK220" i="25"/>
  <c r="BL220" i="25"/>
  <c r="BM220" i="25"/>
  <c r="BN220" i="25"/>
  <c r="BO220" i="25"/>
  <c r="BQ220" i="25"/>
  <c r="BR220" i="25"/>
  <c r="BS220" i="25"/>
  <c r="BT220" i="25"/>
  <c r="BU220" i="25"/>
  <c r="BV220" i="25"/>
  <c r="BA221" i="25"/>
  <c r="BB221" i="25"/>
  <c r="BC221" i="25"/>
  <c r="BD221" i="25"/>
  <c r="BE221" i="25"/>
  <c r="BF221" i="25"/>
  <c r="BG221" i="25"/>
  <c r="BH221" i="25"/>
  <c r="BJ221" i="25"/>
  <c r="BK221" i="25"/>
  <c r="BL221" i="25"/>
  <c r="BM221" i="25"/>
  <c r="BN221" i="25"/>
  <c r="BO221" i="25"/>
  <c r="BQ221" i="25"/>
  <c r="BR221" i="25"/>
  <c r="BS221" i="25"/>
  <c r="BT221" i="25"/>
  <c r="BU221" i="25"/>
  <c r="BV221" i="25"/>
  <c r="BA222" i="25"/>
  <c r="BB222" i="25"/>
  <c r="BC222" i="25"/>
  <c r="BD222" i="25"/>
  <c r="BE222" i="25"/>
  <c r="BF222" i="25"/>
  <c r="BG222" i="25"/>
  <c r="BH222" i="25"/>
  <c r="BJ222" i="25"/>
  <c r="BK222" i="25"/>
  <c r="BL222" i="25"/>
  <c r="BM222" i="25"/>
  <c r="BN222" i="25"/>
  <c r="BO222" i="25"/>
  <c r="BQ222" i="25"/>
  <c r="BR222" i="25"/>
  <c r="BS222" i="25"/>
  <c r="BT222" i="25"/>
  <c r="BU222" i="25"/>
  <c r="BV222" i="25"/>
  <c r="BA223" i="25"/>
  <c r="BB223" i="25"/>
  <c r="BC223" i="25"/>
  <c r="BD223" i="25"/>
  <c r="BE223" i="25"/>
  <c r="BF223" i="25"/>
  <c r="BG223" i="25"/>
  <c r="BH223" i="25"/>
  <c r="BJ223" i="25"/>
  <c r="BK223" i="25"/>
  <c r="BL223" i="25"/>
  <c r="BM223" i="25"/>
  <c r="BN223" i="25"/>
  <c r="BO223" i="25"/>
  <c r="BQ223" i="25"/>
  <c r="BR223" i="25"/>
  <c r="BS223" i="25"/>
  <c r="BT223" i="25"/>
  <c r="BU223" i="25"/>
  <c r="BV223" i="25"/>
  <c r="BA224" i="25"/>
  <c r="BB224" i="25"/>
  <c r="BA225" i="25"/>
  <c r="BA211" i="25"/>
  <c r="BB211" i="25"/>
  <c r="BC211" i="25"/>
  <c r="BD211" i="25"/>
  <c r="BE211" i="25"/>
  <c r="BF211" i="25"/>
  <c r="BG211" i="25"/>
  <c r="BH211" i="25"/>
  <c r="BJ211" i="25"/>
  <c r="BK211" i="25"/>
  <c r="BL211" i="25"/>
  <c r="BM211" i="25"/>
  <c r="BN211" i="25"/>
  <c r="BO211" i="25"/>
  <c r="BQ211" i="25"/>
  <c r="BR211" i="25"/>
  <c r="BS211" i="25"/>
  <c r="BT211" i="25"/>
  <c r="BU211" i="25"/>
  <c r="BV211" i="25"/>
  <c r="BA212" i="25"/>
  <c r="BB212" i="25"/>
  <c r="BC212" i="25"/>
  <c r="BD212" i="25"/>
  <c r="BE212" i="25"/>
  <c r="BF212" i="25"/>
  <c r="BG212" i="25"/>
  <c r="BH212" i="25"/>
  <c r="BJ212" i="25"/>
  <c r="BK212" i="25"/>
  <c r="BL212" i="25"/>
  <c r="BM212" i="25"/>
  <c r="BN212" i="25"/>
  <c r="BO212" i="25"/>
  <c r="BQ212" i="25"/>
  <c r="BR212" i="25"/>
  <c r="BS212" i="25"/>
  <c r="BT212" i="25"/>
  <c r="BU212" i="25"/>
  <c r="BV212" i="25"/>
  <c r="BA213" i="25"/>
  <c r="BB213" i="25"/>
  <c r="BB214" i="25"/>
  <c r="BC214" i="25"/>
  <c r="BD214" i="25"/>
  <c r="BE214" i="25"/>
  <c r="BF214" i="25"/>
  <c r="BG214" i="25"/>
  <c r="BH214" i="25"/>
  <c r="BJ214" i="25"/>
  <c r="BK214" i="25"/>
  <c r="BL214" i="25"/>
  <c r="BM214" i="25"/>
  <c r="BN214" i="25"/>
  <c r="BO214" i="25"/>
  <c r="BQ214" i="25"/>
  <c r="BR214" i="25"/>
  <c r="BS214" i="25"/>
  <c r="BT214" i="25"/>
  <c r="BU214" i="25"/>
  <c r="BV214" i="25"/>
  <c r="BB215" i="25"/>
  <c r="BC215" i="25"/>
  <c r="BD215" i="25"/>
  <c r="BE215" i="25"/>
  <c r="BF215" i="25"/>
  <c r="BG215" i="25"/>
  <c r="BH215" i="25"/>
  <c r="BJ215" i="25"/>
  <c r="BK215" i="25"/>
  <c r="BL215" i="25"/>
  <c r="BM215" i="25"/>
  <c r="BN215" i="25"/>
  <c r="BO215" i="25"/>
  <c r="BQ215" i="25"/>
  <c r="BR215" i="25"/>
  <c r="BS215" i="25"/>
  <c r="BT215" i="25"/>
  <c r="BU215" i="25"/>
  <c r="BV215" i="25"/>
  <c r="BA216" i="25"/>
  <c r="BB216" i="25"/>
  <c r="BC216" i="25"/>
  <c r="BD216" i="25"/>
  <c r="BE216" i="25"/>
  <c r="BF216" i="25"/>
  <c r="BG216" i="25"/>
  <c r="BH216" i="25"/>
  <c r="BJ216" i="25"/>
  <c r="BK216" i="25"/>
  <c r="BL216" i="25"/>
  <c r="BM216" i="25"/>
  <c r="BN216" i="25"/>
  <c r="BO216" i="25"/>
  <c r="BQ216" i="25"/>
  <c r="BR216" i="25"/>
  <c r="BS216" i="25"/>
  <c r="BT216" i="25"/>
  <c r="BU216" i="25"/>
  <c r="BV216" i="25"/>
  <c r="BA217" i="25"/>
  <c r="BB217" i="25"/>
  <c r="BB218" i="25"/>
  <c r="BC218" i="25"/>
  <c r="BD218" i="25"/>
  <c r="BE218" i="25"/>
  <c r="BF218" i="25"/>
  <c r="BG218" i="25"/>
  <c r="BH218" i="25"/>
  <c r="BJ218" i="25"/>
  <c r="BK218" i="25"/>
  <c r="BL218" i="25"/>
  <c r="BM218" i="25"/>
  <c r="BN218" i="25"/>
  <c r="BO218" i="25"/>
  <c r="BQ218" i="25"/>
  <c r="BR218" i="25"/>
  <c r="BS218" i="25"/>
  <c r="BT218" i="25"/>
  <c r="BU218" i="25"/>
  <c r="BV218" i="25"/>
  <c r="BB219" i="25"/>
  <c r="BC219" i="25"/>
  <c r="BD219" i="25"/>
  <c r="BE219" i="25"/>
  <c r="BF219" i="25"/>
  <c r="BG219" i="25"/>
  <c r="BH219" i="25"/>
  <c r="BJ219" i="25"/>
  <c r="BK219" i="25"/>
  <c r="BL219" i="25"/>
  <c r="BM219" i="25"/>
  <c r="BN219" i="25"/>
  <c r="BO219" i="25"/>
  <c r="BQ219" i="25"/>
  <c r="BR219" i="25"/>
  <c r="BS219" i="25"/>
  <c r="BT219" i="25"/>
  <c r="BU219" i="25"/>
  <c r="BV219" i="25"/>
  <c r="BA203" i="25"/>
  <c r="BA201" i="25"/>
  <c r="BA204" i="25"/>
  <c r="BB204" i="25"/>
  <c r="BC204" i="25"/>
  <c r="BX204" i="25"/>
  <c r="BC205" i="25"/>
  <c r="BJ205" i="25"/>
  <c r="BQ205" i="25"/>
  <c r="BC206" i="25"/>
  <c r="BD206" i="25"/>
  <c r="BE206" i="25"/>
  <c r="BF206" i="25"/>
  <c r="BG206" i="25"/>
  <c r="BH206" i="25"/>
  <c r="BI206" i="25"/>
  <c r="BJ206" i="25"/>
  <c r="BK206" i="25"/>
  <c r="BL206" i="25"/>
  <c r="BM206" i="25"/>
  <c r="BN206" i="25"/>
  <c r="BO206" i="25"/>
  <c r="BP206" i="25"/>
  <c r="BQ206" i="25"/>
  <c r="BR206" i="25"/>
  <c r="BS206" i="25"/>
  <c r="BT206" i="25"/>
  <c r="BU206" i="25"/>
  <c r="BV206" i="25"/>
  <c r="BW206" i="25"/>
  <c r="BA207" i="25"/>
  <c r="BB207" i="25"/>
  <c r="BC207" i="25"/>
  <c r="BD207" i="25"/>
  <c r="BE207" i="25"/>
  <c r="BF207" i="25"/>
  <c r="BG207" i="25"/>
  <c r="BH207" i="25"/>
  <c r="BI207" i="25"/>
  <c r="BJ207" i="25"/>
  <c r="BK207" i="25"/>
  <c r="BL207" i="25"/>
  <c r="BM207" i="25"/>
  <c r="BN207" i="25"/>
  <c r="BO207" i="25"/>
  <c r="BP207" i="25"/>
  <c r="BQ207" i="25"/>
  <c r="BR207" i="25"/>
  <c r="BS207" i="25"/>
  <c r="BT207" i="25"/>
  <c r="BU207" i="25"/>
  <c r="BV207" i="25"/>
  <c r="BW207" i="25"/>
  <c r="BX207" i="25"/>
  <c r="BA208" i="25"/>
  <c r="BB208" i="25"/>
  <c r="BC208" i="25"/>
  <c r="BD208" i="25"/>
  <c r="BE208" i="25"/>
  <c r="BF208" i="25"/>
  <c r="BG208" i="25"/>
  <c r="BH208" i="25"/>
  <c r="BJ208" i="25"/>
  <c r="BK208" i="25"/>
  <c r="BL208" i="25"/>
  <c r="BM208" i="25"/>
  <c r="BN208" i="25"/>
  <c r="BO208" i="25"/>
  <c r="BQ208" i="25"/>
  <c r="BR208" i="25"/>
  <c r="BS208" i="25"/>
  <c r="BT208" i="25"/>
  <c r="BU208" i="25"/>
  <c r="BV208" i="25"/>
  <c r="BA209" i="25"/>
  <c r="BB209" i="25"/>
  <c r="BC209" i="25"/>
  <c r="BD209" i="25"/>
  <c r="BE209" i="25"/>
  <c r="BF209" i="25"/>
  <c r="BG209" i="25"/>
  <c r="BH209" i="25"/>
  <c r="BJ209" i="25"/>
  <c r="BK209" i="25"/>
  <c r="BL209" i="25"/>
  <c r="BM209" i="25"/>
  <c r="BN209" i="25"/>
  <c r="BO209" i="25"/>
  <c r="BQ209" i="25"/>
  <c r="BR209" i="25"/>
  <c r="BS209" i="25"/>
  <c r="BT209" i="25"/>
  <c r="BU209" i="25"/>
  <c r="BV209" i="25"/>
  <c r="BA210" i="25"/>
  <c r="BB210" i="25"/>
  <c r="BC210" i="25"/>
  <c r="BD210" i="25"/>
  <c r="BE210" i="25"/>
  <c r="BF210" i="25"/>
  <c r="BG210" i="25"/>
  <c r="BH210" i="25"/>
  <c r="BJ210" i="25"/>
  <c r="BK210" i="25"/>
  <c r="BL210" i="25"/>
  <c r="BM210" i="25"/>
  <c r="BN210" i="25"/>
  <c r="BO210" i="25"/>
  <c r="BQ210" i="25"/>
  <c r="BR210" i="25"/>
  <c r="BS210" i="25"/>
  <c r="BT210" i="25"/>
  <c r="BU210" i="25"/>
  <c r="BV210" i="25"/>
  <c r="BA202" i="25"/>
  <c r="BA217" i="24" l="1"/>
  <c r="BB217" i="24"/>
  <c r="BC217" i="24"/>
  <c r="BD217" i="24"/>
  <c r="BE217" i="24"/>
  <c r="BG217" i="24"/>
  <c r="BH217" i="24"/>
  <c r="BI217" i="24"/>
  <c r="BK217" i="24"/>
  <c r="BL217" i="24"/>
  <c r="BM217" i="24"/>
  <c r="BO217" i="24"/>
  <c r="BP217" i="24"/>
  <c r="BQ217" i="24"/>
  <c r="BS217" i="24"/>
  <c r="BT217" i="24"/>
  <c r="BU217" i="24"/>
  <c r="CA217" i="24"/>
  <c r="CB217" i="24"/>
  <c r="CC217" i="24"/>
  <c r="CE217" i="24"/>
  <c r="CF217" i="24"/>
  <c r="CG217" i="24"/>
  <c r="CI217" i="24"/>
  <c r="CJ217" i="24"/>
  <c r="CK217" i="24"/>
  <c r="CM217" i="24"/>
  <c r="CN217" i="24"/>
  <c r="CO217" i="24"/>
  <c r="BA218" i="24"/>
  <c r="BB218" i="24"/>
  <c r="CO216" i="24"/>
  <c r="CN216" i="24"/>
  <c r="CM216" i="24"/>
  <c r="CK216" i="24"/>
  <c r="CJ216" i="24"/>
  <c r="CI216" i="24"/>
  <c r="CG216" i="24"/>
  <c r="CF216" i="24"/>
  <c r="CE216" i="24"/>
  <c r="CC216" i="24"/>
  <c r="CB216" i="24"/>
  <c r="CA216" i="24"/>
  <c r="BU216" i="24"/>
  <c r="BT216" i="24"/>
  <c r="BS216" i="24"/>
  <c r="BQ216" i="24"/>
  <c r="BP216" i="24"/>
  <c r="BO216" i="24"/>
  <c r="BM216" i="24"/>
  <c r="BL216" i="24"/>
  <c r="BK216" i="24"/>
  <c r="BI216" i="24"/>
  <c r="BH216" i="24"/>
  <c r="BG216" i="24"/>
  <c r="BE216" i="24"/>
  <c r="BD216" i="24"/>
  <c r="BC216" i="24"/>
  <c r="BB216" i="24"/>
  <c r="BA216" i="24"/>
  <c r="CO215" i="24"/>
  <c r="CN215" i="24"/>
  <c r="CM215" i="24"/>
  <c r="CK215" i="24"/>
  <c r="CJ215" i="24"/>
  <c r="CI215" i="24"/>
  <c r="CG215" i="24"/>
  <c r="CF215" i="24"/>
  <c r="CE215" i="24"/>
  <c r="CC215" i="24"/>
  <c r="CB215" i="24"/>
  <c r="CA215" i="24"/>
  <c r="BU215" i="24"/>
  <c r="BT215" i="24"/>
  <c r="BS215" i="24"/>
  <c r="BQ215" i="24"/>
  <c r="BP215" i="24"/>
  <c r="BO215" i="24"/>
  <c r="BM215" i="24"/>
  <c r="BL215" i="24"/>
  <c r="BK215" i="24"/>
  <c r="BI215" i="24"/>
  <c r="BH215" i="24"/>
  <c r="BG215" i="24"/>
  <c r="BE215" i="24"/>
  <c r="BD215" i="24"/>
  <c r="BC215" i="24"/>
  <c r="BB215" i="24"/>
  <c r="BA215" i="24"/>
  <c r="CO214" i="24"/>
  <c r="CN214" i="24"/>
  <c r="CM214" i="24"/>
  <c r="CK214" i="24"/>
  <c r="CJ214" i="24"/>
  <c r="CI214" i="24"/>
  <c r="CG214" i="24"/>
  <c r="CF214" i="24"/>
  <c r="CE214" i="24"/>
  <c r="CC214" i="24"/>
  <c r="CB214" i="24"/>
  <c r="CA214" i="24"/>
  <c r="BU214" i="24"/>
  <c r="BT214" i="24"/>
  <c r="BS214" i="24"/>
  <c r="BQ214" i="24"/>
  <c r="BP214" i="24"/>
  <c r="BO214" i="24"/>
  <c r="BM214" i="24"/>
  <c r="BL214" i="24"/>
  <c r="BK214" i="24"/>
  <c r="BI214" i="24"/>
  <c r="BH214" i="24"/>
  <c r="BG214" i="24"/>
  <c r="BE214" i="24"/>
  <c r="BD214" i="24"/>
  <c r="BC214" i="24"/>
  <c r="BB214" i="24"/>
  <c r="BA214" i="24"/>
  <c r="CO213" i="24"/>
  <c r="CN213" i="24"/>
  <c r="CM213" i="24"/>
  <c r="CK213" i="24"/>
  <c r="CJ213" i="24"/>
  <c r="CI213" i="24"/>
  <c r="CG213" i="24"/>
  <c r="CF213" i="24"/>
  <c r="CE213" i="24"/>
  <c r="CC213" i="24"/>
  <c r="CB213" i="24"/>
  <c r="CA213" i="24"/>
  <c r="BU213" i="24"/>
  <c r="BT213" i="24"/>
  <c r="BS213" i="24"/>
  <c r="BQ213" i="24"/>
  <c r="BP213" i="24"/>
  <c r="BO213" i="24"/>
  <c r="BM213" i="24"/>
  <c r="BL213" i="24"/>
  <c r="BK213" i="24"/>
  <c r="BI213" i="24"/>
  <c r="BH213" i="24"/>
  <c r="BG213" i="24"/>
  <c r="BE213" i="24"/>
  <c r="BD213" i="24"/>
  <c r="BC213" i="24"/>
  <c r="BB213" i="24"/>
  <c r="BA213" i="24"/>
  <c r="CO212" i="24"/>
  <c r="CN212" i="24"/>
  <c r="CM212" i="24"/>
  <c r="CK212" i="24"/>
  <c r="CJ212" i="24"/>
  <c r="CI212" i="24"/>
  <c r="CG212" i="24"/>
  <c r="CF212" i="24"/>
  <c r="CE212" i="24"/>
  <c r="CC212" i="24"/>
  <c r="CB212" i="24"/>
  <c r="CA212" i="24"/>
  <c r="BU212" i="24"/>
  <c r="BT212" i="24"/>
  <c r="BS212" i="24"/>
  <c r="BQ212" i="24"/>
  <c r="BP212" i="24"/>
  <c r="BO212" i="24"/>
  <c r="BM212" i="24"/>
  <c r="BL212" i="24"/>
  <c r="BK212" i="24"/>
  <c r="BI212" i="24"/>
  <c r="BH212" i="24"/>
  <c r="BG212" i="24"/>
  <c r="BE212" i="24"/>
  <c r="BD212" i="24"/>
  <c r="BC212" i="24"/>
  <c r="BB212" i="24"/>
  <c r="BA212" i="24"/>
  <c r="CO211" i="24"/>
  <c r="CN211" i="24"/>
  <c r="CM211" i="24"/>
  <c r="CK211" i="24"/>
  <c r="CJ211" i="24"/>
  <c r="CI211" i="24"/>
  <c r="CG211" i="24"/>
  <c r="CF211" i="24"/>
  <c r="CE211" i="24"/>
  <c r="CC211" i="24"/>
  <c r="CB211" i="24"/>
  <c r="CA211" i="24"/>
  <c r="BU211" i="24"/>
  <c r="BT211" i="24"/>
  <c r="BS211" i="24"/>
  <c r="BQ211" i="24"/>
  <c r="BP211" i="24"/>
  <c r="BO211" i="24"/>
  <c r="BM211" i="24"/>
  <c r="BL211" i="24"/>
  <c r="BK211" i="24"/>
  <c r="BI211" i="24"/>
  <c r="BH211" i="24"/>
  <c r="BG211" i="24"/>
  <c r="BE211" i="24"/>
  <c r="BD211" i="24"/>
  <c r="BC211" i="24"/>
  <c r="BB211" i="24"/>
  <c r="BA211" i="24"/>
  <c r="CO210" i="24"/>
  <c r="CN210" i="24"/>
  <c r="CM210" i="24"/>
  <c r="CK210" i="24"/>
  <c r="CJ210" i="24"/>
  <c r="CI210" i="24"/>
  <c r="CG210" i="24"/>
  <c r="CF210" i="24"/>
  <c r="CE210" i="24"/>
  <c r="CC210" i="24"/>
  <c r="CB210" i="24"/>
  <c r="CA210" i="24"/>
  <c r="BU210" i="24"/>
  <c r="BT210" i="24"/>
  <c r="BS210" i="24"/>
  <c r="BQ210" i="24"/>
  <c r="BP210" i="24"/>
  <c r="BO210" i="24"/>
  <c r="BM210" i="24"/>
  <c r="BL210" i="24"/>
  <c r="BK210" i="24"/>
  <c r="BI210" i="24"/>
  <c r="BH210" i="24"/>
  <c r="BG210" i="24"/>
  <c r="BE210" i="24"/>
  <c r="BD210" i="24"/>
  <c r="BC210" i="24"/>
  <c r="BB210" i="24"/>
  <c r="BA210" i="24"/>
  <c r="CO209" i="24"/>
  <c r="CN209" i="24"/>
  <c r="CM209" i="24"/>
  <c r="CK209" i="24"/>
  <c r="CJ209" i="24"/>
  <c r="CI209" i="24"/>
  <c r="CG209" i="24"/>
  <c r="CF209" i="24"/>
  <c r="CE209" i="24"/>
  <c r="CC209" i="24"/>
  <c r="CB209" i="24"/>
  <c r="CA209" i="24"/>
  <c r="BU209" i="24"/>
  <c r="BT209" i="24"/>
  <c r="BS209" i="24"/>
  <c r="BQ209" i="24"/>
  <c r="BP209" i="24"/>
  <c r="BO209" i="24"/>
  <c r="BM209" i="24"/>
  <c r="BL209" i="24"/>
  <c r="BK209" i="24"/>
  <c r="BI209" i="24"/>
  <c r="BH209" i="24"/>
  <c r="BG209" i="24"/>
  <c r="BE209" i="24"/>
  <c r="BD209" i="24"/>
  <c r="BC209" i="24"/>
  <c r="BB209" i="24"/>
  <c r="BA209" i="24"/>
  <c r="CT208" i="24"/>
  <c r="CS208" i="24"/>
  <c r="CR208" i="24"/>
  <c r="CQ208" i="24"/>
  <c r="CP208" i="24"/>
  <c r="CO208" i="24"/>
  <c r="CN208" i="24"/>
  <c r="CM208" i="24"/>
  <c r="CL208" i="24"/>
  <c r="CK208" i="24"/>
  <c r="CJ208" i="24"/>
  <c r="CI208" i="24"/>
  <c r="CH208" i="24"/>
  <c r="CG208" i="24"/>
  <c r="CF208" i="24"/>
  <c r="CE208" i="24"/>
  <c r="CD208" i="24"/>
  <c r="CC208" i="24"/>
  <c r="CB208" i="24"/>
  <c r="CA208" i="24"/>
  <c r="BZ208" i="24"/>
  <c r="BY208" i="24"/>
  <c r="BX208" i="24"/>
  <c r="BW208" i="24"/>
  <c r="BV208" i="24"/>
  <c r="BU208" i="24"/>
  <c r="BT208" i="24"/>
  <c r="BS208" i="24"/>
  <c r="BR208" i="24"/>
  <c r="BQ208" i="24"/>
  <c r="BP208" i="24"/>
  <c r="BO208" i="24"/>
  <c r="BN208" i="24"/>
  <c r="BM208" i="24"/>
  <c r="BL208" i="24"/>
  <c r="BK208" i="24"/>
  <c r="BJ208" i="24"/>
  <c r="BI208" i="24"/>
  <c r="BH208" i="24"/>
  <c r="BG208" i="24"/>
  <c r="BF208" i="24"/>
  <c r="BE208" i="24"/>
  <c r="BD208" i="24"/>
  <c r="BC208" i="24"/>
  <c r="BB208" i="24"/>
  <c r="BA208" i="24"/>
  <c r="CT207" i="24"/>
  <c r="CS207" i="24"/>
  <c r="CR207" i="24"/>
  <c r="CQ207" i="24"/>
  <c r="CP207" i="24"/>
  <c r="CO207" i="24"/>
  <c r="CN207" i="24"/>
  <c r="CM207" i="24"/>
  <c r="CL207" i="24"/>
  <c r="CK207" i="24"/>
  <c r="CJ207" i="24"/>
  <c r="CI207" i="24"/>
  <c r="CH207" i="24"/>
  <c r="CG207" i="24"/>
  <c r="CF207" i="24"/>
  <c r="CE207" i="24"/>
  <c r="CD207" i="24"/>
  <c r="CC207" i="24"/>
  <c r="CB207" i="24"/>
  <c r="CA207" i="24"/>
  <c r="BZ207" i="24"/>
  <c r="BY207" i="24"/>
  <c r="BX207" i="24"/>
  <c r="BW207" i="24"/>
  <c r="BV207" i="24"/>
  <c r="BU207" i="24"/>
  <c r="BT207" i="24"/>
  <c r="BS207" i="24"/>
  <c r="BR207" i="24"/>
  <c r="BQ207" i="24"/>
  <c r="BP207" i="24"/>
  <c r="BO207" i="24"/>
  <c r="BN207" i="24"/>
  <c r="BM207" i="24"/>
  <c r="BL207" i="24"/>
  <c r="BK207" i="24"/>
  <c r="BJ207" i="24"/>
  <c r="BI207" i="24"/>
  <c r="BH207" i="24"/>
  <c r="BG207" i="24"/>
  <c r="BF207" i="24"/>
  <c r="BE207" i="24"/>
  <c r="BD207" i="24"/>
  <c r="BC207" i="24"/>
  <c r="CQ206" i="24"/>
  <c r="CM206" i="24"/>
  <c r="CI206" i="24"/>
  <c r="CE206" i="24"/>
  <c r="CA206" i="24"/>
  <c r="BW206" i="24"/>
  <c r="BS206" i="24"/>
  <c r="BO206" i="24"/>
  <c r="BK206" i="24"/>
  <c r="BG206" i="24"/>
  <c r="BC206" i="24"/>
  <c r="CA205" i="24"/>
  <c r="BC205" i="24"/>
  <c r="BC204" i="24"/>
  <c r="BB204" i="24"/>
  <c r="BA201" i="24"/>
  <c r="BA203" i="24"/>
  <c r="BA202" i="24"/>
  <c r="BA212" i="23" l="1"/>
  <c r="BB212" i="23"/>
  <c r="BC212" i="23"/>
  <c r="BD212" i="23"/>
  <c r="BE212" i="23"/>
  <c r="BG212" i="23"/>
  <c r="BH212" i="23"/>
  <c r="BI212" i="23"/>
  <c r="BK212" i="23"/>
  <c r="BL212" i="23"/>
  <c r="BM212" i="23"/>
  <c r="BO212" i="23"/>
  <c r="BP212" i="23"/>
  <c r="BQ212" i="23"/>
  <c r="BS212" i="23"/>
  <c r="BT212" i="23"/>
  <c r="BU212" i="23"/>
  <c r="CA212" i="23"/>
  <c r="CB212" i="23"/>
  <c r="CC212" i="23"/>
  <c r="CE212" i="23"/>
  <c r="CF212" i="23"/>
  <c r="CG212" i="23"/>
  <c r="CI212" i="23"/>
  <c r="CJ212" i="23"/>
  <c r="CK212" i="23"/>
  <c r="CM212" i="23"/>
  <c r="CN212" i="23"/>
  <c r="CO212" i="23"/>
  <c r="BA213" i="23"/>
  <c r="BB213" i="23"/>
  <c r="BC213" i="23"/>
  <c r="BD213" i="23"/>
  <c r="BE213" i="23"/>
  <c r="BG213" i="23"/>
  <c r="BH213" i="23"/>
  <c r="BI213" i="23"/>
  <c r="BK213" i="23"/>
  <c r="BL213" i="23"/>
  <c r="BM213" i="23"/>
  <c r="BO213" i="23"/>
  <c r="BP213" i="23"/>
  <c r="BQ213" i="23"/>
  <c r="BS213" i="23"/>
  <c r="BT213" i="23"/>
  <c r="BU213" i="23"/>
  <c r="CA213" i="23"/>
  <c r="CB213" i="23"/>
  <c r="CC213" i="23"/>
  <c r="CE213" i="23"/>
  <c r="CF213" i="23"/>
  <c r="CG213" i="23"/>
  <c r="CI213" i="23"/>
  <c r="CJ213" i="23"/>
  <c r="CK213" i="23"/>
  <c r="CM213" i="23"/>
  <c r="CN213" i="23"/>
  <c r="CO213" i="23"/>
  <c r="BA214" i="23"/>
  <c r="BB214" i="23"/>
  <c r="BC214" i="23"/>
  <c r="BD214" i="23"/>
  <c r="BE214" i="23"/>
  <c r="BG214" i="23"/>
  <c r="BH214" i="23"/>
  <c r="BI214" i="23"/>
  <c r="BK214" i="23"/>
  <c r="BL214" i="23"/>
  <c r="BM214" i="23"/>
  <c r="BO214" i="23"/>
  <c r="BP214" i="23"/>
  <c r="BQ214" i="23"/>
  <c r="BS214" i="23"/>
  <c r="BT214" i="23"/>
  <c r="BU214" i="23"/>
  <c r="CA214" i="23"/>
  <c r="CB214" i="23"/>
  <c r="CC214" i="23"/>
  <c r="CE214" i="23"/>
  <c r="CF214" i="23"/>
  <c r="CG214" i="23"/>
  <c r="CI214" i="23"/>
  <c r="CJ214" i="23"/>
  <c r="CK214" i="23"/>
  <c r="CM214" i="23"/>
  <c r="CN214" i="23"/>
  <c r="CO214" i="23"/>
  <c r="BA215" i="23"/>
  <c r="BB215" i="23"/>
  <c r="BC215" i="23"/>
  <c r="BD215" i="23"/>
  <c r="BE215" i="23"/>
  <c r="BG215" i="23"/>
  <c r="BH215" i="23"/>
  <c r="BI215" i="23"/>
  <c r="BK215" i="23"/>
  <c r="BL215" i="23"/>
  <c r="BM215" i="23"/>
  <c r="BO215" i="23"/>
  <c r="BP215" i="23"/>
  <c r="BQ215" i="23"/>
  <c r="BS215" i="23"/>
  <c r="BT215" i="23"/>
  <c r="BU215" i="23"/>
  <c r="CA215" i="23"/>
  <c r="CB215" i="23"/>
  <c r="CC215" i="23"/>
  <c r="CE215" i="23"/>
  <c r="CF215" i="23"/>
  <c r="CG215" i="23"/>
  <c r="CI215" i="23"/>
  <c r="CJ215" i="23"/>
  <c r="CK215" i="23"/>
  <c r="CM215" i="23"/>
  <c r="CN215" i="23"/>
  <c r="CO215" i="23"/>
  <c r="BA216" i="23"/>
  <c r="BB216" i="23"/>
  <c r="BC216" i="23"/>
  <c r="BD216" i="23"/>
  <c r="BE216" i="23"/>
  <c r="BG216" i="23"/>
  <c r="BH216" i="23"/>
  <c r="BI216" i="23"/>
  <c r="BK216" i="23"/>
  <c r="BL216" i="23"/>
  <c r="BM216" i="23"/>
  <c r="BO216" i="23"/>
  <c r="BP216" i="23"/>
  <c r="BQ216" i="23"/>
  <c r="BS216" i="23"/>
  <c r="BT216" i="23"/>
  <c r="BU216" i="23"/>
  <c r="CA216" i="23"/>
  <c r="CB216" i="23"/>
  <c r="CC216" i="23"/>
  <c r="CE216" i="23"/>
  <c r="CF216" i="23"/>
  <c r="CG216" i="23"/>
  <c r="CI216" i="23"/>
  <c r="CJ216" i="23"/>
  <c r="CK216" i="23"/>
  <c r="CM216" i="23"/>
  <c r="CN216" i="23"/>
  <c r="CO216" i="23"/>
  <c r="BA217" i="23"/>
  <c r="BB217" i="23"/>
  <c r="CQ206" i="23"/>
  <c r="CQ207" i="23"/>
  <c r="CR207" i="23"/>
  <c r="CS207" i="23"/>
  <c r="CT207" i="23"/>
  <c r="CQ208" i="23"/>
  <c r="CR208" i="23"/>
  <c r="CS208" i="23"/>
  <c r="CT208" i="23"/>
  <c r="CN207" i="23"/>
  <c r="CO207" i="23"/>
  <c r="CP207" i="23"/>
  <c r="CN208" i="23"/>
  <c r="CO208" i="23"/>
  <c r="CP208" i="23"/>
  <c r="CN210" i="23"/>
  <c r="CO210" i="23"/>
  <c r="CN211" i="23"/>
  <c r="CO211" i="23"/>
  <c r="BA211" i="23"/>
  <c r="BB211" i="23"/>
  <c r="BC211" i="23"/>
  <c r="BD211" i="23"/>
  <c r="BE211" i="23"/>
  <c r="BG211" i="23"/>
  <c r="BH211" i="23"/>
  <c r="BI211" i="23"/>
  <c r="BK211" i="23"/>
  <c r="BL211" i="23"/>
  <c r="BM211" i="23"/>
  <c r="BO211" i="23"/>
  <c r="BP211" i="23"/>
  <c r="BQ211" i="23"/>
  <c r="BS211" i="23"/>
  <c r="BT211" i="23"/>
  <c r="BU211" i="23"/>
  <c r="CA211" i="23"/>
  <c r="CB211" i="23"/>
  <c r="CC211" i="23"/>
  <c r="CE211" i="23"/>
  <c r="CF211" i="23"/>
  <c r="CG211" i="23"/>
  <c r="CI211" i="23"/>
  <c r="CJ211" i="23"/>
  <c r="CK211" i="23"/>
  <c r="CM211" i="23"/>
  <c r="CI206" i="23"/>
  <c r="CM206" i="23"/>
  <c r="CG207" i="23"/>
  <c r="CH207" i="23"/>
  <c r="CI207" i="23"/>
  <c r="CJ207" i="23"/>
  <c r="CK207" i="23"/>
  <c r="CL207" i="23"/>
  <c r="CM207" i="23"/>
  <c r="CG208" i="23"/>
  <c r="CH208" i="23"/>
  <c r="CI208" i="23"/>
  <c r="CJ208" i="23"/>
  <c r="CK208" i="23"/>
  <c r="CL208" i="23"/>
  <c r="CM208" i="23"/>
  <c r="CG210" i="23"/>
  <c r="CI210" i="23"/>
  <c r="CJ210" i="23"/>
  <c r="CK210" i="23"/>
  <c r="CM210" i="23"/>
  <c r="BC207" i="23"/>
  <c r="BD207" i="23"/>
  <c r="BE207" i="23"/>
  <c r="BF207" i="23"/>
  <c r="BG207" i="23"/>
  <c r="BH207" i="23"/>
  <c r="BI207" i="23"/>
  <c r="BJ207" i="23"/>
  <c r="BK207" i="23"/>
  <c r="BL207" i="23"/>
  <c r="BM207" i="23"/>
  <c r="BN207" i="23"/>
  <c r="BO207" i="23"/>
  <c r="BP207" i="23"/>
  <c r="BQ207" i="23"/>
  <c r="BR207" i="23"/>
  <c r="BS207" i="23"/>
  <c r="BT207" i="23"/>
  <c r="BU207" i="23"/>
  <c r="BV207" i="23"/>
  <c r="BW207" i="23"/>
  <c r="BX207" i="23"/>
  <c r="BY207" i="23"/>
  <c r="BZ207" i="23"/>
  <c r="CA207" i="23"/>
  <c r="CB207" i="23"/>
  <c r="CC207" i="23"/>
  <c r="CD207" i="23"/>
  <c r="CE207" i="23"/>
  <c r="CF207" i="23"/>
  <c r="BA208" i="23"/>
  <c r="BB208" i="23"/>
  <c r="BC208" i="23"/>
  <c r="BD208" i="23"/>
  <c r="BE208" i="23"/>
  <c r="BF208" i="23"/>
  <c r="BG208" i="23"/>
  <c r="BH208" i="23"/>
  <c r="BI208" i="23"/>
  <c r="BJ208" i="23"/>
  <c r="BK208" i="23"/>
  <c r="BL208" i="23"/>
  <c r="BM208" i="23"/>
  <c r="BN208" i="23"/>
  <c r="BO208" i="23"/>
  <c r="BP208" i="23"/>
  <c r="BQ208" i="23"/>
  <c r="BR208" i="23"/>
  <c r="BS208" i="23"/>
  <c r="BT208" i="23"/>
  <c r="BU208" i="23"/>
  <c r="BV208" i="23"/>
  <c r="BW208" i="23"/>
  <c r="BX208" i="23"/>
  <c r="BY208" i="23"/>
  <c r="BZ208" i="23"/>
  <c r="CA208" i="23"/>
  <c r="CB208" i="23"/>
  <c r="CC208" i="23"/>
  <c r="CD208" i="23"/>
  <c r="CE208" i="23"/>
  <c r="CF208" i="23"/>
  <c r="BA210" i="23"/>
  <c r="BB210" i="23"/>
  <c r="BC210" i="23"/>
  <c r="BD210" i="23"/>
  <c r="BE210" i="23"/>
  <c r="BG210" i="23"/>
  <c r="BH210" i="23"/>
  <c r="BI210" i="23"/>
  <c r="BK210" i="23"/>
  <c r="BL210" i="23"/>
  <c r="BM210" i="23"/>
  <c r="BO210" i="23"/>
  <c r="BP210" i="23"/>
  <c r="BQ210" i="23"/>
  <c r="BS210" i="23"/>
  <c r="BT210" i="23"/>
  <c r="BU210" i="23"/>
  <c r="CA210" i="23"/>
  <c r="CB210" i="23"/>
  <c r="CC210" i="23"/>
  <c r="CE210" i="23"/>
  <c r="CF210" i="23"/>
  <c r="CE206" i="23"/>
  <c r="CA205" i="23"/>
  <c r="BW206" i="23"/>
  <c r="CA206" i="23"/>
  <c r="BA203" i="23"/>
  <c r="BA201" i="23"/>
  <c r="BA204" i="23"/>
  <c r="BB204" i="23"/>
  <c r="BC204" i="23"/>
  <c r="BC205" i="23"/>
  <c r="BC206" i="23"/>
  <c r="BG206" i="23"/>
  <c r="BK206" i="23"/>
  <c r="BO206" i="23"/>
  <c r="BS206" i="23"/>
  <c r="BA202" i="23"/>
  <c r="BA227" i="22" l="1"/>
  <c r="BB227" i="22"/>
  <c r="BC227" i="22"/>
  <c r="BD227" i="22"/>
  <c r="BE227" i="22"/>
  <c r="BF227" i="22"/>
  <c r="BH227" i="22"/>
  <c r="BI227" i="22"/>
  <c r="BJ227" i="22"/>
  <c r="BK227" i="22"/>
  <c r="BM227" i="22"/>
  <c r="BN227" i="22"/>
  <c r="BO227" i="22"/>
  <c r="BP227" i="22"/>
  <c r="BA228" i="22"/>
  <c r="BB228" i="22"/>
  <c r="BB220" i="22"/>
  <c r="BC220" i="22"/>
  <c r="BD220" i="22"/>
  <c r="BE220" i="22"/>
  <c r="BF220" i="22"/>
  <c r="BH220" i="22"/>
  <c r="BI220" i="22"/>
  <c r="BJ220" i="22"/>
  <c r="BK220" i="22"/>
  <c r="BM220" i="22"/>
  <c r="BN220" i="22"/>
  <c r="BO220" i="22"/>
  <c r="BP220" i="22"/>
  <c r="BB221" i="22"/>
  <c r="BC221" i="22"/>
  <c r="BD221" i="22"/>
  <c r="BE221" i="22"/>
  <c r="BF221" i="22"/>
  <c r="BH221" i="22"/>
  <c r="BI221" i="22"/>
  <c r="BJ221" i="22"/>
  <c r="BK221" i="22"/>
  <c r="BM221" i="22"/>
  <c r="BN221" i="22"/>
  <c r="BO221" i="22"/>
  <c r="BP221" i="22"/>
  <c r="BB222" i="22"/>
  <c r="BC222" i="22"/>
  <c r="BD222" i="22"/>
  <c r="BE222" i="22"/>
  <c r="BF222" i="22"/>
  <c r="BH222" i="22"/>
  <c r="BI222" i="22"/>
  <c r="BJ222" i="22"/>
  <c r="BK222" i="22"/>
  <c r="BM222" i="22"/>
  <c r="BN222" i="22"/>
  <c r="BO222" i="22"/>
  <c r="BP222" i="22"/>
  <c r="BB223" i="22"/>
  <c r="BC223" i="22"/>
  <c r="BD223" i="22"/>
  <c r="BE223" i="22"/>
  <c r="BF223" i="22"/>
  <c r="BH223" i="22"/>
  <c r="BI223" i="22"/>
  <c r="BJ223" i="22"/>
  <c r="BK223" i="22"/>
  <c r="BM223" i="22"/>
  <c r="BN223" i="22"/>
  <c r="BO223" i="22"/>
  <c r="BP223" i="22"/>
  <c r="BA224" i="22"/>
  <c r="BB224" i="22"/>
  <c r="BC224" i="22"/>
  <c r="BD224" i="22"/>
  <c r="BE224" i="22"/>
  <c r="BF224" i="22"/>
  <c r="BH224" i="22"/>
  <c r="BI224" i="22"/>
  <c r="BJ224" i="22"/>
  <c r="BK224" i="22"/>
  <c r="BM224" i="22"/>
  <c r="BN224" i="22"/>
  <c r="BO224" i="22"/>
  <c r="BP224" i="22"/>
  <c r="BA225" i="22"/>
  <c r="BB225" i="22"/>
  <c r="BC225" i="22"/>
  <c r="BD225" i="22"/>
  <c r="BE225" i="22"/>
  <c r="BF225" i="22"/>
  <c r="BH225" i="22"/>
  <c r="BI225" i="22"/>
  <c r="BJ225" i="22"/>
  <c r="BK225" i="22"/>
  <c r="BM225" i="22"/>
  <c r="BN225" i="22"/>
  <c r="BO225" i="22"/>
  <c r="BP225" i="22"/>
  <c r="BA226" i="22"/>
  <c r="BB226" i="22"/>
  <c r="BC226" i="22"/>
  <c r="BD226" i="22"/>
  <c r="BE226" i="22"/>
  <c r="BF226" i="22"/>
  <c r="BH226" i="22"/>
  <c r="BI226" i="22"/>
  <c r="BJ226" i="22"/>
  <c r="BK226" i="22"/>
  <c r="BM226" i="22"/>
  <c r="BN226" i="22"/>
  <c r="BO226" i="22"/>
  <c r="BP226" i="22"/>
  <c r="BB210" i="22"/>
  <c r="BC210" i="22"/>
  <c r="BD210" i="22"/>
  <c r="BE210" i="22"/>
  <c r="BF210" i="22"/>
  <c r="BH210" i="22"/>
  <c r="BI210" i="22"/>
  <c r="BJ210" i="22"/>
  <c r="BK210" i="22"/>
  <c r="BM210" i="22"/>
  <c r="BN210" i="22"/>
  <c r="BO210" i="22"/>
  <c r="BP210" i="22"/>
  <c r="BB211" i="22"/>
  <c r="BC211" i="22"/>
  <c r="BD211" i="22"/>
  <c r="BE211" i="22"/>
  <c r="BF211" i="22"/>
  <c r="BH211" i="22"/>
  <c r="BI211" i="22"/>
  <c r="BJ211" i="22"/>
  <c r="BK211" i="22"/>
  <c r="BM211" i="22"/>
  <c r="BN211" i="22"/>
  <c r="BO211" i="22"/>
  <c r="BP211" i="22"/>
  <c r="BB212" i="22"/>
  <c r="BC212" i="22"/>
  <c r="BD212" i="22"/>
  <c r="BE212" i="22"/>
  <c r="BF212" i="22"/>
  <c r="BH212" i="22"/>
  <c r="BI212" i="22"/>
  <c r="BJ212" i="22"/>
  <c r="BK212" i="22"/>
  <c r="BM212" i="22"/>
  <c r="BN212" i="22"/>
  <c r="BO212" i="22"/>
  <c r="BP212" i="22"/>
  <c r="BB213" i="22"/>
  <c r="BC213" i="22"/>
  <c r="BD213" i="22"/>
  <c r="BE213" i="22"/>
  <c r="BF213" i="22"/>
  <c r="BH213" i="22"/>
  <c r="BI213" i="22"/>
  <c r="BJ213" i="22"/>
  <c r="BK213" i="22"/>
  <c r="BM213" i="22"/>
  <c r="BN213" i="22"/>
  <c r="BO213" i="22"/>
  <c r="BP213" i="22"/>
  <c r="BB214" i="22"/>
  <c r="BC214" i="22"/>
  <c r="BD214" i="22"/>
  <c r="BE214" i="22"/>
  <c r="BF214" i="22"/>
  <c r="BH214" i="22"/>
  <c r="BI214" i="22"/>
  <c r="BJ214" i="22"/>
  <c r="BK214" i="22"/>
  <c r="BM214" i="22"/>
  <c r="BN214" i="22"/>
  <c r="BO214" i="22"/>
  <c r="BP214" i="22"/>
  <c r="BA215" i="22"/>
  <c r="BB215" i="22"/>
  <c r="BC215" i="22"/>
  <c r="BD215" i="22"/>
  <c r="BE215" i="22"/>
  <c r="BF215" i="22"/>
  <c r="BH215" i="22"/>
  <c r="BI215" i="22"/>
  <c r="BJ215" i="22"/>
  <c r="BK215" i="22"/>
  <c r="BM215" i="22"/>
  <c r="BN215" i="22"/>
  <c r="BO215" i="22"/>
  <c r="BP215" i="22"/>
  <c r="BA216" i="22"/>
  <c r="BB216" i="22"/>
  <c r="BC216" i="22"/>
  <c r="BD216" i="22"/>
  <c r="BE216" i="22"/>
  <c r="BF216" i="22"/>
  <c r="BH216" i="22"/>
  <c r="BI216" i="22"/>
  <c r="BJ216" i="22"/>
  <c r="BK216" i="22"/>
  <c r="BM216" i="22"/>
  <c r="BN216" i="22"/>
  <c r="BO216" i="22"/>
  <c r="BP216" i="22"/>
  <c r="BA217" i="22"/>
  <c r="BB217" i="22"/>
  <c r="BC217" i="22"/>
  <c r="BD217" i="22"/>
  <c r="BE217" i="22"/>
  <c r="BF217" i="22"/>
  <c r="BH217" i="22"/>
  <c r="BI217" i="22"/>
  <c r="BJ217" i="22"/>
  <c r="BK217" i="22"/>
  <c r="BM217" i="22"/>
  <c r="BN217" i="22"/>
  <c r="BO217" i="22"/>
  <c r="BP217" i="22"/>
  <c r="BA218" i="22"/>
  <c r="BB218" i="22"/>
  <c r="BB219" i="22"/>
  <c r="BC219" i="22"/>
  <c r="BD219" i="22"/>
  <c r="BE219" i="22"/>
  <c r="BF219" i="22"/>
  <c r="BH219" i="22"/>
  <c r="BI219" i="22"/>
  <c r="BJ219" i="22"/>
  <c r="BK219" i="22"/>
  <c r="BM219" i="22"/>
  <c r="BN219" i="22"/>
  <c r="BO219" i="22"/>
  <c r="BP219" i="22"/>
  <c r="BC205" i="22"/>
  <c r="BH205" i="22"/>
  <c r="BM205" i="22"/>
  <c r="BC206" i="22"/>
  <c r="BD206" i="22"/>
  <c r="BE206" i="22"/>
  <c r="BF206" i="22"/>
  <c r="BG206" i="22"/>
  <c r="BH206" i="22"/>
  <c r="BI206" i="22"/>
  <c r="BJ206" i="22"/>
  <c r="BK206" i="22"/>
  <c r="BL206" i="22"/>
  <c r="BM206" i="22"/>
  <c r="BN206" i="22"/>
  <c r="BO206" i="22"/>
  <c r="BP206" i="22"/>
  <c r="BQ206" i="22"/>
  <c r="BA207" i="22"/>
  <c r="BB207" i="22"/>
  <c r="BC207" i="22"/>
  <c r="BD207" i="22"/>
  <c r="BE207" i="22"/>
  <c r="BF207" i="22"/>
  <c r="BG207" i="22"/>
  <c r="BH207" i="22"/>
  <c r="BI207" i="22"/>
  <c r="BJ207" i="22"/>
  <c r="BK207" i="22"/>
  <c r="BL207" i="22"/>
  <c r="BM207" i="22"/>
  <c r="BN207" i="22"/>
  <c r="BO207" i="22"/>
  <c r="BP207" i="22"/>
  <c r="BQ207" i="22"/>
  <c r="BR207" i="22"/>
  <c r="BA208" i="22"/>
  <c r="BB208" i="22"/>
  <c r="BC208" i="22"/>
  <c r="BD208" i="22"/>
  <c r="BE208" i="22"/>
  <c r="BF208" i="22"/>
  <c r="BH208" i="22"/>
  <c r="BI208" i="22"/>
  <c r="BJ208" i="22"/>
  <c r="BK208" i="22"/>
  <c r="BM208" i="22"/>
  <c r="BN208" i="22"/>
  <c r="BO208" i="22"/>
  <c r="BP208" i="22"/>
  <c r="BA209" i="22"/>
  <c r="BB209" i="22"/>
  <c r="BA203" i="22"/>
  <c r="BA201" i="22"/>
  <c r="BA204" i="22"/>
  <c r="BB204" i="22"/>
  <c r="BC204" i="22"/>
  <c r="BR204" i="22"/>
  <c r="BA202" i="22"/>
  <c r="BA224" i="21"/>
  <c r="BA222" i="21"/>
  <c r="BB213" i="21"/>
  <c r="BC213" i="21"/>
  <c r="BD213" i="21"/>
  <c r="BE213" i="21"/>
  <c r="BB214" i="21"/>
  <c r="BC214" i="21"/>
  <c r="BD214" i="21"/>
  <c r="BE214" i="21"/>
  <c r="BA215" i="21"/>
  <c r="BB215" i="21"/>
  <c r="BB216" i="21"/>
  <c r="BC216" i="21"/>
  <c r="BD216" i="21"/>
  <c r="BE216" i="21"/>
  <c r="BB217" i="21"/>
  <c r="BC217" i="21"/>
  <c r="BD217" i="21"/>
  <c r="BE217" i="21"/>
  <c r="BA218" i="21"/>
  <c r="BB218" i="21"/>
  <c r="BA219" i="21"/>
  <c r="BA220" i="21"/>
  <c r="BA221" i="21"/>
  <c r="BA209" i="21"/>
  <c r="BB209" i="21"/>
  <c r="BB210" i="21"/>
  <c r="BC210" i="21"/>
  <c r="BD210" i="21"/>
  <c r="BE210" i="21"/>
  <c r="BB211" i="21"/>
  <c r="BC211" i="21"/>
  <c r="BD211" i="21"/>
  <c r="BE211" i="21"/>
  <c r="BA212" i="21"/>
  <c r="BB212" i="21"/>
  <c r="BA203" i="21"/>
  <c r="BA201" i="21"/>
  <c r="BA204" i="21"/>
  <c r="BB204" i="21"/>
  <c r="BC204" i="21"/>
  <c r="BD204" i="21"/>
  <c r="BE204" i="21"/>
  <c r="BF204" i="21"/>
  <c r="BA205" i="21"/>
  <c r="BB205" i="21"/>
  <c r="BC205" i="21"/>
  <c r="BD205" i="21"/>
  <c r="BE205" i="21"/>
  <c r="BF205" i="21"/>
  <c r="BA206" i="21"/>
  <c r="BB206" i="21"/>
  <c r="BB207" i="21"/>
  <c r="BC207" i="21"/>
  <c r="BD207" i="21"/>
  <c r="BE207" i="21"/>
  <c r="BB208" i="21"/>
  <c r="BC208" i="21"/>
  <c r="BD208" i="21"/>
  <c r="BE208" i="21"/>
  <c r="BA202" i="21"/>
  <c r="CB203" i="20" l="1"/>
  <c r="BA208" i="20"/>
  <c r="BB208" i="20"/>
  <c r="BC208" i="20"/>
  <c r="BD208" i="20"/>
  <c r="BE208" i="20"/>
  <c r="BG208" i="20"/>
  <c r="BH208" i="20"/>
  <c r="BI208" i="20"/>
  <c r="BK208" i="20"/>
  <c r="BL208" i="20"/>
  <c r="BM208" i="20"/>
  <c r="BO208" i="20"/>
  <c r="BP208" i="20"/>
  <c r="BQ208" i="20"/>
  <c r="BS208" i="20"/>
  <c r="BT208" i="20"/>
  <c r="BU208" i="20"/>
  <c r="BW208" i="20"/>
  <c r="BX208" i="20"/>
  <c r="BY208" i="20"/>
  <c r="BA209" i="20"/>
  <c r="BB209" i="20"/>
  <c r="BC209" i="20"/>
  <c r="BD209" i="20"/>
  <c r="BE209" i="20"/>
  <c r="BG209" i="20"/>
  <c r="BH209" i="20"/>
  <c r="BI209" i="20"/>
  <c r="BK209" i="20"/>
  <c r="BL209" i="20"/>
  <c r="BM209" i="20"/>
  <c r="BO209" i="20"/>
  <c r="BP209" i="20"/>
  <c r="BQ209" i="20"/>
  <c r="BS209" i="20"/>
  <c r="BT209" i="20"/>
  <c r="BU209" i="20"/>
  <c r="BW209" i="20"/>
  <c r="BX209" i="20"/>
  <c r="BY209" i="20"/>
  <c r="BA210" i="20"/>
  <c r="BB210" i="20"/>
  <c r="BC210" i="20"/>
  <c r="BD210" i="20"/>
  <c r="BE210" i="20"/>
  <c r="BG210" i="20"/>
  <c r="BH210" i="20"/>
  <c r="BI210" i="20"/>
  <c r="BK210" i="20"/>
  <c r="BL210" i="20"/>
  <c r="BM210" i="20"/>
  <c r="BO210" i="20"/>
  <c r="BP210" i="20"/>
  <c r="BQ210" i="20"/>
  <c r="BS210" i="20"/>
  <c r="BT210" i="20"/>
  <c r="BU210" i="20"/>
  <c r="BW210" i="20"/>
  <c r="BX210" i="20"/>
  <c r="BY210" i="20"/>
  <c r="BA211" i="20"/>
  <c r="BB211" i="20"/>
  <c r="BC211" i="20"/>
  <c r="BD211" i="20"/>
  <c r="BE211" i="20"/>
  <c r="BG211" i="20"/>
  <c r="BH211" i="20"/>
  <c r="BI211" i="20"/>
  <c r="BK211" i="20"/>
  <c r="BL211" i="20"/>
  <c r="BM211" i="20"/>
  <c r="BO211" i="20"/>
  <c r="BP211" i="20"/>
  <c r="BQ211" i="20"/>
  <c r="BS211" i="20"/>
  <c r="BT211" i="20"/>
  <c r="BU211" i="20"/>
  <c r="BW211" i="20"/>
  <c r="BX211" i="20"/>
  <c r="BY211" i="20"/>
  <c r="BA212" i="20"/>
  <c r="BB212" i="20"/>
  <c r="BC212" i="20"/>
  <c r="BD212" i="20"/>
  <c r="BE212" i="20"/>
  <c r="BG212" i="20"/>
  <c r="BH212" i="20"/>
  <c r="BI212" i="20"/>
  <c r="BK212" i="20"/>
  <c r="BL212" i="20"/>
  <c r="BM212" i="20"/>
  <c r="BO212" i="20"/>
  <c r="BP212" i="20"/>
  <c r="BQ212" i="20"/>
  <c r="BS212" i="20"/>
  <c r="BT212" i="20"/>
  <c r="BU212" i="20"/>
  <c r="BW212" i="20"/>
  <c r="BX212" i="20"/>
  <c r="BY212" i="20"/>
  <c r="BA213" i="20"/>
  <c r="BB213" i="20"/>
  <c r="BC213" i="20"/>
  <c r="BD213" i="20"/>
  <c r="BE213" i="20"/>
  <c r="BG213" i="20"/>
  <c r="BH213" i="20"/>
  <c r="BI213" i="20"/>
  <c r="BK213" i="20"/>
  <c r="BL213" i="20"/>
  <c r="BM213" i="20"/>
  <c r="BO213" i="20"/>
  <c r="BP213" i="20"/>
  <c r="BQ213" i="20"/>
  <c r="BS213" i="20"/>
  <c r="BT213" i="20"/>
  <c r="BU213" i="20"/>
  <c r="BW213" i="20"/>
  <c r="BX213" i="20"/>
  <c r="BY213" i="20"/>
  <c r="BA214" i="20"/>
  <c r="BB214" i="20"/>
  <c r="BC214" i="20"/>
  <c r="BD214" i="20"/>
  <c r="BE214" i="20"/>
  <c r="BG214" i="20"/>
  <c r="BH214" i="20"/>
  <c r="BI214" i="20"/>
  <c r="BK214" i="20"/>
  <c r="BL214" i="20"/>
  <c r="BM214" i="20"/>
  <c r="BO214" i="20"/>
  <c r="BP214" i="20"/>
  <c r="BQ214" i="20"/>
  <c r="BS214" i="20"/>
  <c r="BT214" i="20"/>
  <c r="BU214" i="20"/>
  <c r="BW214" i="20"/>
  <c r="BX214" i="20"/>
  <c r="BY214" i="20"/>
  <c r="BA215" i="20"/>
  <c r="BB215" i="20"/>
  <c r="BC215" i="20"/>
  <c r="BD215" i="20"/>
  <c r="BE215" i="20"/>
  <c r="BG215" i="20"/>
  <c r="BH215" i="20"/>
  <c r="BI215" i="20"/>
  <c r="BK215" i="20"/>
  <c r="BL215" i="20"/>
  <c r="BM215" i="20"/>
  <c r="BO215" i="20"/>
  <c r="BP215" i="20"/>
  <c r="BQ215" i="20"/>
  <c r="BS215" i="20"/>
  <c r="BT215" i="20"/>
  <c r="BU215" i="20"/>
  <c r="BW215" i="20"/>
  <c r="BX215" i="20"/>
  <c r="BY215" i="20"/>
  <c r="BA216" i="20"/>
  <c r="BB216" i="20"/>
  <c r="BA218" i="20"/>
  <c r="BA219" i="20"/>
  <c r="BA220" i="20"/>
  <c r="BA221" i="20"/>
  <c r="BA203" i="20"/>
  <c r="BA201" i="20"/>
  <c r="BA204" i="20"/>
  <c r="BB204" i="20"/>
  <c r="BC204" i="20"/>
  <c r="BG204" i="20"/>
  <c r="BK204" i="20"/>
  <c r="BO204" i="20"/>
  <c r="BS204" i="20"/>
  <c r="BW204" i="20"/>
  <c r="CA204" i="20"/>
  <c r="BC205" i="20"/>
  <c r="BD205" i="20"/>
  <c r="BE205" i="20"/>
  <c r="BF205" i="20"/>
  <c r="BG205" i="20"/>
  <c r="BH205" i="20"/>
  <c r="BI205" i="20"/>
  <c r="BJ205" i="20"/>
  <c r="BK205" i="20"/>
  <c r="BL205" i="20"/>
  <c r="BM205" i="20"/>
  <c r="BN205" i="20"/>
  <c r="BO205" i="20"/>
  <c r="BP205" i="20"/>
  <c r="BQ205" i="20"/>
  <c r="BR205" i="20"/>
  <c r="BS205" i="20"/>
  <c r="BT205" i="20"/>
  <c r="BU205" i="20"/>
  <c r="BV205" i="20"/>
  <c r="BW205" i="20"/>
  <c r="BX205" i="20"/>
  <c r="BY205" i="20"/>
  <c r="BZ205" i="20"/>
  <c r="CA205" i="20"/>
  <c r="CB205" i="20"/>
  <c r="CC205" i="20"/>
  <c r="CD205" i="20"/>
  <c r="BA206" i="20"/>
  <c r="BB206" i="20"/>
  <c r="BC206" i="20"/>
  <c r="BD206" i="20"/>
  <c r="BE206" i="20"/>
  <c r="BF206" i="20"/>
  <c r="BG206" i="20"/>
  <c r="BH206" i="20"/>
  <c r="BI206" i="20"/>
  <c r="BJ206" i="20"/>
  <c r="BK206" i="20"/>
  <c r="BL206" i="20"/>
  <c r="BM206" i="20"/>
  <c r="BN206" i="20"/>
  <c r="BO206" i="20"/>
  <c r="BP206" i="20"/>
  <c r="BQ206" i="20"/>
  <c r="BR206" i="20"/>
  <c r="BS206" i="20"/>
  <c r="BT206" i="20"/>
  <c r="BU206" i="20"/>
  <c r="BV206" i="20"/>
  <c r="BW206" i="20"/>
  <c r="BX206" i="20"/>
  <c r="BY206" i="20"/>
  <c r="BZ206" i="20"/>
  <c r="CA206" i="20"/>
  <c r="CB206" i="20"/>
  <c r="CC206" i="20"/>
  <c r="CD206" i="20"/>
  <c r="BA207" i="20"/>
  <c r="BB207" i="20"/>
  <c r="BC207" i="20"/>
  <c r="BD207" i="20"/>
  <c r="BE207" i="20"/>
  <c r="BG207" i="20"/>
  <c r="BH207" i="20"/>
  <c r="BI207" i="20"/>
  <c r="BK207" i="20"/>
  <c r="BL207" i="20"/>
  <c r="BM207" i="20"/>
  <c r="BO207" i="20"/>
  <c r="BP207" i="20"/>
  <c r="BQ207" i="20"/>
  <c r="BS207" i="20"/>
  <c r="BT207" i="20"/>
  <c r="BU207" i="20"/>
  <c r="BW207" i="20"/>
  <c r="BX207" i="20"/>
  <c r="BY207" i="20"/>
  <c r="BA202" i="20"/>
  <c r="BA238" i="19" l="1"/>
  <c r="BA240" i="19"/>
  <c r="BA207" i="19"/>
  <c r="BB207" i="19"/>
  <c r="BC207" i="19"/>
  <c r="BD207" i="19"/>
  <c r="BE207" i="19"/>
  <c r="BF207" i="19"/>
  <c r="BG207" i="19"/>
  <c r="BH207" i="19"/>
  <c r="BI207" i="19"/>
  <c r="BJ207" i="19"/>
  <c r="BK207" i="19"/>
  <c r="BL207" i="19"/>
  <c r="BM207" i="19"/>
  <c r="BN207" i="19"/>
  <c r="BO207" i="19"/>
  <c r="BP207" i="19"/>
  <c r="BQ207" i="19"/>
  <c r="BR207" i="19"/>
  <c r="BS207" i="19"/>
  <c r="BT207" i="19"/>
  <c r="BU207" i="19"/>
  <c r="BV207" i="19"/>
  <c r="BW207" i="19"/>
  <c r="BX207" i="19"/>
  <c r="BA208" i="19"/>
  <c r="BB208" i="19"/>
  <c r="BC208" i="19"/>
  <c r="BD208" i="19"/>
  <c r="BE208" i="19"/>
  <c r="BF208" i="19"/>
  <c r="BG208" i="19"/>
  <c r="BH208" i="19"/>
  <c r="BJ208" i="19"/>
  <c r="BK208" i="19"/>
  <c r="BL208" i="19"/>
  <c r="BM208" i="19"/>
  <c r="BN208" i="19"/>
  <c r="BO208" i="19"/>
  <c r="BQ208" i="19"/>
  <c r="BR208" i="19"/>
  <c r="BS208" i="19"/>
  <c r="BT208" i="19"/>
  <c r="BU208" i="19"/>
  <c r="BV208" i="19"/>
  <c r="BA209" i="19"/>
  <c r="BB209" i="19"/>
  <c r="BC209" i="19"/>
  <c r="BD209" i="19"/>
  <c r="BE209" i="19"/>
  <c r="BF209" i="19"/>
  <c r="BG209" i="19"/>
  <c r="BH209" i="19"/>
  <c r="BJ209" i="19"/>
  <c r="BK209" i="19"/>
  <c r="BL209" i="19"/>
  <c r="BM209" i="19"/>
  <c r="BN209" i="19"/>
  <c r="BO209" i="19"/>
  <c r="BQ209" i="19"/>
  <c r="BR209" i="19"/>
  <c r="BS209" i="19"/>
  <c r="BT209" i="19"/>
  <c r="BU209" i="19"/>
  <c r="BV209" i="19"/>
  <c r="BA210" i="19"/>
  <c r="BB210" i="19"/>
  <c r="BB211" i="19"/>
  <c r="BC211" i="19"/>
  <c r="BD211" i="19"/>
  <c r="BE211" i="19"/>
  <c r="BF211" i="19"/>
  <c r="BG211" i="19"/>
  <c r="BH211" i="19"/>
  <c r="BJ211" i="19"/>
  <c r="BK211" i="19"/>
  <c r="BL211" i="19"/>
  <c r="BM211" i="19"/>
  <c r="BN211" i="19"/>
  <c r="BO211" i="19"/>
  <c r="BQ211" i="19"/>
  <c r="BR211" i="19"/>
  <c r="BS211" i="19"/>
  <c r="BT211" i="19"/>
  <c r="BU211" i="19"/>
  <c r="BV211" i="19"/>
  <c r="BB212" i="19"/>
  <c r="BC212" i="19"/>
  <c r="BD212" i="19"/>
  <c r="BE212" i="19"/>
  <c r="BF212" i="19"/>
  <c r="BG212" i="19"/>
  <c r="BH212" i="19"/>
  <c r="BJ212" i="19"/>
  <c r="BK212" i="19"/>
  <c r="BL212" i="19"/>
  <c r="BM212" i="19"/>
  <c r="BN212" i="19"/>
  <c r="BO212" i="19"/>
  <c r="BQ212" i="19"/>
  <c r="BR212" i="19"/>
  <c r="BS212" i="19"/>
  <c r="BT212" i="19"/>
  <c r="BU212" i="19"/>
  <c r="BV212" i="19"/>
  <c r="BB213" i="19"/>
  <c r="BC213" i="19"/>
  <c r="BD213" i="19"/>
  <c r="BE213" i="19"/>
  <c r="BF213" i="19"/>
  <c r="BG213" i="19"/>
  <c r="BH213" i="19"/>
  <c r="BJ213" i="19"/>
  <c r="BK213" i="19"/>
  <c r="BL213" i="19"/>
  <c r="BM213" i="19"/>
  <c r="BN213" i="19"/>
  <c r="BO213" i="19"/>
  <c r="BQ213" i="19"/>
  <c r="BR213" i="19"/>
  <c r="BS213" i="19"/>
  <c r="BT213" i="19"/>
  <c r="BU213" i="19"/>
  <c r="BV213" i="19"/>
  <c r="BB214" i="19"/>
  <c r="BC214" i="19"/>
  <c r="BD214" i="19"/>
  <c r="BE214" i="19"/>
  <c r="BF214" i="19"/>
  <c r="BG214" i="19"/>
  <c r="BH214" i="19"/>
  <c r="BJ214" i="19"/>
  <c r="BK214" i="19"/>
  <c r="BL214" i="19"/>
  <c r="BM214" i="19"/>
  <c r="BN214" i="19"/>
  <c r="BO214" i="19"/>
  <c r="BQ214" i="19"/>
  <c r="BR214" i="19"/>
  <c r="BS214" i="19"/>
  <c r="BT214" i="19"/>
  <c r="BU214" i="19"/>
  <c r="BV214" i="19"/>
  <c r="BB215" i="19"/>
  <c r="BC215" i="19"/>
  <c r="BD215" i="19"/>
  <c r="BE215" i="19"/>
  <c r="BF215" i="19"/>
  <c r="BG215" i="19"/>
  <c r="BH215" i="19"/>
  <c r="BJ215" i="19"/>
  <c r="BK215" i="19"/>
  <c r="BL215" i="19"/>
  <c r="BM215" i="19"/>
  <c r="BN215" i="19"/>
  <c r="BO215" i="19"/>
  <c r="BQ215" i="19"/>
  <c r="BR215" i="19"/>
  <c r="BS215" i="19"/>
  <c r="BT215" i="19"/>
  <c r="BU215" i="19"/>
  <c r="BV215" i="19"/>
  <c r="BA216" i="19"/>
  <c r="BB216" i="19"/>
  <c r="BC216" i="19"/>
  <c r="BD216" i="19"/>
  <c r="BE216" i="19"/>
  <c r="BF216" i="19"/>
  <c r="BG216" i="19"/>
  <c r="BH216" i="19"/>
  <c r="BJ216" i="19"/>
  <c r="BK216" i="19"/>
  <c r="BL216" i="19"/>
  <c r="BM216" i="19"/>
  <c r="BN216" i="19"/>
  <c r="BO216" i="19"/>
  <c r="BQ216" i="19"/>
  <c r="BR216" i="19"/>
  <c r="BS216" i="19"/>
  <c r="BT216" i="19"/>
  <c r="BU216" i="19"/>
  <c r="BV216" i="19"/>
  <c r="BA217" i="19"/>
  <c r="BB217" i="19"/>
  <c r="BB218" i="19"/>
  <c r="BB219" i="19"/>
  <c r="BC219" i="19"/>
  <c r="BD219" i="19"/>
  <c r="BE219" i="19"/>
  <c r="BF219" i="19"/>
  <c r="BG219" i="19"/>
  <c r="BH219" i="19"/>
  <c r="BJ219" i="19"/>
  <c r="BK219" i="19"/>
  <c r="BL219" i="19"/>
  <c r="BM219" i="19"/>
  <c r="BN219" i="19"/>
  <c r="BO219" i="19"/>
  <c r="BQ219" i="19"/>
  <c r="BR219" i="19"/>
  <c r="BS219" i="19"/>
  <c r="BT219" i="19"/>
  <c r="BU219" i="19"/>
  <c r="BV219" i="19"/>
  <c r="BB220" i="19"/>
  <c r="BC220" i="19"/>
  <c r="BD220" i="19"/>
  <c r="BE220" i="19"/>
  <c r="BF220" i="19"/>
  <c r="BG220" i="19"/>
  <c r="BH220" i="19"/>
  <c r="BJ220" i="19"/>
  <c r="BK220" i="19"/>
  <c r="BL220" i="19"/>
  <c r="BM220" i="19"/>
  <c r="BN220" i="19"/>
  <c r="BO220" i="19"/>
  <c r="BQ220" i="19"/>
  <c r="BR220" i="19"/>
  <c r="BS220" i="19"/>
  <c r="BT220" i="19"/>
  <c r="BU220" i="19"/>
  <c r="BV220" i="19"/>
  <c r="BB221" i="19"/>
  <c r="BC221" i="19"/>
  <c r="BD221" i="19"/>
  <c r="BE221" i="19"/>
  <c r="BF221" i="19"/>
  <c r="BG221" i="19"/>
  <c r="BH221" i="19"/>
  <c r="BJ221" i="19"/>
  <c r="BK221" i="19"/>
  <c r="BL221" i="19"/>
  <c r="BM221" i="19"/>
  <c r="BN221" i="19"/>
  <c r="BO221" i="19"/>
  <c r="BQ221" i="19"/>
  <c r="BR221" i="19"/>
  <c r="BS221" i="19"/>
  <c r="BT221" i="19"/>
  <c r="BU221" i="19"/>
  <c r="BV221" i="19"/>
  <c r="BA222" i="19"/>
  <c r="BB222" i="19"/>
  <c r="BB223" i="19"/>
  <c r="BC223" i="19"/>
  <c r="BD223" i="19"/>
  <c r="BE223" i="19"/>
  <c r="BF223" i="19"/>
  <c r="BG223" i="19"/>
  <c r="BH223" i="19"/>
  <c r="BJ223" i="19"/>
  <c r="BK223" i="19"/>
  <c r="BL223" i="19"/>
  <c r="BM223" i="19"/>
  <c r="BN223" i="19"/>
  <c r="BO223" i="19"/>
  <c r="BQ223" i="19"/>
  <c r="BR223" i="19"/>
  <c r="BS223" i="19"/>
  <c r="BT223" i="19"/>
  <c r="BU223" i="19"/>
  <c r="BV223" i="19"/>
  <c r="BB224" i="19"/>
  <c r="BC224" i="19"/>
  <c r="BD224" i="19"/>
  <c r="BE224" i="19"/>
  <c r="BF224" i="19"/>
  <c r="BG224" i="19"/>
  <c r="BH224" i="19"/>
  <c r="BJ224" i="19"/>
  <c r="BK224" i="19"/>
  <c r="BL224" i="19"/>
  <c r="BM224" i="19"/>
  <c r="BN224" i="19"/>
  <c r="BO224" i="19"/>
  <c r="BQ224" i="19"/>
  <c r="BR224" i="19"/>
  <c r="BS224" i="19"/>
  <c r="BT224" i="19"/>
  <c r="BU224" i="19"/>
  <c r="BV224" i="19"/>
  <c r="BB225" i="19"/>
  <c r="BC225" i="19"/>
  <c r="BD225" i="19"/>
  <c r="BE225" i="19"/>
  <c r="BF225" i="19"/>
  <c r="BG225" i="19"/>
  <c r="BH225" i="19"/>
  <c r="BJ225" i="19"/>
  <c r="BK225" i="19"/>
  <c r="BL225" i="19"/>
  <c r="BM225" i="19"/>
  <c r="BN225" i="19"/>
  <c r="BO225" i="19"/>
  <c r="BQ225" i="19"/>
  <c r="BR225" i="19"/>
  <c r="BS225" i="19"/>
  <c r="BT225" i="19"/>
  <c r="BU225" i="19"/>
  <c r="BV225" i="19"/>
  <c r="BB226" i="19"/>
  <c r="BC226" i="19"/>
  <c r="BD226" i="19"/>
  <c r="BE226" i="19"/>
  <c r="BF226" i="19"/>
  <c r="BG226" i="19"/>
  <c r="BH226" i="19"/>
  <c r="BJ226" i="19"/>
  <c r="BK226" i="19"/>
  <c r="BL226" i="19"/>
  <c r="BM226" i="19"/>
  <c r="BN226" i="19"/>
  <c r="BO226" i="19"/>
  <c r="BQ226" i="19"/>
  <c r="BR226" i="19"/>
  <c r="BS226" i="19"/>
  <c r="BT226" i="19"/>
  <c r="BU226" i="19"/>
  <c r="BV226" i="19"/>
  <c r="BB227" i="19"/>
  <c r="BC227" i="19"/>
  <c r="BD227" i="19"/>
  <c r="BE227" i="19"/>
  <c r="BF227" i="19"/>
  <c r="BG227" i="19"/>
  <c r="BH227" i="19"/>
  <c r="BJ227" i="19"/>
  <c r="BK227" i="19"/>
  <c r="BL227" i="19"/>
  <c r="BM227" i="19"/>
  <c r="BN227" i="19"/>
  <c r="BO227" i="19"/>
  <c r="BQ227" i="19"/>
  <c r="BR227" i="19"/>
  <c r="BS227" i="19"/>
  <c r="BT227" i="19"/>
  <c r="BU227" i="19"/>
  <c r="BV227" i="19"/>
  <c r="BA228" i="19"/>
  <c r="BB228" i="19"/>
  <c r="BC228" i="19"/>
  <c r="BD228" i="19"/>
  <c r="BE228" i="19"/>
  <c r="BF228" i="19"/>
  <c r="BG228" i="19"/>
  <c r="BH228" i="19"/>
  <c r="BJ228" i="19"/>
  <c r="BK228" i="19"/>
  <c r="BL228" i="19"/>
  <c r="BM228" i="19"/>
  <c r="BN228" i="19"/>
  <c r="BO228" i="19"/>
  <c r="BQ228" i="19"/>
  <c r="BR228" i="19"/>
  <c r="BS228" i="19"/>
  <c r="BT228" i="19"/>
  <c r="BU228" i="19"/>
  <c r="BV228" i="19"/>
  <c r="BA229" i="19"/>
  <c r="BB229" i="19"/>
  <c r="BC229" i="19"/>
  <c r="BD229" i="19"/>
  <c r="BE229" i="19"/>
  <c r="BF229" i="19"/>
  <c r="BG229" i="19"/>
  <c r="BH229" i="19"/>
  <c r="BJ229" i="19"/>
  <c r="BK229" i="19"/>
  <c r="BL229" i="19"/>
  <c r="BM229" i="19"/>
  <c r="BN229" i="19"/>
  <c r="BO229" i="19"/>
  <c r="BQ229" i="19"/>
  <c r="BR229" i="19"/>
  <c r="BS229" i="19"/>
  <c r="BT229" i="19"/>
  <c r="BU229" i="19"/>
  <c r="BV229" i="19"/>
  <c r="BA230" i="19"/>
  <c r="BB230" i="19"/>
  <c r="BB231" i="19"/>
  <c r="BC231" i="19"/>
  <c r="BD231" i="19"/>
  <c r="BE231" i="19"/>
  <c r="BF231" i="19"/>
  <c r="BG231" i="19"/>
  <c r="BH231" i="19"/>
  <c r="BJ231" i="19"/>
  <c r="BK231" i="19"/>
  <c r="BL231" i="19"/>
  <c r="BM231" i="19"/>
  <c r="BN231" i="19"/>
  <c r="BO231" i="19"/>
  <c r="BQ231" i="19"/>
  <c r="BR231" i="19"/>
  <c r="BS231" i="19"/>
  <c r="BT231" i="19"/>
  <c r="BU231" i="19"/>
  <c r="BV231" i="19"/>
  <c r="BB232" i="19"/>
  <c r="BC232" i="19"/>
  <c r="BD232" i="19"/>
  <c r="BE232" i="19"/>
  <c r="BF232" i="19"/>
  <c r="BG232" i="19"/>
  <c r="BH232" i="19"/>
  <c r="BJ232" i="19"/>
  <c r="BK232" i="19"/>
  <c r="BL232" i="19"/>
  <c r="BM232" i="19"/>
  <c r="BN232" i="19"/>
  <c r="BO232" i="19"/>
  <c r="BQ232" i="19"/>
  <c r="BR232" i="19"/>
  <c r="BS232" i="19"/>
  <c r="BT232" i="19"/>
  <c r="BU232" i="19"/>
  <c r="BV232" i="19"/>
  <c r="BA234" i="19"/>
  <c r="BB234" i="19"/>
  <c r="BC234" i="19"/>
  <c r="BD234" i="19"/>
  <c r="BE234" i="19"/>
  <c r="BF234" i="19"/>
  <c r="BG234" i="19"/>
  <c r="BH234" i="19"/>
  <c r="BJ234" i="19"/>
  <c r="BK234" i="19"/>
  <c r="BL234" i="19"/>
  <c r="BM234" i="19"/>
  <c r="BN234" i="19"/>
  <c r="BO234" i="19"/>
  <c r="BQ234" i="19"/>
  <c r="BR234" i="19"/>
  <c r="BS234" i="19"/>
  <c r="BT234" i="19"/>
  <c r="BU234" i="19"/>
  <c r="BV234" i="19"/>
  <c r="BA235" i="19"/>
  <c r="BB235" i="19"/>
  <c r="BC235" i="19"/>
  <c r="BD235" i="19"/>
  <c r="BE235" i="19"/>
  <c r="BF235" i="19"/>
  <c r="BG235" i="19"/>
  <c r="BH235" i="19"/>
  <c r="BJ235" i="19"/>
  <c r="BK235" i="19"/>
  <c r="BL235" i="19"/>
  <c r="BM235" i="19"/>
  <c r="BN235" i="19"/>
  <c r="BO235" i="19"/>
  <c r="BQ235" i="19"/>
  <c r="BR235" i="19"/>
  <c r="BS235" i="19"/>
  <c r="BT235" i="19"/>
  <c r="BU235" i="19"/>
  <c r="BV235" i="19"/>
  <c r="BA236" i="19"/>
  <c r="BB236" i="19"/>
  <c r="BA237" i="19"/>
  <c r="BX204" i="19"/>
  <c r="BV206" i="19"/>
  <c r="BW206" i="19"/>
  <c r="BQ205" i="19"/>
  <c r="BO206" i="19"/>
  <c r="BP206" i="19"/>
  <c r="BQ206" i="19"/>
  <c r="BR206" i="19"/>
  <c r="BS206" i="19"/>
  <c r="BT206" i="19"/>
  <c r="BU206" i="19"/>
  <c r="BA201" i="19"/>
  <c r="BB204" i="19"/>
  <c r="BC204" i="19"/>
  <c r="BC205" i="19"/>
  <c r="BJ205" i="19"/>
  <c r="BC206" i="19"/>
  <c r="BD206" i="19"/>
  <c r="BE206" i="19"/>
  <c r="BF206" i="19"/>
  <c r="BG206" i="19"/>
  <c r="BH206" i="19"/>
  <c r="BI206" i="19"/>
  <c r="BJ206" i="19"/>
  <c r="BK206" i="19"/>
  <c r="BL206" i="19"/>
  <c r="BM206" i="19"/>
  <c r="BN206" i="19"/>
  <c r="BA203" i="19"/>
  <c r="BA204" i="19"/>
  <c r="BA202" i="19"/>
  <c r="BA235" i="18" l="1"/>
  <c r="BB235" i="18"/>
  <c r="BC235" i="18"/>
  <c r="BD235" i="18"/>
  <c r="BE235" i="18"/>
  <c r="BF235" i="18"/>
  <c r="BG235" i="18"/>
  <c r="BH235" i="18"/>
  <c r="BJ235" i="18"/>
  <c r="BK235" i="18"/>
  <c r="BL235" i="18"/>
  <c r="BM235" i="18"/>
  <c r="BN235" i="18"/>
  <c r="BO235" i="18"/>
  <c r="BQ235" i="18"/>
  <c r="BR235" i="18"/>
  <c r="BS235" i="18"/>
  <c r="BT235" i="18"/>
  <c r="BU235" i="18"/>
  <c r="BV235" i="18"/>
  <c r="BA236" i="18"/>
  <c r="BB236" i="18"/>
  <c r="BC236" i="18"/>
  <c r="BD236" i="18"/>
  <c r="BE236" i="18"/>
  <c r="BF236" i="18"/>
  <c r="BG236" i="18"/>
  <c r="BH236" i="18"/>
  <c r="BJ236" i="18"/>
  <c r="BK236" i="18"/>
  <c r="BL236" i="18"/>
  <c r="BM236" i="18"/>
  <c r="BN236" i="18"/>
  <c r="BO236" i="18"/>
  <c r="BQ236" i="18"/>
  <c r="BR236" i="18"/>
  <c r="BS236" i="18"/>
  <c r="BT236" i="18"/>
  <c r="BU236" i="18"/>
  <c r="BV236" i="18"/>
  <c r="BA237" i="18"/>
  <c r="BB237" i="18"/>
  <c r="BA231" i="18"/>
  <c r="BB231" i="18"/>
  <c r="BC231" i="18"/>
  <c r="BD231" i="18"/>
  <c r="BE231" i="18"/>
  <c r="BF231" i="18"/>
  <c r="BG231" i="18"/>
  <c r="BH231" i="18"/>
  <c r="BJ231" i="18"/>
  <c r="BK231" i="18"/>
  <c r="BL231" i="18"/>
  <c r="BM231" i="18"/>
  <c r="BN231" i="18"/>
  <c r="BO231" i="18"/>
  <c r="BQ231" i="18"/>
  <c r="BR231" i="18"/>
  <c r="BS231" i="18"/>
  <c r="BT231" i="18"/>
  <c r="BU231" i="18"/>
  <c r="BV231" i="18"/>
  <c r="BA232" i="18"/>
  <c r="BB232" i="18"/>
  <c r="BC232" i="18"/>
  <c r="BD232" i="18"/>
  <c r="BE232" i="18"/>
  <c r="BF232" i="18"/>
  <c r="BG232" i="18"/>
  <c r="BH232" i="18"/>
  <c r="BJ232" i="18"/>
  <c r="BK232" i="18"/>
  <c r="BL232" i="18"/>
  <c r="BM232" i="18"/>
  <c r="BN232" i="18"/>
  <c r="BO232" i="18"/>
  <c r="BQ232" i="18"/>
  <c r="BR232" i="18"/>
  <c r="BS232" i="18"/>
  <c r="BT232" i="18"/>
  <c r="BU232" i="18"/>
  <c r="BV232" i="18"/>
  <c r="BA233" i="18"/>
  <c r="BB233" i="18"/>
  <c r="BC233" i="18"/>
  <c r="BD233" i="18"/>
  <c r="BE233" i="18"/>
  <c r="BF233" i="18"/>
  <c r="BG233" i="18"/>
  <c r="BH233" i="18"/>
  <c r="BJ233" i="18"/>
  <c r="BK233" i="18"/>
  <c r="BL233" i="18"/>
  <c r="BM233" i="18"/>
  <c r="BN233" i="18"/>
  <c r="BO233" i="18"/>
  <c r="BQ233" i="18"/>
  <c r="BR233" i="18"/>
  <c r="BS233" i="18"/>
  <c r="BT233" i="18"/>
  <c r="BU233" i="18"/>
  <c r="BV233" i="18"/>
  <c r="BA234" i="18"/>
  <c r="BB234" i="18"/>
  <c r="BC234" i="18"/>
  <c r="BD234" i="18"/>
  <c r="BE234" i="18"/>
  <c r="BF234" i="18"/>
  <c r="BG234" i="18"/>
  <c r="BH234" i="18"/>
  <c r="BJ234" i="18"/>
  <c r="BK234" i="18"/>
  <c r="BL234" i="18"/>
  <c r="BM234" i="18"/>
  <c r="BN234" i="18"/>
  <c r="BO234" i="18"/>
  <c r="BQ234" i="18"/>
  <c r="BR234" i="18"/>
  <c r="BS234" i="18"/>
  <c r="BT234" i="18"/>
  <c r="BU234" i="18"/>
  <c r="BV234" i="18"/>
  <c r="BA223" i="18"/>
  <c r="BB223" i="18"/>
  <c r="BC223" i="18"/>
  <c r="BD223" i="18"/>
  <c r="BE223" i="18"/>
  <c r="BF223" i="18"/>
  <c r="BG223" i="18"/>
  <c r="BH223" i="18"/>
  <c r="BJ223" i="18"/>
  <c r="BK223" i="18"/>
  <c r="BL223" i="18"/>
  <c r="BM223" i="18"/>
  <c r="BN223" i="18"/>
  <c r="BO223" i="18"/>
  <c r="BQ223" i="18"/>
  <c r="BR223" i="18"/>
  <c r="BS223" i="18"/>
  <c r="BT223" i="18"/>
  <c r="BU223" i="18"/>
  <c r="BV223" i="18"/>
  <c r="BA224" i="18"/>
  <c r="BB224" i="18"/>
  <c r="BC224" i="18"/>
  <c r="BD224" i="18"/>
  <c r="BE224" i="18"/>
  <c r="BF224" i="18"/>
  <c r="BG224" i="18"/>
  <c r="BH224" i="18"/>
  <c r="BJ224" i="18"/>
  <c r="BK224" i="18"/>
  <c r="BL224" i="18"/>
  <c r="BM224" i="18"/>
  <c r="BN224" i="18"/>
  <c r="BO224" i="18"/>
  <c r="BQ224" i="18"/>
  <c r="BR224" i="18"/>
  <c r="BS224" i="18"/>
  <c r="BT224" i="18"/>
  <c r="BU224" i="18"/>
  <c r="BV224" i="18"/>
  <c r="BA225" i="18"/>
  <c r="BB225" i="18"/>
  <c r="BC225" i="18"/>
  <c r="BD225" i="18"/>
  <c r="BE225" i="18"/>
  <c r="BF225" i="18"/>
  <c r="BG225" i="18"/>
  <c r="BH225" i="18"/>
  <c r="BJ225" i="18"/>
  <c r="BK225" i="18"/>
  <c r="BL225" i="18"/>
  <c r="BM225" i="18"/>
  <c r="BN225" i="18"/>
  <c r="BO225" i="18"/>
  <c r="BQ225" i="18"/>
  <c r="BR225" i="18"/>
  <c r="BS225" i="18"/>
  <c r="BT225" i="18"/>
  <c r="BU225" i="18"/>
  <c r="BV225" i="18"/>
  <c r="BA226" i="18"/>
  <c r="BB226" i="18"/>
  <c r="BC226" i="18"/>
  <c r="BD226" i="18"/>
  <c r="BE226" i="18"/>
  <c r="BF226" i="18"/>
  <c r="BG226" i="18"/>
  <c r="BH226" i="18"/>
  <c r="BJ226" i="18"/>
  <c r="BK226" i="18"/>
  <c r="BL226" i="18"/>
  <c r="BM226" i="18"/>
  <c r="BN226" i="18"/>
  <c r="BO226" i="18"/>
  <c r="BQ226" i="18"/>
  <c r="BR226" i="18"/>
  <c r="BS226" i="18"/>
  <c r="BT226" i="18"/>
  <c r="BU226" i="18"/>
  <c r="BV226" i="18"/>
  <c r="BA227" i="18"/>
  <c r="BB227" i="18"/>
  <c r="BC227" i="18"/>
  <c r="BD227" i="18"/>
  <c r="BE227" i="18"/>
  <c r="BF227" i="18"/>
  <c r="BG227" i="18"/>
  <c r="BH227" i="18"/>
  <c r="BJ227" i="18"/>
  <c r="BK227" i="18"/>
  <c r="BL227" i="18"/>
  <c r="BM227" i="18"/>
  <c r="BN227" i="18"/>
  <c r="BO227" i="18"/>
  <c r="BQ227" i="18"/>
  <c r="BR227" i="18"/>
  <c r="BS227" i="18"/>
  <c r="BT227" i="18"/>
  <c r="BU227" i="18"/>
  <c r="BV227" i="18"/>
  <c r="BA228" i="18"/>
  <c r="BB228" i="18"/>
  <c r="BC228" i="18"/>
  <c r="BD228" i="18"/>
  <c r="BE228" i="18"/>
  <c r="BF228" i="18"/>
  <c r="BG228" i="18"/>
  <c r="BH228" i="18"/>
  <c r="BJ228" i="18"/>
  <c r="BK228" i="18"/>
  <c r="BL228" i="18"/>
  <c r="BM228" i="18"/>
  <c r="BN228" i="18"/>
  <c r="BO228" i="18"/>
  <c r="BQ228" i="18"/>
  <c r="BR228" i="18"/>
  <c r="BS228" i="18"/>
  <c r="BT228" i="18"/>
  <c r="BU228" i="18"/>
  <c r="BV228" i="18"/>
  <c r="BA229" i="18"/>
  <c r="BB229" i="18"/>
  <c r="BC229" i="18"/>
  <c r="BD229" i="18"/>
  <c r="BE229" i="18"/>
  <c r="BF229" i="18"/>
  <c r="BG229" i="18"/>
  <c r="BH229" i="18"/>
  <c r="BJ229" i="18"/>
  <c r="BK229" i="18"/>
  <c r="BL229" i="18"/>
  <c r="BM229" i="18"/>
  <c r="BN229" i="18"/>
  <c r="BO229" i="18"/>
  <c r="BQ229" i="18"/>
  <c r="BR229" i="18"/>
  <c r="BS229" i="18"/>
  <c r="BT229" i="18"/>
  <c r="BU229" i="18"/>
  <c r="BV229" i="18"/>
  <c r="BA230" i="18"/>
  <c r="BB230" i="18"/>
  <c r="BC230" i="18"/>
  <c r="BD230" i="18"/>
  <c r="BE230" i="18"/>
  <c r="BF230" i="18"/>
  <c r="BG230" i="18"/>
  <c r="BH230" i="18"/>
  <c r="BJ230" i="18"/>
  <c r="BK230" i="18"/>
  <c r="BL230" i="18"/>
  <c r="BM230" i="18"/>
  <c r="BN230" i="18"/>
  <c r="BO230" i="18"/>
  <c r="BQ230" i="18"/>
  <c r="BR230" i="18"/>
  <c r="BS230" i="18"/>
  <c r="BT230" i="18"/>
  <c r="BU230" i="18"/>
  <c r="BV230" i="18"/>
  <c r="BB212" i="18"/>
  <c r="BC212" i="18"/>
  <c r="BD212" i="18"/>
  <c r="BE212" i="18"/>
  <c r="BF212" i="18"/>
  <c r="BG212" i="18"/>
  <c r="BH212" i="18"/>
  <c r="BJ212" i="18"/>
  <c r="BK212" i="18"/>
  <c r="BL212" i="18"/>
  <c r="BM212" i="18"/>
  <c r="BN212" i="18"/>
  <c r="BO212" i="18"/>
  <c r="BQ212" i="18"/>
  <c r="BR212" i="18"/>
  <c r="BS212" i="18"/>
  <c r="BT212" i="18"/>
  <c r="BU212" i="18"/>
  <c r="BV212" i="18"/>
  <c r="BB213" i="18"/>
  <c r="BC213" i="18"/>
  <c r="BD213" i="18"/>
  <c r="BE213" i="18"/>
  <c r="BF213" i="18"/>
  <c r="BG213" i="18"/>
  <c r="BH213" i="18"/>
  <c r="BJ213" i="18"/>
  <c r="BK213" i="18"/>
  <c r="BL213" i="18"/>
  <c r="BM213" i="18"/>
  <c r="BN213" i="18"/>
  <c r="BO213" i="18"/>
  <c r="BQ213" i="18"/>
  <c r="BR213" i="18"/>
  <c r="BS213" i="18"/>
  <c r="BT213" i="18"/>
  <c r="BU213" i="18"/>
  <c r="BV213" i="18"/>
  <c r="BA214" i="18"/>
  <c r="BB214" i="18"/>
  <c r="BC214" i="18"/>
  <c r="BD214" i="18"/>
  <c r="BE214" i="18"/>
  <c r="BF214" i="18"/>
  <c r="BG214" i="18"/>
  <c r="BH214" i="18"/>
  <c r="BJ214" i="18"/>
  <c r="BK214" i="18"/>
  <c r="BL214" i="18"/>
  <c r="BM214" i="18"/>
  <c r="BN214" i="18"/>
  <c r="BO214" i="18"/>
  <c r="BQ214" i="18"/>
  <c r="BR214" i="18"/>
  <c r="BS214" i="18"/>
  <c r="BT214" i="18"/>
  <c r="BU214" i="18"/>
  <c r="BV214" i="18"/>
  <c r="BA215" i="18"/>
  <c r="BB215" i="18"/>
  <c r="BC215" i="18"/>
  <c r="BD215" i="18"/>
  <c r="BE215" i="18"/>
  <c r="BF215" i="18"/>
  <c r="BG215" i="18"/>
  <c r="BH215" i="18"/>
  <c r="BJ215" i="18"/>
  <c r="BK215" i="18"/>
  <c r="BL215" i="18"/>
  <c r="BM215" i="18"/>
  <c r="BN215" i="18"/>
  <c r="BO215" i="18"/>
  <c r="BQ215" i="18"/>
  <c r="BR215" i="18"/>
  <c r="BS215" i="18"/>
  <c r="BT215" i="18"/>
  <c r="BU215" i="18"/>
  <c r="BV215" i="18"/>
  <c r="BA216" i="18"/>
  <c r="BB216" i="18"/>
  <c r="BC216" i="18"/>
  <c r="BD216" i="18"/>
  <c r="BE216" i="18"/>
  <c r="BF216" i="18"/>
  <c r="BG216" i="18"/>
  <c r="BH216" i="18"/>
  <c r="BJ216" i="18"/>
  <c r="BK216" i="18"/>
  <c r="BL216" i="18"/>
  <c r="BM216" i="18"/>
  <c r="BN216" i="18"/>
  <c r="BO216" i="18"/>
  <c r="BQ216" i="18"/>
  <c r="BR216" i="18"/>
  <c r="BS216" i="18"/>
  <c r="BT216" i="18"/>
  <c r="BU216" i="18"/>
  <c r="BV216" i="18"/>
  <c r="BA217" i="18"/>
  <c r="BB217" i="18"/>
  <c r="BB218" i="18"/>
  <c r="BC218" i="18"/>
  <c r="BD218" i="18"/>
  <c r="BE218" i="18"/>
  <c r="BF218" i="18"/>
  <c r="BG218" i="18"/>
  <c r="BH218" i="18"/>
  <c r="BJ218" i="18"/>
  <c r="BK218" i="18"/>
  <c r="BL218" i="18"/>
  <c r="BM218" i="18"/>
  <c r="BN218" i="18"/>
  <c r="BO218" i="18"/>
  <c r="BQ218" i="18"/>
  <c r="BR218" i="18"/>
  <c r="BS218" i="18"/>
  <c r="BT218" i="18"/>
  <c r="BU218" i="18"/>
  <c r="BV218" i="18"/>
  <c r="BB219" i="18"/>
  <c r="BC219" i="18"/>
  <c r="BD219" i="18"/>
  <c r="BE219" i="18"/>
  <c r="BF219" i="18"/>
  <c r="BG219" i="18"/>
  <c r="BH219" i="18"/>
  <c r="BJ219" i="18"/>
  <c r="BK219" i="18"/>
  <c r="BL219" i="18"/>
  <c r="BM219" i="18"/>
  <c r="BN219" i="18"/>
  <c r="BO219" i="18"/>
  <c r="BQ219" i="18"/>
  <c r="BR219" i="18"/>
  <c r="BS219" i="18"/>
  <c r="BT219" i="18"/>
  <c r="BU219" i="18"/>
  <c r="BV219" i="18"/>
  <c r="BB220" i="18"/>
  <c r="BC220" i="18"/>
  <c r="BD220" i="18"/>
  <c r="BE220" i="18"/>
  <c r="BF220" i="18"/>
  <c r="BG220" i="18"/>
  <c r="BH220" i="18"/>
  <c r="BJ220" i="18"/>
  <c r="BK220" i="18"/>
  <c r="BL220" i="18"/>
  <c r="BM220" i="18"/>
  <c r="BN220" i="18"/>
  <c r="BO220" i="18"/>
  <c r="BQ220" i="18"/>
  <c r="BR220" i="18"/>
  <c r="BS220" i="18"/>
  <c r="BT220" i="18"/>
  <c r="BU220" i="18"/>
  <c r="BV220" i="18"/>
  <c r="BB221" i="18"/>
  <c r="BC221" i="18"/>
  <c r="BD221" i="18"/>
  <c r="BE221" i="18"/>
  <c r="BF221" i="18"/>
  <c r="BG221" i="18"/>
  <c r="BH221" i="18"/>
  <c r="BJ221" i="18"/>
  <c r="BK221" i="18"/>
  <c r="BL221" i="18"/>
  <c r="BM221" i="18"/>
  <c r="BN221" i="18"/>
  <c r="BO221" i="18"/>
  <c r="BQ221" i="18"/>
  <c r="BR221" i="18"/>
  <c r="BS221" i="18"/>
  <c r="BT221" i="18"/>
  <c r="BU221" i="18"/>
  <c r="BV221" i="18"/>
  <c r="BB222" i="18"/>
  <c r="BC222" i="18"/>
  <c r="BD222" i="18"/>
  <c r="BE222" i="18"/>
  <c r="BF222" i="18"/>
  <c r="BG222" i="18"/>
  <c r="BH222" i="18"/>
  <c r="BJ222" i="18"/>
  <c r="BK222" i="18"/>
  <c r="BL222" i="18"/>
  <c r="BM222" i="18"/>
  <c r="BN222" i="18"/>
  <c r="BO222" i="18"/>
  <c r="BQ222" i="18"/>
  <c r="BR222" i="18"/>
  <c r="BS222" i="18"/>
  <c r="BT222" i="18"/>
  <c r="BU222" i="18"/>
  <c r="BV222" i="18"/>
  <c r="BX203" i="18"/>
  <c r="BU205" i="18"/>
  <c r="BV205" i="18"/>
  <c r="BW205" i="18"/>
  <c r="BU206" i="18"/>
  <c r="BV206" i="18"/>
  <c r="BW206" i="18"/>
  <c r="BX206" i="18"/>
  <c r="BU207" i="18"/>
  <c r="BV207" i="18"/>
  <c r="BU209" i="18"/>
  <c r="BV209" i="18"/>
  <c r="BU210" i="18"/>
  <c r="BV210" i="18"/>
  <c r="BU211" i="18"/>
  <c r="BV211" i="18"/>
  <c r="BA202" i="18"/>
  <c r="BA203" i="18"/>
  <c r="BB203" i="18"/>
  <c r="BC203" i="18"/>
  <c r="BC204" i="18"/>
  <c r="BJ204" i="18"/>
  <c r="BQ204" i="18"/>
  <c r="BC205" i="18"/>
  <c r="BD205" i="18"/>
  <c r="BE205" i="18"/>
  <c r="BF205" i="18"/>
  <c r="BG205" i="18"/>
  <c r="BH205" i="18"/>
  <c r="BI205" i="18"/>
  <c r="BJ205" i="18"/>
  <c r="BK205" i="18"/>
  <c r="BL205" i="18"/>
  <c r="BM205" i="18"/>
  <c r="BN205" i="18"/>
  <c r="BO205" i="18"/>
  <c r="BP205" i="18"/>
  <c r="BQ205" i="18"/>
  <c r="BR205" i="18"/>
  <c r="BS205" i="18"/>
  <c r="BT205" i="18"/>
  <c r="BA206" i="18"/>
  <c r="BB206" i="18"/>
  <c r="BC206" i="18"/>
  <c r="BD206" i="18"/>
  <c r="BE206" i="18"/>
  <c r="BF206" i="18"/>
  <c r="BG206" i="18"/>
  <c r="BH206" i="18"/>
  <c r="BI206" i="18"/>
  <c r="BJ206" i="18"/>
  <c r="BK206" i="18"/>
  <c r="BL206" i="18"/>
  <c r="BM206" i="18"/>
  <c r="BN206" i="18"/>
  <c r="BO206" i="18"/>
  <c r="BP206" i="18"/>
  <c r="BQ206" i="18"/>
  <c r="BR206" i="18"/>
  <c r="BS206" i="18"/>
  <c r="BT206" i="18"/>
  <c r="BA207" i="18"/>
  <c r="BB207" i="18"/>
  <c r="BC207" i="18"/>
  <c r="BD207" i="18"/>
  <c r="BE207" i="18"/>
  <c r="BF207" i="18"/>
  <c r="BG207" i="18"/>
  <c r="BH207" i="18"/>
  <c r="BJ207" i="18"/>
  <c r="BK207" i="18"/>
  <c r="BL207" i="18"/>
  <c r="BM207" i="18"/>
  <c r="BN207" i="18"/>
  <c r="BO207" i="18"/>
  <c r="BQ207" i="18"/>
  <c r="BR207" i="18"/>
  <c r="BS207" i="18"/>
  <c r="BT207" i="18"/>
  <c r="BA208" i="18"/>
  <c r="BB208" i="18"/>
  <c r="BB209" i="18"/>
  <c r="BC209" i="18"/>
  <c r="BD209" i="18"/>
  <c r="BE209" i="18"/>
  <c r="BF209" i="18"/>
  <c r="BG209" i="18"/>
  <c r="BH209" i="18"/>
  <c r="BJ209" i="18"/>
  <c r="BK209" i="18"/>
  <c r="BL209" i="18"/>
  <c r="BM209" i="18"/>
  <c r="BN209" i="18"/>
  <c r="BO209" i="18"/>
  <c r="BQ209" i="18"/>
  <c r="BR209" i="18"/>
  <c r="BS209" i="18"/>
  <c r="BT209" i="18"/>
  <c r="BB210" i="18"/>
  <c r="BC210" i="18"/>
  <c r="BD210" i="18"/>
  <c r="BE210" i="18"/>
  <c r="BF210" i="18"/>
  <c r="BG210" i="18"/>
  <c r="BH210" i="18"/>
  <c r="BJ210" i="18"/>
  <c r="BK210" i="18"/>
  <c r="BL210" i="18"/>
  <c r="BM210" i="18"/>
  <c r="BN210" i="18"/>
  <c r="BO210" i="18"/>
  <c r="BQ210" i="18"/>
  <c r="BR210" i="18"/>
  <c r="BS210" i="18"/>
  <c r="BT210" i="18"/>
  <c r="BB211" i="18"/>
  <c r="BC211" i="18"/>
  <c r="BD211" i="18"/>
  <c r="BE211" i="18"/>
  <c r="BF211" i="18"/>
  <c r="BG211" i="18"/>
  <c r="BH211" i="18"/>
  <c r="BJ211" i="18"/>
  <c r="BK211" i="18"/>
  <c r="BL211" i="18"/>
  <c r="BM211" i="18"/>
  <c r="BN211" i="18"/>
  <c r="BO211" i="18"/>
  <c r="BQ211" i="18"/>
  <c r="BR211" i="18"/>
  <c r="BS211" i="18"/>
  <c r="BT211" i="18"/>
  <c r="BA201" i="18"/>
  <c r="BB238" i="17" l="1"/>
  <c r="BC211" i="17"/>
  <c r="BD211" i="17"/>
  <c r="BE211" i="17"/>
  <c r="BF211" i="17"/>
  <c r="BG211" i="17"/>
  <c r="BH211" i="17"/>
  <c r="BI211" i="17"/>
  <c r="BK211" i="17"/>
  <c r="BL211" i="17"/>
  <c r="BM211" i="17"/>
  <c r="BN211" i="17"/>
  <c r="BO211" i="17"/>
  <c r="BP211" i="17"/>
  <c r="BR211" i="17"/>
  <c r="BS211" i="17"/>
  <c r="BT211" i="17"/>
  <c r="BU211" i="17"/>
  <c r="BV211" i="17"/>
  <c r="BW211" i="17"/>
  <c r="BC212" i="17"/>
  <c r="BD212" i="17"/>
  <c r="BE212" i="17"/>
  <c r="BF212" i="17"/>
  <c r="BG212" i="17"/>
  <c r="BH212" i="17"/>
  <c r="BI212" i="17"/>
  <c r="BK212" i="17"/>
  <c r="BL212" i="17"/>
  <c r="BM212" i="17"/>
  <c r="BN212" i="17"/>
  <c r="BO212" i="17"/>
  <c r="BP212" i="17"/>
  <c r="BR212" i="17"/>
  <c r="BS212" i="17"/>
  <c r="BT212" i="17"/>
  <c r="BU212" i="17"/>
  <c r="BV212" i="17"/>
  <c r="BW212" i="17"/>
  <c r="BC213" i="17"/>
  <c r="BD213" i="17"/>
  <c r="BE213" i="17"/>
  <c r="BF213" i="17"/>
  <c r="BG213" i="17"/>
  <c r="BH213" i="17"/>
  <c r="BI213" i="17"/>
  <c r="BK213" i="17"/>
  <c r="BL213" i="17"/>
  <c r="BM213" i="17"/>
  <c r="BN213" i="17"/>
  <c r="BO213" i="17"/>
  <c r="BP213" i="17"/>
  <c r="BR213" i="17"/>
  <c r="BS213" i="17"/>
  <c r="BT213" i="17"/>
  <c r="BU213" i="17"/>
  <c r="BV213" i="17"/>
  <c r="BW213" i="17"/>
  <c r="BB214" i="17"/>
  <c r="BD214" i="17"/>
  <c r="BE214" i="17"/>
  <c r="BF214" i="17"/>
  <c r="BG214" i="17"/>
  <c r="BH214" i="17"/>
  <c r="BI214" i="17"/>
  <c r="BK214" i="17"/>
  <c r="BL214" i="17"/>
  <c r="BM214" i="17"/>
  <c r="BN214" i="17"/>
  <c r="BO214" i="17"/>
  <c r="BP214" i="17"/>
  <c r="BR214" i="17"/>
  <c r="BS214" i="17"/>
  <c r="BT214" i="17"/>
  <c r="BU214" i="17"/>
  <c r="BV214" i="17"/>
  <c r="BW214" i="17"/>
  <c r="BB215" i="17"/>
  <c r="BD215" i="17"/>
  <c r="BE215" i="17"/>
  <c r="BF215" i="17"/>
  <c r="BG215" i="17"/>
  <c r="BH215" i="17"/>
  <c r="BI215" i="17"/>
  <c r="BK215" i="17"/>
  <c r="BL215" i="17"/>
  <c r="BM215" i="17"/>
  <c r="BN215" i="17"/>
  <c r="BO215" i="17"/>
  <c r="BP215" i="17"/>
  <c r="BR215" i="17"/>
  <c r="BS215" i="17"/>
  <c r="BT215" i="17"/>
  <c r="BU215" i="17"/>
  <c r="BV215" i="17"/>
  <c r="BW215" i="17"/>
  <c r="BA216" i="17"/>
  <c r="BB216" i="17"/>
  <c r="BD216" i="17"/>
  <c r="BE216" i="17"/>
  <c r="BF216" i="17"/>
  <c r="BG216" i="17"/>
  <c r="BH216" i="17"/>
  <c r="BI216" i="17"/>
  <c r="BK216" i="17"/>
  <c r="BL216" i="17"/>
  <c r="BM216" i="17"/>
  <c r="BN216" i="17"/>
  <c r="BO216" i="17"/>
  <c r="BP216" i="17"/>
  <c r="BR216" i="17"/>
  <c r="BS216" i="17"/>
  <c r="BT216" i="17"/>
  <c r="BU216" i="17"/>
  <c r="BV216" i="17"/>
  <c r="BW216" i="17"/>
  <c r="BB217" i="17"/>
  <c r="BD217" i="17"/>
  <c r="BE217" i="17"/>
  <c r="BF217" i="17"/>
  <c r="BG217" i="17"/>
  <c r="BH217" i="17"/>
  <c r="BI217" i="17"/>
  <c r="BK217" i="17"/>
  <c r="BL217" i="17"/>
  <c r="BM217" i="17"/>
  <c r="BN217" i="17"/>
  <c r="BO217" i="17"/>
  <c r="BP217" i="17"/>
  <c r="BR217" i="17"/>
  <c r="BS217" i="17"/>
  <c r="BT217" i="17"/>
  <c r="BU217" i="17"/>
  <c r="BV217" i="17"/>
  <c r="BW217" i="17"/>
  <c r="BB218" i="17"/>
  <c r="BB219" i="17"/>
  <c r="BB220" i="17"/>
  <c r="BD220" i="17"/>
  <c r="BE220" i="17"/>
  <c r="BF220" i="17"/>
  <c r="BG220" i="17"/>
  <c r="BH220" i="17"/>
  <c r="BI220" i="17"/>
  <c r="BK220" i="17"/>
  <c r="BL220" i="17"/>
  <c r="BM220" i="17"/>
  <c r="BN220" i="17"/>
  <c r="BO220" i="17"/>
  <c r="BP220" i="17"/>
  <c r="BR220" i="17"/>
  <c r="BS220" i="17"/>
  <c r="BT220" i="17"/>
  <c r="BU220" i="17"/>
  <c r="BV220" i="17"/>
  <c r="BW220" i="17"/>
  <c r="BB221" i="17"/>
  <c r="BD221" i="17"/>
  <c r="BE221" i="17"/>
  <c r="BF221" i="17"/>
  <c r="BG221" i="17"/>
  <c r="BH221" i="17"/>
  <c r="BI221" i="17"/>
  <c r="BK221" i="17"/>
  <c r="BL221" i="17"/>
  <c r="BM221" i="17"/>
  <c r="BN221" i="17"/>
  <c r="BO221" i="17"/>
  <c r="BP221" i="17"/>
  <c r="BR221" i="17"/>
  <c r="BS221" i="17"/>
  <c r="BT221" i="17"/>
  <c r="BU221" i="17"/>
  <c r="BV221" i="17"/>
  <c r="BW221" i="17"/>
  <c r="BB222" i="17"/>
  <c r="BD222" i="17"/>
  <c r="BE222" i="17"/>
  <c r="BF222" i="17"/>
  <c r="BG222" i="17"/>
  <c r="BH222" i="17"/>
  <c r="BI222" i="17"/>
  <c r="BK222" i="17"/>
  <c r="BL222" i="17"/>
  <c r="BM222" i="17"/>
  <c r="BN222" i="17"/>
  <c r="BO222" i="17"/>
  <c r="BP222" i="17"/>
  <c r="BR222" i="17"/>
  <c r="BS222" i="17"/>
  <c r="BT222" i="17"/>
  <c r="BU222" i="17"/>
  <c r="BV222" i="17"/>
  <c r="BW222" i="17"/>
  <c r="BB224" i="17"/>
  <c r="BB225" i="17"/>
  <c r="BB226" i="17"/>
  <c r="BD226" i="17"/>
  <c r="BE226" i="17"/>
  <c r="BF226" i="17"/>
  <c r="BG226" i="17"/>
  <c r="BH226" i="17"/>
  <c r="BI226" i="17"/>
  <c r="BK226" i="17"/>
  <c r="BL226" i="17"/>
  <c r="BM226" i="17"/>
  <c r="BN226" i="17"/>
  <c r="BO226" i="17"/>
  <c r="BP226" i="17"/>
  <c r="BR226" i="17"/>
  <c r="BS226" i="17"/>
  <c r="BT226" i="17"/>
  <c r="BU226" i="17"/>
  <c r="BV226" i="17"/>
  <c r="BW226" i="17"/>
  <c r="BB227" i="17"/>
  <c r="BD227" i="17"/>
  <c r="BE227" i="17"/>
  <c r="BF227" i="17"/>
  <c r="BG227" i="17"/>
  <c r="BH227" i="17"/>
  <c r="BI227" i="17"/>
  <c r="BK227" i="17"/>
  <c r="BL227" i="17"/>
  <c r="BM227" i="17"/>
  <c r="BN227" i="17"/>
  <c r="BO227" i="17"/>
  <c r="BP227" i="17"/>
  <c r="BR227" i="17"/>
  <c r="BS227" i="17"/>
  <c r="BT227" i="17"/>
  <c r="BU227" i="17"/>
  <c r="BV227" i="17"/>
  <c r="BW227" i="17"/>
  <c r="BB228" i="17"/>
  <c r="BD228" i="17"/>
  <c r="BE228" i="17"/>
  <c r="BF228" i="17"/>
  <c r="BG228" i="17"/>
  <c r="BH228" i="17"/>
  <c r="BI228" i="17"/>
  <c r="BK228" i="17"/>
  <c r="BL228" i="17"/>
  <c r="BM228" i="17"/>
  <c r="BN228" i="17"/>
  <c r="BO228" i="17"/>
  <c r="BP228" i="17"/>
  <c r="BR228" i="17"/>
  <c r="BS228" i="17"/>
  <c r="BT228" i="17"/>
  <c r="BU228" i="17"/>
  <c r="BV228" i="17"/>
  <c r="BW228" i="17"/>
  <c r="BA229" i="17"/>
  <c r="BB229" i="17"/>
  <c r="BD229" i="17"/>
  <c r="BE229" i="17"/>
  <c r="BF229" i="17"/>
  <c r="BG229" i="17"/>
  <c r="BH229" i="17"/>
  <c r="BI229" i="17"/>
  <c r="BK229" i="17"/>
  <c r="BL229" i="17"/>
  <c r="BM229" i="17"/>
  <c r="BN229" i="17"/>
  <c r="BO229" i="17"/>
  <c r="BP229" i="17"/>
  <c r="BR229" i="17"/>
  <c r="BS229" i="17"/>
  <c r="BT229" i="17"/>
  <c r="BU229" i="17"/>
  <c r="BV229" i="17"/>
  <c r="BW229" i="17"/>
  <c r="BA230" i="17"/>
  <c r="BB230" i="17"/>
  <c r="BD230" i="17"/>
  <c r="BE230" i="17"/>
  <c r="BF230" i="17"/>
  <c r="BG230" i="17"/>
  <c r="BH230" i="17"/>
  <c r="BI230" i="17"/>
  <c r="BK230" i="17"/>
  <c r="BL230" i="17"/>
  <c r="BM230" i="17"/>
  <c r="BN230" i="17"/>
  <c r="BO230" i="17"/>
  <c r="BP230" i="17"/>
  <c r="BR230" i="17"/>
  <c r="BS230" i="17"/>
  <c r="BT230" i="17"/>
  <c r="BU230" i="17"/>
  <c r="BV230" i="17"/>
  <c r="BW230" i="17"/>
  <c r="BA231" i="17"/>
  <c r="BB231" i="17"/>
  <c r="BD231" i="17"/>
  <c r="BE231" i="17"/>
  <c r="BF231" i="17"/>
  <c r="BG231" i="17"/>
  <c r="BH231" i="17"/>
  <c r="BI231" i="17"/>
  <c r="BK231" i="17"/>
  <c r="BL231" i="17"/>
  <c r="BM231" i="17"/>
  <c r="BN231" i="17"/>
  <c r="BO231" i="17"/>
  <c r="BP231" i="17"/>
  <c r="BR231" i="17"/>
  <c r="BS231" i="17"/>
  <c r="BT231" i="17"/>
  <c r="BU231" i="17"/>
  <c r="BV231" i="17"/>
  <c r="BW231" i="17"/>
  <c r="BA232" i="17"/>
  <c r="BB232" i="17"/>
  <c r="BA203" i="17"/>
  <c r="BA204" i="17"/>
  <c r="BB204" i="17"/>
  <c r="BD204" i="17"/>
  <c r="BY204" i="17"/>
  <c r="BD205" i="17"/>
  <c r="BK205" i="17"/>
  <c r="BR205" i="17"/>
  <c r="BD206" i="17"/>
  <c r="BE206" i="17"/>
  <c r="BF206" i="17"/>
  <c r="BG206" i="17"/>
  <c r="BH206" i="17"/>
  <c r="BI206" i="17"/>
  <c r="BJ206" i="17"/>
  <c r="BK206" i="17"/>
  <c r="BL206" i="17"/>
  <c r="BM206" i="17"/>
  <c r="BN206" i="17"/>
  <c r="BO206" i="17"/>
  <c r="BP206" i="17"/>
  <c r="BQ206" i="17"/>
  <c r="BR206" i="17"/>
  <c r="BS206" i="17"/>
  <c r="BT206" i="17"/>
  <c r="BU206" i="17"/>
  <c r="BV206" i="17"/>
  <c r="BW206" i="17"/>
  <c r="BX206" i="17"/>
  <c r="BA207" i="17"/>
  <c r="BB207" i="17"/>
  <c r="BD207" i="17"/>
  <c r="BE207" i="17"/>
  <c r="BF207" i="17"/>
  <c r="BG207" i="17"/>
  <c r="BH207" i="17"/>
  <c r="BI207" i="17"/>
  <c r="BJ207" i="17"/>
  <c r="BK207" i="17"/>
  <c r="BL207" i="17"/>
  <c r="BM207" i="17"/>
  <c r="BN207" i="17"/>
  <c r="BO207" i="17"/>
  <c r="BP207" i="17"/>
  <c r="BQ207" i="17"/>
  <c r="BR207" i="17"/>
  <c r="BS207" i="17"/>
  <c r="BT207" i="17"/>
  <c r="BU207" i="17"/>
  <c r="BV207" i="17"/>
  <c r="BW207" i="17"/>
  <c r="BX207" i="17"/>
  <c r="BY207" i="17"/>
  <c r="BA208" i="17"/>
  <c r="BB208" i="17"/>
  <c r="BD208" i="17"/>
  <c r="BE208" i="17"/>
  <c r="BF208" i="17"/>
  <c r="BG208" i="17"/>
  <c r="BH208" i="17"/>
  <c r="BI208" i="17"/>
  <c r="BK208" i="17"/>
  <c r="BL208" i="17"/>
  <c r="BM208" i="17"/>
  <c r="BN208" i="17"/>
  <c r="BO208" i="17"/>
  <c r="BP208" i="17"/>
  <c r="BR208" i="17"/>
  <c r="BS208" i="17"/>
  <c r="BT208" i="17"/>
  <c r="BU208" i="17"/>
  <c r="BV208" i="17"/>
  <c r="BW208" i="17"/>
  <c r="BA209" i="17"/>
  <c r="BB209" i="17"/>
  <c r="BR209" i="17"/>
  <c r="BS209" i="17"/>
  <c r="BT209" i="17"/>
  <c r="BU209" i="17"/>
  <c r="BV209" i="17"/>
  <c r="BW209" i="17"/>
  <c r="BB210" i="17"/>
  <c r="BC210" i="17"/>
  <c r="BR210" i="17"/>
  <c r="BS210" i="17"/>
  <c r="BT210" i="17"/>
  <c r="BU210" i="17"/>
  <c r="BV210" i="17"/>
  <c r="BW210" i="17"/>
  <c r="BA202" i="17"/>
  <c r="BA207" i="16" l="1"/>
  <c r="BB207" i="16"/>
  <c r="BC207" i="16"/>
  <c r="BD207" i="16"/>
  <c r="BE207" i="16"/>
  <c r="BF207" i="16"/>
  <c r="BG207" i="16"/>
  <c r="BH207" i="16"/>
  <c r="BI207" i="16"/>
  <c r="BJ207" i="16"/>
  <c r="BK207" i="16"/>
  <c r="BL207" i="16"/>
  <c r="BM207" i="16"/>
  <c r="BN207" i="16"/>
  <c r="BO207" i="16"/>
  <c r="BP207" i="16"/>
  <c r="BQ207" i="16"/>
  <c r="BR207" i="16"/>
  <c r="BA208" i="16"/>
  <c r="BB208" i="16"/>
  <c r="BC208" i="16"/>
  <c r="BD208" i="16"/>
  <c r="BE208" i="16"/>
  <c r="BF208" i="16"/>
  <c r="BH208" i="16"/>
  <c r="BI208" i="16"/>
  <c r="BJ208" i="16"/>
  <c r="BK208" i="16"/>
  <c r="BM208" i="16"/>
  <c r="BN208" i="16"/>
  <c r="BO208" i="16"/>
  <c r="BP208" i="16"/>
  <c r="BA209" i="16"/>
  <c r="BB209" i="16"/>
  <c r="BC209" i="16"/>
  <c r="BD209" i="16"/>
  <c r="BE209" i="16"/>
  <c r="BF209" i="16"/>
  <c r="BH209" i="16"/>
  <c r="BI209" i="16"/>
  <c r="BJ209" i="16"/>
  <c r="BK209" i="16"/>
  <c r="BM209" i="16"/>
  <c r="BN209" i="16"/>
  <c r="BO209" i="16"/>
  <c r="BP209" i="16"/>
  <c r="BA210" i="16"/>
  <c r="BB210" i="16"/>
  <c r="BC210" i="16"/>
  <c r="BD210" i="16"/>
  <c r="BE210" i="16"/>
  <c r="BF210" i="16"/>
  <c r="BH210" i="16"/>
  <c r="BI210" i="16"/>
  <c r="BJ210" i="16"/>
  <c r="BK210" i="16"/>
  <c r="BM210" i="16"/>
  <c r="BN210" i="16"/>
  <c r="BO210" i="16"/>
  <c r="BP210" i="16"/>
  <c r="BA211" i="16"/>
  <c r="BB211" i="16"/>
  <c r="BC211" i="16"/>
  <c r="BD211" i="16"/>
  <c r="BE211" i="16"/>
  <c r="BF211" i="16"/>
  <c r="BH211" i="16"/>
  <c r="BI211" i="16"/>
  <c r="BJ211" i="16"/>
  <c r="BK211" i="16"/>
  <c r="BM211" i="16"/>
  <c r="BN211" i="16"/>
  <c r="BO211" i="16"/>
  <c r="BP211" i="16"/>
  <c r="BA212" i="16"/>
  <c r="BB212" i="16"/>
  <c r="BC212" i="16"/>
  <c r="BD212" i="16"/>
  <c r="BE212" i="16"/>
  <c r="BF212" i="16"/>
  <c r="BH212" i="16"/>
  <c r="BI212" i="16"/>
  <c r="BJ212" i="16"/>
  <c r="BK212" i="16"/>
  <c r="BM212" i="16"/>
  <c r="BN212" i="16"/>
  <c r="BO212" i="16"/>
  <c r="BP212" i="16"/>
  <c r="BA214" i="16"/>
  <c r="BB214" i="16"/>
  <c r="BR204" i="16"/>
  <c r="BQ206" i="16"/>
  <c r="BO206" i="16"/>
  <c r="BP206" i="16"/>
  <c r="BA203" i="16"/>
  <c r="BA201" i="16"/>
  <c r="BA204" i="16"/>
  <c r="BB204" i="16"/>
  <c r="BC204" i="16"/>
  <c r="BC205" i="16"/>
  <c r="BH205" i="16"/>
  <c r="BM205" i="16"/>
  <c r="BC206" i="16"/>
  <c r="BD206" i="16"/>
  <c r="BE206" i="16"/>
  <c r="BF206" i="16"/>
  <c r="BG206" i="16"/>
  <c r="BH206" i="16"/>
  <c r="BI206" i="16"/>
  <c r="BJ206" i="16"/>
  <c r="BK206" i="16"/>
  <c r="BL206" i="16"/>
  <c r="BM206" i="16"/>
  <c r="BN206" i="16"/>
  <c r="BA202" i="16"/>
  <c r="BA214" i="15"/>
  <c r="BB214" i="15"/>
  <c r="BC214" i="15"/>
  <c r="BE214" i="15"/>
  <c r="BF214" i="15"/>
  <c r="BG214" i="15"/>
  <c r="BI214" i="15"/>
  <c r="BJ214" i="15"/>
  <c r="BK214" i="15"/>
  <c r="BM214" i="15"/>
  <c r="BN214" i="15"/>
  <c r="BA215" i="15"/>
  <c r="BB215" i="15"/>
  <c r="BA216" i="15"/>
  <c r="BA217" i="15"/>
  <c r="BA203" i="15"/>
  <c r="BA201" i="15"/>
  <c r="BA204" i="15"/>
  <c r="BB204" i="15"/>
  <c r="BC204" i="15"/>
  <c r="BG204" i="15"/>
  <c r="BK204" i="15"/>
  <c r="BO204" i="15"/>
  <c r="BC205" i="15"/>
  <c r="BE205" i="15"/>
  <c r="BF205" i="15"/>
  <c r="BG205" i="15"/>
  <c r="BI205" i="15"/>
  <c r="BJ205" i="15"/>
  <c r="BK205" i="15"/>
  <c r="BM205" i="15"/>
  <c r="BN205" i="15"/>
  <c r="BO205" i="15"/>
  <c r="BP205" i="15"/>
  <c r="BQ205" i="15"/>
  <c r="BA206" i="15"/>
  <c r="BB206" i="15"/>
  <c r="BC206" i="15"/>
  <c r="BE206" i="15"/>
  <c r="BF206" i="15"/>
  <c r="BG206" i="15"/>
  <c r="BI206" i="15"/>
  <c r="BJ206" i="15"/>
  <c r="BK206" i="15"/>
  <c r="BM206" i="15"/>
  <c r="BN206" i="15"/>
  <c r="BO206" i="15"/>
  <c r="BP206" i="15"/>
  <c r="BQ206" i="15"/>
  <c r="BA207" i="15"/>
  <c r="BB207" i="15"/>
  <c r="BC207" i="15"/>
  <c r="BE207" i="15"/>
  <c r="BF207" i="15"/>
  <c r="BG207" i="15"/>
  <c r="BI207" i="15"/>
  <c r="BJ207" i="15"/>
  <c r="BK207" i="15"/>
  <c r="BM207" i="15"/>
  <c r="BN207" i="15"/>
  <c r="BA208" i="15"/>
  <c r="BB208" i="15"/>
  <c r="BC208" i="15"/>
  <c r="BE208" i="15"/>
  <c r="BF208" i="15"/>
  <c r="BG208" i="15"/>
  <c r="BI208" i="15"/>
  <c r="BJ208" i="15"/>
  <c r="BK208" i="15"/>
  <c r="BM208" i="15"/>
  <c r="BN208" i="15"/>
  <c r="BA209" i="15"/>
  <c r="BB209" i="15"/>
  <c r="BC209" i="15"/>
  <c r="BE209" i="15"/>
  <c r="BF209" i="15"/>
  <c r="BG209" i="15"/>
  <c r="BI209" i="15"/>
  <c r="BJ209" i="15"/>
  <c r="BK209" i="15"/>
  <c r="BM209" i="15"/>
  <c r="BN209" i="15"/>
  <c r="BA210" i="15"/>
  <c r="BB210" i="15"/>
  <c r="BC210" i="15"/>
  <c r="BE210" i="15"/>
  <c r="BF210" i="15"/>
  <c r="BG210" i="15"/>
  <c r="BI210" i="15"/>
  <c r="BJ210" i="15"/>
  <c r="BK210" i="15"/>
  <c r="BM210" i="15"/>
  <c r="BN210" i="15"/>
  <c r="BA211" i="15"/>
  <c r="BB211" i="15"/>
  <c r="BC211" i="15"/>
  <c r="BE211" i="15"/>
  <c r="BF211" i="15"/>
  <c r="BG211" i="15"/>
  <c r="BI211" i="15"/>
  <c r="BJ211" i="15"/>
  <c r="BK211" i="15"/>
  <c r="BM211" i="15"/>
  <c r="BN211" i="15"/>
  <c r="BA212" i="15"/>
  <c r="BB212" i="15"/>
  <c r="BC212" i="15"/>
  <c r="BE212" i="15"/>
  <c r="BF212" i="15"/>
  <c r="BG212" i="15"/>
  <c r="BI212" i="15"/>
  <c r="BJ212" i="15"/>
  <c r="BK212" i="15"/>
  <c r="BM212" i="15"/>
  <c r="BN212" i="15"/>
  <c r="BA213" i="15"/>
  <c r="BB213" i="15"/>
  <c r="BC213" i="15"/>
  <c r="BE213" i="15"/>
  <c r="BF213" i="15"/>
  <c r="BG213" i="15"/>
  <c r="BI213" i="15"/>
  <c r="BJ213" i="15"/>
  <c r="BK213" i="15"/>
  <c r="BM213" i="15"/>
  <c r="BN213" i="15"/>
  <c r="BA202" i="15"/>
  <c r="BA221" i="14"/>
  <c r="BA213" i="14"/>
  <c r="BB213" i="14"/>
  <c r="BC213" i="14"/>
  <c r="BE213" i="14"/>
  <c r="BF213" i="14"/>
  <c r="BG213" i="14"/>
  <c r="BI213" i="14"/>
  <c r="BJ213" i="14"/>
  <c r="BK213" i="14"/>
  <c r="BM213" i="14"/>
  <c r="BN213" i="14"/>
  <c r="BA214" i="14"/>
  <c r="BB214" i="14"/>
  <c r="BC214" i="14"/>
  <c r="BE214" i="14"/>
  <c r="BF214" i="14"/>
  <c r="BG214" i="14"/>
  <c r="BI214" i="14"/>
  <c r="BJ214" i="14"/>
  <c r="BK214" i="14"/>
  <c r="BM214" i="14"/>
  <c r="BN214" i="14"/>
  <c r="BA215" i="14"/>
  <c r="BB215" i="14"/>
  <c r="BC215" i="14"/>
  <c r="BE215" i="14"/>
  <c r="BF215" i="14"/>
  <c r="BG215" i="14"/>
  <c r="BI215" i="14"/>
  <c r="BJ215" i="14"/>
  <c r="BK215" i="14"/>
  <c r="BM215" i="14"/>
  <c r="BN215" i="14"/>
  <c r="BA216" i="14"/>
  <c r="BB216" i="14"/>
  <c r="BC216" i="14"/>
  <c r="BE216" i="14"/>
  <c r="BF216" i="14"/>
  <c r="BG216" i="14"/>
  <c r="BI216" i="14"/>
  <c r="BJ216" i="14"/>
  <c r="BK216" i="14"/>
  <c r="BM216" i="14"/>
  <c r="BN216" i="14"/>
  <c r="BA217" i="14"/>
  <c r="BB217" i="14"/>
  <c r="BC217" i="14"/>
  <c r="BE217" i="14"/>
  <c r="BF217" i="14"/>
  <c r="BG217" i="14"/>
  <c r="BI217" i="14"/>
  <c r="BJ217" i="14"/>
  <c r="BK217" i="14"/>
  <c r="BM217" i="14"/>
  <c r="BN217" i="14"/>
  <c r="BA218" i="14"/>
  <c r="BB218" i="14"/>
  <c r="BC218" i="14"/>
  <c r="BE218" i="14"/>
  <c r="BF218" i="14"/>
  <c r="BG218" i="14"/>
  <c r="BI218" i="14"/>
  <c r="BJ218" i="14"/>
  <c r="BK218" i="14"/>
  <c r="BM218" i="14"/>
  <c r="BN218" i="14"/>
  <c r="BA219" i="14"/>
  <c r="BB219" i="14"/>
  <c r="BA220" i="14"/>
  <c r="BA203" i="14"/>
  <c r="BA201" i="14"/>
  <c r="BA204" i="14"/>
  <c r="BB204" i="14"/>
  <c r="BC204" i="14"/>
  <c r="BG204" i="14"/>
  <c r="BK204" i="14"/>
  <c r="BO204" i="14"/>
  <c r="BC205" i="14"/>
  <c r="BE205" i="14"/>
  <c r="BF205" i="14"/>
  <c r="BG205" i="14"/>
  <c r="BI205" i="14"/>
  <c r="BJ205" i="14"/>
  <c r="BK205" i="14"/>
  <c r="BM205" i="14"/>
  <c r="BN205" i="14"/>
  <c r="BO205" i="14"/>
  <c r="BP205" i="14"/>
  <c r="BQ205" i="14"/>
  <c r="BA206" i="14"/>
  <c r="BB206" i="14"/>
  <c r="BC206" i="14"/>
  <c r="BE206" i="14"/>
  <c r="BF206" i="14"/>
  <c r="BG206" i="14"/>
  <c r="BI206" i="14"/>
  <c r="BJ206" i="14"/>
  <c r="BK206" i="14"/>
  <c r="BM206" i="14"/>
  <c r="BN206" i="14"/>
  <c r="BO206" i="14"/>
  <c r="BP206" i="14"/>
  <c r="BQ206" i="14"/>
  <c r="BA207" i="14"/>
  <c r="BB207" i="14"/>
  <c r="BC207" i="14"/>
  <c r="BE207" i="14"/>
  <c r="BF207" i="14"/>
  <c r="BG207" i="14"/>
  <c r="BI207" i="14"/>
  <c r="BJ207" i="14"/>
  <c r="BK207" i="14"/>
  <c r="BM207" i="14"/>
  <c r="BN207" i="14"/>
  <c r="BA208" i="14"/>
  <c r="BB208" i="14"/>
  <c r="BC208" i="14"/>
  <c r="BE208" i="14"/>
  <c r="BF208" i="14"/>
  <c r="BG208" i="14"/>
  <c r="BI208" i="14"/>
  <c r="BJ208" i="14"/>
  <c r="BK208" i="14"/>
  <c r="BM208" i="14"/>
  <c r="BN208" i="14"/>
  <c r="BA209" i="14"/>
  <c r="BB209" i="14"/>
  <c r="BC209" i="14"/>
  <c r="BE209" i="14"/>
  <c r="BF209" i="14"/>
  <c r="BG209" i="14"/>
  <c r="BI209" i="14"/>
  <c r="BJ209" i="14"/>
  <c r="BK209" i="14"/>
  <c r="BM209" i="14"/>
  <c r="BN209" i="14"/>
  <c r="BA210" i="14"/>
  <c r="BB210" i="14"/>
  <c r="BC210" i="14"/>
  <c r="BE210" i="14"/>
  <c r="BF210" i="14"/>
  <c r="BG210" i="14"/>
  <c r="BI210" i="14"/>
  <c r="BJ210" i="14"/>
  <c r="BK210" i="14"/>
  <c r="BM210" i="14"/>
  <c r="BN210" i="14"/>
  <c r="BA211" i="14"/>
  <c r="BB211" i="14"/>
  <c r="BC211" i="14"/>
  <c r="BE211" i="14"/>
  <c r="BF211" i="14"/>
  <c r="BG211" i="14"/>
  <c r="BI211" i="14"/>
  <c r="BJ211" i="14"/>
  <c r="BK211" i="14"/>
  <c r="BM211" i="14"/>
  <c r="BN211" i="14"/>
  <c r="BA212" i="14"/>
  <c r="BB212" i="14"/>
  <c r="BC212" i="14"/>
  <c r="BE212" i="14"/>
  <c r="BF212" i="14"/>
  <c r="BG212" i="14"/>
  <c r="BI212" i="14"/>
  <c r="BJ212" i="14"/>
  <c r="BK212" i="14"/>
  <c r="BM212" i="14"/>
  <c r="BN212" i="14"/>
  <c r="BA202" i="14"/>
  <c r="BA221" i="12"/>
  <c r="BB221" i="12"/>
  <c r="BC221" i="12"/>
  <c r="BE221" i="12"/>
  <c r="BF221" i="12"/>
  <c r="BG221" i="12"/>
  <c r="BI221" i="12"/>
  <c r="BJ221" i="12"/>
  <c r="BK221" i="12"/>
  <c r="BA222" i="12"/>
  <c r="BB222" i="12"/>
  <c r="BC222" i="12"/>
  <c r="BE222" i="12"/>
  <c r="BF222" i="12"/>
  <c r="BG222" i="12"/>
  <c r="BI222" i="12"/>
  <c r="BJ222" i="12"/>
  <c r="BK222" i="12"/>
  <c r="BA223" i="12"/>
  <c r="BB223" i="12"/>
  <c r="BA224" i="12"/>
  <c r="BB224" i="12"/>
  <c r="BA225" i="12"/>
  <c r="BA226" i="12"/>
  <c r="BA211" i="12"/>
  <c r="BB211" i="12"/>
  <c r="BC211" i="12"/>
  <c r="BE211" i="12"/>
  <c r="BF211" i="12"/>
  <c r="BG211" i="12"/>
  <c r="BI211" i="12"/>
  <c r="BJ211" i="12"/>
  <c r="BK211" i="12"/>
  <c r="BA212" i="12"/>
  <c r="BB212" i="12"/>
  <c r="BC212" i="12"/>
  <c r="BE212" i="12"/>
  <c r="BF212" i="12"/>
  <c r="BG212" i="12"/>
  <c r="BI212" i="12"/>
  <c r="BJ212" i="12"/>
  <c r="BK212" i="12"/>
  <c r="BA213" i="12"/>
  <c r="BB213" i="12"/>
  <c r="BC213" i="12"/>
  <c r="BE213" i="12"/>
  <c r="BF213" i="12"/>
  <c r="BG213" i="12"/>
  <c r="BI213" i="12"/>
  <c r="BJ213" i="12"/>
  <c r="BK213" i="12"/>
  <c r="BA214" i="12"/>
  <c r="BB214" i="12"/>
  <c r="BA216" i="12"/>
  <c r="BB216" i="12"/>
  <c r="BC216" i="12"/>
  <c r="BE216" i="12"/>
  <c r="BF216" i="12"/>
  <c r="BG216" i="12"/>
  <c r="BI216" i="12"/>
  <c r="BJ216" i="12"/>
  <c r="BK216" i="12"/>
  <c r="BA217" i="12"/>
  <c r="BB217" i="12"/>
  <c r="BC217" i="12"/>
  <c r="BE217" i="12"/>
  <c r="BF217" i="12"/>
  <c r="BG217" i="12"/>
  <c r="BI217" i="12"/>
  <c r="BJ217" i="12"/>
  <c r="BK217" i="12"/>
  <c r="BA218" i="12"/>
  <c r="BB218" i="12"/>
  <c r="BC218" i="12"/>
  <c r="BE218" i="12"/>
  <c r="BF218" i="12"/>
  <c r="BG218" i="12"/>
  <c r="BI218" i="12"/>
  <c r="BJ218" i="12"/>
  <c r="BK218" i="12"/>
  <c r="BA219" i="12"/>
  <c r="BB219" i="12"/>
  <c r="BC219" i="12"/>
  <c r="BE219" i="12"/>
  <c r="BF219" i="12"/>
  <c r="BG219" i="12"/>
  <c r="BI219" i="12"/>
  <c r="BJ219" i="12"/>
  <c r="BK219" i="12"/>
  <c r="BA220" i="12"/>
  <c r="BB220" i="12"/>
  <c r="BC220" i="12"/>
  <c r="BE220" i="12"/>
  <c r="BF220" i="12"/>
  <c r="BG220" i="12"/>
  <c r="BI220" i="12"/>
  <c r="BJ220" i="12"/>
  <c r="BK220" i="12"/>
  <c r="BA203" i="12"/>
  <c r="BA201" i="12"/>
  <c r="BA204" i="12"/>
  <c r="BB204" i="12"/>
  <c r="BC204" i="12"/>
  <c r="BE204" i="12"/>
  <c r="BI204" i="12"/>
  <c r="BE205" i="12"/>
  <c r="BF205" i="12"/>
  <c r="BG205" i="12"/>
  <c r="BH205" i="12"/>
  <c r="BI205" i="12"/>
  <c r="BJ205" i="12"/>
  <c r="BK205" i="12"/>
  <c r="BL205" i="12"/>
  <c r="BA206" i="12"/>
  <c r="BB206" i="12"/>
  <c r="BC206" i="12"/>
  <c r="BE206" i="12"/>
  <c r="BF206" i="12"/>
  <c r="BG206" i="12"/>
  <c r="BH206" i="12"/>
  <c r="BI206" i="12"/>
  <c r="BJ206" i="12"/>
  <c r="BK206" i="12"/>
  <c r="BL206" i="12"/>
  <c r="BA207" i="12"/>
  <c r="BA208" i="12"/>
  <c r="BB208" i="12"/>
  <c r="BC208" i="12"/>
  <c r="BE208" i="12"/>
  <c r="BF208" i="12"/>
  <c r="BG208" i="12"/>
  <c r="BI208" i="12"/>
  <c r="BJ208" i="12"/>
  <c r="BK208" i="12"/>
  <c r="BA209" i="12"/>
  <c r="BB209" i="12"/>
  <c r="BC209" i="12"/>
  <c r="BE209" i="12"/>
  <c r="BF209" i="12"/>
  <c r="BG209" i="12"/>
  <c r="BI209" i="12"/>
  <c r="BJ209" i="12"/>
  <c r="BK209" i="12"/>
  <c r="BA210" i="12"/>
  <c r="BB210" i="12"/>
  <c r="BC210" i="12"/>
  <c r="BE210" i="12"/>
  <c r="BF210" i="12"/>
  <c r="BG210" i="12"/>
  <c r="BI210" i="12"/>
  <c r="BJ210" i="12"/>
  <c r="BK210" i="12"/>
  <c r="BA202" i="12"/>
  <c r="BA203" i="11"/>
  <c r="BA201" i="11"/>
  <c r="BA204" i="11"/>
  <c r="BB204" i="11"/>
  <c r="BC204" i="11"/>
  <c r="BE204" i="11"/>
  <c r="BI204" i="11"/>
  <c r="BE205" i="11"/>
  <c r="BF205" i="11"/>
  <c r="BG205" i="11"/>
  <c r="BH205" i="11"/>
  <c r="BI205" i="11"/>
  <c r="BJ205" i="11"/>
  <c r="BK205" i="11"/>
  <c r="BL205" i="11"/>
  <c r="BA206" i="11"/>
  <c r="BB206" i="11"/>
  <c r="BC206" i="11"/>
  <c r="BE206" i="11"/>
  <c r="BF206" i="11"/>
  <c r="BG206" i="11"/>
  <c r="BH206" i="11"/>
  <c r="BI206" i="11"/>
  <c r="BJ206" i="11"/>
  <c r="BK206" i="11"/>
  <c r="BL206" i="11"/>
  <c r="BA207" i="11"/>
  <c r="BB207" i="11"/>
  <c r="BC207" i="11"/>
  <c r="BE207" i="11"/>
  <c r="BF207" i="11"/>
  <c r="BG207" i="11"/>
  <c r="BI207" i="11"/>
  <c r="BJ207" i="11"/>
  <c r="BK207" i="11"/>
  <c r="BA208" i="11"/>
  <c r="BB208" i="11"/>
  <c r="BC208" i="11"/>
  <c r="BE208" i="11"/>
  <c r="BF208" i="11"/>
  <c r="BG208" i="11"/>
  <c r="BI208" i="11"/>
  <c r="BJ208" i="11"/>
  <c r="BK208" i="11"/>
  <c r="BA209" i="11"/>
  <c r="BB209" i="11"/>
  <c r="BC209" i="11"/>
  <c r="BE209" i="11"/>
  <c r="BF209" i="11"/>
  <c r="BG209" i="11"/>
  <c r="BI209" i="11"/>
  <c r="BJ209" i="11"/>
  <c r="BK209" i="11"/>
  <c r="BA210" i="11"/>
  <c r="BB210" i="11"/>
  <c r="BC210" i="11"/>
  <c r="BE210" i="11"/>
  <c r="BF210" i="11"/>
  <c r="BG210" i="11"/>
  <c r="BI210" i="11"/>
  <c r="BJ210" i="11"/>
  <c r="BK210" i="11"/>
  <c r="BA211" i="11"/>
  <c r="BB211" i="11"/>
  <c r="BA212" i="11"/>
  <c r="BA213" i="11"/>
  <c r="BA202" i="11"/>
  <c r="BA217" i="10" l="1"/>
  <c r="BB217" i="10"/>
  <c r="BC217" i="10"/>
  <c r="BE217" i="10"/>
  <c r="BF217" i="10"/>
  <c r="BG217" i="10"/>
  <c r="BI217" i="10"/>
  <c r="BJ217" i="10"/>
  <c r="BK217" i="10"/>
  <c r="BA218" i="10"/>
  <c r="BB218" i="10"/>
  <c r="BC218" i="10"/>
  <c r="BE218" i="10"/>
  <c r="BF218" i="10"/>
  <c r="BG218" i="10"/>
  <c r="BI218" i="10"/>
  <c r="BJ218" i="10"/>
  <c r="BK218" i="10"/>
  <c r="BA219" i="10"/>
  <c r="BB219" i="10"/>
  <c r="BC219" i="10"/>
  <c r="BE219" i="10"/>
  <c r="BF219" i="10"/>
  <c r="BG219" i="10"/>
  <c r="BI219" i="10"/>
  <c r="BJ219" i="10"/>
  <c r="BK219" i="10"/>
  <c r="BA220" i="10"/>
  <c r="BB220" i="10"/>
  <c r="BC220" i="10"/>
  <c r="BE220" i="10"/>
  <c r="BF220" i="10"/>
  <c r="BG220" i="10"/>
  <c r="BI220" i="10"/>
  <c r="BJ220" i="10"/>
  <c r="BK220" i="10"/>
  <c r="BA221" i="10"/>
  <c r="BB221" i="10"/>
  <c r="BC221" i="10"/>
  <c r="BE221" i="10"/>
  <c r="BF221" i="10"/>
  <c r="BG221" i="10"/>
  <c r="BI221" i="10"/>
  <c r="BJ221" i="10"/>
  <c r="BK221" i="10"/>
  <c r="BA222" i="10"/>
  <c r="BB222" i="10"/>
  <c r="BA223" i="10"/>
  <c r="BA224" i="10"/>
  <c r="BA225" i="10"/>
  <c r="BA207" i="10"/>
  <c r="BA208" i="10"/>
  <c r="BB208" i="10"/>
  <c r="BC208" i="10"/>
  <c r="BE208" i="10"/>
  <c r="BF208" i="10"/>
  <c r="BG208" i="10"/>
  <c r="BI208" i="10"/>
  <c r="BJ208" i="10"/>
  <c r="BK208" i="10"/>
  <c r="BA209" i="10"/>
  <c r="BB209" i="10"/>
  <c r="BC209" i="10"/>
  <c r="BE209" i="10"/>
  <c r="BF209" i="10"/>
  <c r="BG209" i="10"/>
  <c r="BI209" i="10"/>
  <c r="BJ209" i="10"/>
  <c r="BK209" i="10"/>
  <c r="BA210" i="10"/>
  <c r="BB210" i="10"/>
  <c r="BC210" i="10"/>
  <c r="BE210" i="10"/>
  <c r="BF210" i="10"/>
  <c r="BG210" i="10"/>
  <c r="BI210" i="10"/>
  <c r="BJ210" i="10"/>
  <c r="BK210" i="10"/>
  <c r="BA211" i="10"/>
  <c r="BB211" i="10"/>
  <c r="BC211" i="10"/>
  <c r="BE211" i="10"/>
  <c r="BF211" i="10"/>
  <c r="BG211" i="10"/>
  <c r="BI211" i="10"/>
  <c r="BJ211" i="10"/>
  <c r="BK211" i="10"/>
  <c r="BA212" i="10"/>
  <c r="BB212" i="10"/>
  <c r="BC212" i="10"/>
  <c r="BE212" i="10"/>
  <c r="BF212" i="10"/>
  <c r="BG212" i="10"/>
  <c r="BI212" i="10"/>
  <c r="BJ212" i="10"/>
  <c r="BK212" i="10"/>
  <c r="BA213" i="10"/>
  <c r="BB213" i="10"/>
  <c r="BA214" i="10"/>
  <c r="BA215" i="10"/>
  <c r="BA216" i="10"/>
  <c r="BA203" i="10"/>
  <c r="BA201" i="10"/>
  <c r="BA204" i="10"/>
  <c r="BB204" i="10"/>
  <c r="BC204" i="10"/>
  <c r="BE204" i="10"/>
  <c r="BI204" i="10"/>
  <c r="BE205" i="10"/>
  <c r="BF205" i="10"/>
  <c r="BG205" i="10"/>
  <c r="BH205" i="10"/>
  <c r="BI205" i="10"/>
  <c r="BJ205" i="10"/>
  <c r="BK205" i="10"/>
  <c r="BL205" i="10"/>
  <c r="BA206" i="10"/>
  <c r="BB206" i="10"/>
  <c r="BC206" i="10"/>
  <c r="BE206" i="10"/>
  <c r="BF206" i="10"/>
  <c r="BG206" i="10"/>
  <c r="BH206" i="10"/>
  <c r="BI206" i="10"/>
  <c r="BJ206" i="10"/>
  <c r="BK206" i="10"/>
  <c r="BL206" i="10"/>
  <c r="BA202" i="10"/>
  <c r="M22" i="10"/>
  <c r="M511" i="10" s="1"/>
  <c r="I22" i="10"/>
  <c r="I511" i="10" s="1"/>
  <c r="BB221" i="3"/>
  <c r="BA223" i="3"/>
  <c r="BA224" i="3"/>
  <c r="BB216" i="3"/>
  <c r="BC216" i="3"/>
  <c r="BE216" i="3"/>
  <c r="BF216" i="3"/>
  <c r="BG216" i="3"/>
  <c r="BI216" i="3"/>
  <c r="BJ216" i="3"/>
  <c r="BK216" i="3"/>
  <c r="BB217" i="3"/>
  <c r="BC217" i="3"/>
  <c r="BE217" i="3"/>
  <c r="BF217" i="3"/>
  <c r="BG217" i="3"/>
  <c r="BI217" i="3"/>
  <c r="BJ217" i="3"/>
  <c r="BK217" i="3"/>
  <c r="BB218" i="3"/>
  <c r="BC218" i="3"/>
  <c r="BE218" i="3"/>
  <c r="BF218" i="3"/>
  <c r="BG218" i="3"/>
  <c r="BI218" i="3"/>
  <c r="BJ218" i="3"/>
  <c r="BK218" i="3"/>
  <c r="BB219" i="3"/>
  <c r="BC219" i="3"/>
  <c r="BE219" i="3"/>
  <c r="BF219" i="3"/>
  <c r="BG219" i="3"/>
  <c r="BI219" i="3"/>
  <c r="BJ219" i="3"/>
  <c r="BK219" i="3"/>
  <c r="BB220" i="3"/>
  <c r="BC220" i="3"/>
  <c r="BE220" i="3"/>
  <c r="BF220" i="3"/>
  <c r="BG220" i="3"/>
  <c r="BI220" i="3"/>
  <c r="BJ220" i="3"/>
  <c r="BK220" i="3"/>
  <c r="BA204" i="3"/>
  <c r="BB204" i="3"/>
  <c r="BC204" i="3"/>
  <c r="BE204" i="3"/>
  <c r="BI204" i="3"/>
  <c r="BE205" i="3"/>
  <c r="BF205" i="3"/>
  <c r="BG205" i="3"/>
  <c r="BH205" i="3"/>
  <c r="BI205" i="3"/>
  <c r="BJ205" i="3"/>
  <c r="BK205" i="3"/>
  <c r="BL205" i="3"/>
  <c r="BA206" i="3"/>
  <c r="BB206" i="3"/>
  <c r="BC206" i="3"/>
  <c r="BE206" i="3"/>
  <c r="BF206" i="3"/>
  <c r="BG206" i="3"/>
  <c r="BH206" i="3"/>
  <c r="BI206" i="3"/>
  <c r="BJ206" i="3"/>
  <c r="BK206" i="3"/>
  <c r="BL206" i="3"/>
  <c r="BA207" i="3"/>
  <c r="BB207" i="3"/>
  <c r="BC207" i="3"/>
  <c r="BE207" i="3"/>
  <c r="BF207" i="3"/>
  <c r="BG207" i="3"/>
  <c r="BI207" i="3"/>
  <c r="BJ207" i="3"/>
  <c r="BK207" i="3"/>
  <c r="BB208" i="3"/>
  <c r="BC208" i="3"/>
  <c r="BE208" i="3"/>
  <c r="BF208" i="3"/>
  <c r="BG208" i="3"/>
  <c r="BI208" i="3"/>
  <c r="BJ208" i="3"/>
  <c r="BK208" i="3"/>
  <c r="BB209" i="3"/>
  <c r="BC209" i="3"/>
  <c r="BE209" i="3"/>
  <c r="BF209" i="3"/>
  <c r="BG209" i="3"/>
  <c r="BI209" i="3"/>
  <c r="BJ209" i="3"/>
  <c r="BK209" i="3"/>
  <c r="BB210" i="3"/>
  <c r="BC210" i="3"/>
  <c r="BE210" i="3"/>
  <c r="BF210" i="3"/>
  <c r="BG210" i="3"/>
  <c r="BI210" i="3"/>
  <c r="BJ210" i="3"/>
  <c r="BK210" i="3"/>
  <c r="BB211" i="3"/>
  <c r="BC211" i="3"/>
  <c r="BE211" i="3"/>
  <c r="BF211" i="3"/>
  <c r="BG211" i="3"/>
  <c r="BI211" i="3"/>
  <c r="BJ211" i="3"/>
  <c r="BK211" i="3"/>
  <c r="BB212" i="3"/>
  <c r="BC212" i="3"/>
  <c r="BE212" i="3"/>
  <c r="BF212" i="3"/>
  <c r="BG212" i="3"/>
  <c r="BI212" i="3"/>
  <c r="BJ212" i="3"/>
  <c r="BK212" i="3"/>
  <c r="BB213" i="3"/>
  <c r="BB214" i="3"/>
  <c r="BC214" i="3"/>
  <c r="BE214" i="3"/>
  <c r="BF214" i="3"/>
  <c r="BG214" i="3"/>
  <c r="BI214" i="3"/>
  <c r="BJ214" i="3"/>
  <c r="BK214" i="3"/>
  <c r="BB215" i="3"/>
  <c r="BC215" i="3"/>
  <c r="BE215" i="3"/>
  <c r="BF215" i="3"/>
  <c r="BG215" i="3"/>
  <c r="BI215" i="3"/>
  <c r="BJ215" i="3"/>
  <c r="BK215" i="3"/>
  <c r="BA201" i="3"/>
  <c r="BA203" i="3"/>
  <c r="BA202" i="3"/>
  <c r="E22" i="10" l="1"/>
  <c r="BD221" i="10" s="1"/>
  <c r="BL221" i="10"/>
  <c r="BH221" i="10"/>
  <c r="AK206" i="1"/>
  <c r="AK208" i="1"/>
  <c r="AK209" i="1"/>
  <c r="AK197" i="1"/>
  <c r="AL197" i="1"/>
  <c r="AN197" i="1"/>
  <c r="AO197" i="1"/>
  <c r="AP197" i="1"/>
  <c r="AR197" i="1"/>
  <c r="AS197" i="1"/>
  <c r="AT197" i="1"/>
  <c r="AK198" i="1"/>
  <c r="AL198" i="1"/>
  <c r="AK199" i="1"/>
  <c r="AL199" i="1"/>
  <c r="AN199" i="1"/>
  <c r="AO199" i="1"/>
  <c r="AP199" i="1"/>
  <c r="AR199" i="1"/>
  <c r="AS199" i="1"/>
  <c r="AT199" i="1"/>
  <c r="AK200" i="1"/>
  <c r="AL200" i="1"/>
  <c r="AN200" i="1"/>
  <c r="AO200" i="1"/>
  <c r="AP200" i="1"/>
  <c r="AR200" i="1"/>
  <c r="AS200" i="1"/>
  <c r="AT200" i="1"/>
  <c r="AK201" i="1"/>
  <c r="AL201" i="1"/>
  <c r="AN201" i="1"/>
  <c r="AO201" i="1"/>
  <c r="AP201" i="1"/>
  <c r="AR201" i="1"/>
  <c r="AS201" i="1"/>
  <c r="AT201" i="1"/>
  <c r="AK202" i="1"/>
  <c r="AL202" i="1"/>
  <c r="AN202" i="1"/>
  <c r="AO202" i="1"/>
  <c r="AP202" i="1"/>
  <c r="AR202" i="1"/>
  <c r="AS202" i="1"/>
  <c r="AT202" i="1"/>
  <c r="AK203" i="1"/>
  <c r="AL203" i="1"/>
  <c r="AN203" i="1"/>
  <c r="AO203" i="1"/>
  <c r="AP203" i="1"/>
  <c r="AR203" i="1"/>
  <c r="AS203" i="1"/>
  <c r="AT203" i="1"/>
  <c r="AK204" i="1"/>
  <c r="AL204" i="1"/>
  <c r="AK205" i="1"/>
  <c r="AL205" i="1"/>
  <c r="AK190" i="1"/>
  <c r="AL190" i="1"/>
  <c r="AM190" i="1"/>
  <c r="AK191" i="1"/>
  <c r="AL191" i="1"/>
  <c r="AM191" i="1"/>
  <c r="AK192" i="1"/>
  <c r="AL192" i="1"/>
  <c r="AM192" i="1"/>
  <c r="AK193" i="1"/>
  <c r="AL193" i="1"/>
  <c r="AM193" i="1"/>
  <c r="AM194" i="1"/>
  <c r="AN194" i="1"/>
  <c r="AO194" i="1"/>
  <c r="AP194" i="1"/>
  <c r="AR194" i="1"/>
  <c r="AS194" i="1"/>
  <c r="AT194" i="1"/>
  <c r="AM195" i="1"/>
  <c r="AN195" i="1"/>
  <c r="AO195" i="1"/>
  <c r="AP195" i="1"/>
  <c r="AR195" i="1"/>
  <c r="AS195" i="1"/>
  <c r="AT195" i="1"/>
  <c r="AK196" i="1"/>
  <c r="AL196" i="1"/>
  <c r="AM196" i="1"/>
  <c r="AN186" i="1"/>
  <c r="AR186" i="1"/>
  <c r="AN187" i="1"/>
  <c r="AO187" i="1"/>
  <c r="AP187" i="1"/>
  <c r="AQ187" i="1"/>
  <c r="AR187" i="1"/>
  <c r="AS187" i="1"/>
  <c r="AT187" i="1"/>
  <c r="AU187" i="1"/>
  <c r="AK188" i="1"/>
  <c r="AL188" i="1"/>
  <c r="AN188" i="1"/>
  <c r="AO188" i="1"/>
  <c r="AP188" i="1"/>
  <c r="AQ188" i="1"/>
  <c r="AR188" i="1"/>
  <c r="AS188" i="1"/>
  <c r="AT188" i="1"/>
  <c r="AU188" i="1"/>
  <c r="AK189" i="1"/>
  <c r="AL189" i="1"/>
  <c r="AM189" i="1"/>
  <c r="AK183" i="1"/>
  <c r="AK181" i="1"/>
  <c r="AK184" i="1"/>
  <c r="AL184" i="1"/>
  <c r="AN185" i="1"/>
  <c r="AK182" i="1"/>
  <c r="BU205" i="5"/>
  <c r="BA208" i="5"/>
  <c r="BB208" i="5"/>
  <c r="BB209" i="5"/>
  <c r="BC209" i="5"/>
  <c r="BD209" i="5"/>
  <c r="BE209" i="5"/>
  <c r="BF209" i="5"/>
  <c r="BG209" i="5"/>
  <c r="BH209" i="5"/>
  <c r="BL209" i="5"/>
  <c r="BM209" i="5"/>
  <c r="BN209" i="5"/>
  <c r="BO209" i="5"/>
  <c r="BP209" i="5"/>
  <c r="BQ209" i="5"/>
  <c r="BU209" i="5"/>
  <c r="BV209" i="5"/>
  <c r="BW209" i="5"/>
  <c r="BX209" i="5"/>
  <c r="BY209" i="5"/>
  <c r="BZ209" i="5"/>
  <c r="BB210" i="5"/>
  <c r="BC210" i="5"/>
  <c r="BD210" i="5"/>
  <c r="BE210" i="5"/>
  <c r="BF210" i="5"/>
  <c r="BG210" i="5"/>
  <c r="BH210" i="5"/>
  <c r="BL210" i="5"/>
  <c r="BM210" i="5"/>
  <c r="BN210" i="5"/>
  <c r="BO210" i="5"/>
  <c r="BP210" i="5"/>
  <c r="BQ210" i="5"/>
  <c r="BU210" i="5"/>
  <c r="BV210" i="5"/>
  <c r="BW210" i="5"/>
  <c r="BX210" i="5"/>
  <c r="BY210" i="5"/>
  <c r="BZ210" i="5"/>
  <c r="BB211" i="5"/>
  <c r="BC211" i="5"/>
  <c r="BD211" i="5"/>
  <c r="BE211" i="5"/>
  <c r="BF211" i="5"/>
  <c r="BG211" i="5"/>
  <c r="BH211" i="5"/>
  <c r="BL211" i="5"/>
  <c r="BM211" i="5"/>
  <c r="BN211" i="5"/>
  <c r="BO211" i="5"/>
  <c r="BP211" i="5"/>
  <c r="BQ211" i="5"/>
  <c r="BU211" i="5"/>
  <c r="BV211" i="5"/>
  <c r="BW211" i="5"/>
  <c r="BX211" i="5"/>
  <c r="BY211" i="5"/>
  <c r="BZ211" i="5"/>
  <c r="BA212" i="5"/>
  <c r="BB212" i="5"/>
  <c r="BB213" i="5"/>
  <c r="BC213" i="5"/>
  <c r="BD213" i="5"/>
  <c r="BE213" i="5"/>
  <c r="BF213" i="5"/>
  <c r="BG213" i="5"/>
  <c r="BH213" i="5"/>
  <c r="BL213" i="5"/>
  <c r="BM213" i="5"/>
  <c r="BN213" i="5"/>
  <c r="BO213" i="5"/>
  <c r="BP213" i="5"/>
  <c r="BQ213" i="5"/>
  <c r="BU213" i="5"/>
  <c r="BV213" i="5"/>
  <c r="BW213" i="5"/>
  <c r="BX213" i="5"/>
  <c r="BY213" i="5"/>
  <c r="BZ213" i="5"/>
  <c r="BB214" i="5"/>
  <c r="BC214" i="5"/>
  <c r="BD214" i="5"/>
  <c r="BE214" i="5"/>
  <c r="BF214" i="5"/>
  <c r="BG214" i="5"/>
  <c r="BH214" i="5"/>
  <c r="BL214" i="5"/>
  <c r="BM214" i="5"/>
  <c r="BN214" i="5"/>
  <c r="BO214" i="5"/>
  <c r="BP214" i="5"/>
  <c r="BQ214" i="5"/>
  <c r="BU214" i="5"/>
  <c r="BV214" i="5"/>
  <c r="BW214" i="5"/>
  <c r="BX214" i="5"/>
  <c r="BY214" i="5"/>
  <c r="BZ214" i="5"/>
  <c r="BA215" i="5"/>
  <c r="BB215" i="5"/>
  <c r="BC215" i="5"/>
  <c r="BD215" i="5"/>
  <c r="BE215" i="5"/>
  <c r="BF215" i="5"/>
  <c r="BG215" i="5"/>
  <c r="BH215" i="5"/>
  <c r="BL215" i="5"/>
  <c r="BM215" i="5"/>
  <c r="BN215" i="5"/>
  <c r="BO215" i="5"/>
  <c r="BP215" i="5"/>
  <c r="BQ215" i="5"/>
  <c r="BU215" i="5"/>
  <c r="BV215" i="5"/>
  <c r="BW215" i="5"/>
  <c r="BX215" i="5"/>
  <c r="BY215" i="5"/>
  <c r="BZ215" i="5"/>
  <c r="BA216" i="5"/>
  <c r="BB216" i="5"/>
  <c r="BC216" i="5"/>
  <c r="BD216" i="5"/>
  <c r="BE216" i="5"/>
  <c r="BF216" i="5"/>
  <c r="BG216" i="5"/>
  <c r="BH216" i="5"/>
  <c r="BL216" i="5"/>
  <c r="BM216" i="5"/>
  <c r="BN216" i="5"/>
  <c r="BO216" i="5"/>
  <c r="BP216" i="5"/>
  <c r="BQ216" i="5"/>
  <c r="BU216" i="5"/>
  <c r="BV216" i="5"/>
  <c r="BW216" i="5"/>
  <c r="BX216" i="5"/>
  <c r="BY216" i="5"/>
  <c r="BZ216" i="5"/>
  <c r="BA217" i="5"/>
  <c r="BB217" i="5"/>
  <c r="BB218" i="5"/>
  <c r="BC218" i="5"/>
  <c r="BD218" i="5"/>
  <c r="BE218" i="5"/>
  <c r="BF218" i="5"/>
  <c r="BG218" i="5"/>
  <c r="BH218" i="5"/>
  <c r="BL218" i="5"/>
  <c r="BM218" i="5"/>
  <c r="BN218" i="5"/>
  <c r="BO218" i="5"/>
  <c r="BP218" i="5"/>
  <c r="BQ218" i="5"/>
  <c r="BU218" i="5"/>
  <c r="BV218" i="5"/>
  <c r="BW218" i="5"/>
  <c r="BX218" i="5"/>
  <c r="BY218" i="5"/>
  <c r="BZ218" i="5"/>
  <c r="BB219" i="5"/>
  <c r="BC219" i="5"/>
  <c r="BD219" i="5"/>
  <c r="BE219" i="5"/>
  <c r="BF219" i="5"/>
  <c r="BG219" i="5"/>
  <c r="BH219" i="5"/>
  <c r="BL219" i="5"/>
  <c r="BM219" i="5"/>
  <c r="BN219" i="5"/>
  <c r="BO219" i="5"/>
  <c r="BP219" i="5"/>
  <c r="BQ219" i="5"/>
  <c r="BU219" i="5"/>
  <c r="BV219" i="5"/>
  <c r="BW219" i="5"/>
  <c r="BX219" i="5"/>
  <c r="BY219" i="5"/>
  <c r="BZ219" i="5"/>
  <c r="BB220" i="5"/>
  <c r="BB221" i="5"/>
  <c r="BC221" i="5"/>
  <c r="BD221" i="5"/>
  <c r="BE221" i="5"/>
  <c r="BF221" i="5"/>
  <c r="BG221" i="5"/>
  <c r="BH221" i="5"/>
  <c r="BL221" i="5"/>
  <c r="BM221" i="5"/>
  <c r="BN221" i="5"/>
  <c r="BO221" i="5"/>
  <c r="BP221" i="5"/>
  <c r="BQ221" i="5"/>
  <c r="BU221" i="5"/>
  <c r="BV221" i="5"/>
  <c r="BW221" i="5"/>
  <c r="BX221" i="5"/>
  <c r="BY221" i="5"/>
  <c r="BZ221" i="5"/>
  <c r="BB222" i="5"/>
  <c r="BC222" i="5"/>
  <c r="BD222" i="5"/>
  <c r="BE222" i="5"/>
  <c r="BF222" i="5"/>
  <c r="BG222" i="5"/>
  <c r="BH222" i="5"/>
  <c r="BL222" i="5"/>
  <c r="BM222" i="5"/>
  <c r="BN222" i="5"/>
  <c r="BO222" i="5"/>
  <c r="BP222" i="5"/>
  <c r="BQ222" i="5"/>
  <c r="BU222" i="5"/>
  <c r="BV222" i="5"/>
  <c r="BW222" i="5"/>
  <c r="BX222" i="5"/>
  <c r="BY222" i="5"/>
  <c r="BZ222" i="5"/>
  <c r="BB223" i="5"/>
  <c r="BC223" i="5"/>
  <c r="BD223" i="5"/>
  <c r="BE223" i="5"/>
  <c r="BF223" i="5"/>
  <c r="BG223" i="5"/>
  <c r="BH223" i="5"/>
  <c r="BL223" i="5"/>
  <c r="BM223" i="5"/>
  <c r="BN223" i="5"/>
  <c r="BO223" i="5"/>
  <c r="BP223" i="5"/>
  <c r="BQ223" i="5"/>
  <c r="BU223" i="5"/>
  <c r="BV223" i="5"/>
  <c r="BW223" i="5"/>
  <c r="BX223" i="5"/>
  <c r="BY223" i="5"/>
  <c r="BZ223" i="5"/>
  <c r="BB224" i="5"/>
  <c r="BC224" i="5"/>
  <c r="BD224" i="5"/>
  <c r="BE224" i="5"/>
  <c r="BF224" i="5"/>
  <c r="BG224" i="5"/>
  <c r="BH224" i="5"/>
  <c r="BL224" i="5"/>
  <c r="BM224" i="5"/>
  <c r="BN224" i="5"/>
  <c r="BO224" i="5"/>
  <c r="BP224" i="5"/>
  <c r="BQ224" i="5"/>
  <c r="BU224" i="5"/>
  <c r="BV224" i="5"/>
  <c r="BW224" i="5"/>
  <c r="BX224" i="5"/>
  <c r="BY224" i="5"/>
  <c r="BZ224" i="5"/>
  <c r="BB225" i="5"/>
  <c r="BC225" i="5"/>
  <c r="BD225" i="5"/>
  <c r="BE225" i="5"/>
  <c r="BF225" i="5"/>
  <c r="BG225" i="5"/>
  <c r="BH225" i="5"/>
  <c r="BL225" i="5"/>
  <c r="BM225" i="5"/>
  <c r="BN225" i="5"/>
  <c r="BO225" i="5"/>
  <c r="BP225" i="5"/>
  <c r="BQ225" i="5"/>
  <c r="BU225" i="5"/>
  <c r="BV225" i="5"/>
  <c r="BW225" i="5"/>
  <c r="BX225" i="5"/>
  <c r="BY225" i="5"/>
  <c r="BZ225" i="5"/>
  <c r="BA226" i="5"/>
  <c r="BB226" i="5"/>
  <c r="BC226" i="5"/>
  <c r="BD226" i="5"/>
  <c r="BE226" i="5"/>
  <c r="BF226" i="5"/>
  <c r="BG226" i="5"/>
  <c r="BH226" i="5"/>
  <c r="BL226" i="5"/>
  <c r="BM226" i="5"/>
  <c r="BN226" i="5"/>
  <c r="BO226" i="5"/>
  <c r="BP226" i="5"/>
  <c r="BQ226" i="5"/>
  <c r="BU226" i="5"/>
  <c r="BV226" i="5"/>
  <c r="BW226" i="5"/>
  <c r="BX226" i="5"/>
  <c r="BY226" i="5"/>
  <c r="BZ226" i="5"/>
  <c r="BA227" i="5"/>
  <c r="BB227" i="5"/>
  <c r="BC227" i="5"/>
  <c r="BD227" i="5"/>
  <c r="BE227" i="5"/>
  <c r="BF227" i="5"/>
  <c r="BG227" i="5"/>
  <c r="BH227" i="5"/>
  <c r="BL227" i="5"/>
  <c r="BM227" i="5"/>
  <c r="BN227" i="5"/>
  <c r="BO227" i="5"/>
  <c r="BP227" i="5"/>
  <c r="BQ227" i="5"/>
  <c r="BU227" i="5"/>
  <c r="BV227" i="5"/>
  <c r="BW227" i="5"/>
  <c r="BX227" i="5"/>
  <c r="BY227" i="5"/>
  <c r="BZ227" i="5"/>
  <c r="BA228" i="5"/>
  <c r="BB228" i="5"/>
  <c r="CD204" i="5"/>
  <c r="CE204" i="5"/>
  <c r="CF204" i="5"/>
  <c r="BW206" i="5"/>
  <c r="BX206" i="5"/>
  <c r="BY206" i="5"/>
  <c r="BZ206" i="5"/>
  <c r="CA206" i="5"/>
  <c r="CB206" i="5"/>
  <c r="CC206" i="5"/>
  <c r="BW207" i="5"/>
  <c r="BX207" i="5"/>
  <c r="BY207" i="5"/>
  <c r="BZ207" i="5"/>
  <c r="CA207" i="5"/>
  <c r="CD207" i="5"/>
  <c r="BT206" i="5"/>
  <c r="BU206" i="5"/>
  <c r="BV206" i="5"/>
  <c r="BU207" i="5"/>
  <c r="BV207" i="5"/>
  <c r="BO206" i="5"/>
  <c r="BP206" i="5"/>
  <c r="BQ206" i="5"/>
  <c r="BR206" i="5"/>
  <c r="BS206" i="5"/>
  <c r="BO207" i="5"/>
  <c r="BP207" i="5"/>
  <c r="BQ207" i="5"/>
  <c r="BR207" i="5"/>
  <c r="BA203" i="5"/>
  <c r="BA201" i="5"/>
  <c r="BA204" i="5"/>
  <c r="BB204" i="5"/>
  <c r="BC204" i="5"/>
  <c r="BC205" i="5"/>
  <c r="BL205" i="5"/>
  <c r="BC206" i="5"/>
  <c r="BD206" i="5"/>
  <c r="BE206" i="5"/>
  <c r="BF206" i="5"/>
  <c r="BG206" i="5"/>
  <c r="BH206" i="5"/>
  <c r="BI206" i="5"/>
  <c r="BJ206" i="5"/>
  <c r="BK206" i="5"/>
  <c r="BL206" i="5"/>
  <c r="BM206" i="5"/>
  <c r="BN206" i="5"/>
  <c r="BA207" i="5"/>
  <c r="BB207" i="5"/>
  <c r="BC207" i="5"/>
  <c r="BD207" i="5"/>
  <c r="BE207" i="5"/>
  <c r="BF207" i="5"/>
  <c r="BG207" i="5"/>
  <c r="BH207" i="5"/>
  <c r="BI207" i="5"/>
  <c r="BL207" i="5"/>
  <c r="BM207" i="5"/>
  <c r="BN207" i="5"/>
  <c r="BA202" i="5"/>
  <c r="BA203" i="6"/>
  <c r="BA201" i="6"/>
  <c r="BA204" i="6"/>
  <c r="BB204" i="6"/>
  <c r="BC204" i="6"/>
  <c r="CD204" i="6"/>
  <c r="CE204" i="6"/>
  <c r="CF204" i="6"/>
  <c r="BC205" i="6"/>
  <c r="BL205" i="6"/>
  <c r="BU205" i="6"/>
  <c r="BC206" i="6"/>
  <c r="BD206" i="6"/>
  <c r="BE206" i="6"/>
  <c r="BF206" i="6"/>
  <c r="BG206" i="6"/>
  <c r="BH206" i="6"/>
  <c r="BI206" i="6"/>
  <c r="BJ206" i="6"/>
  <c r="BK206" i="6"/>
  <c r="BL206" i="6"/>
  <c r="BM206" i="6"/>
  <c r="BN206" i="6"/>
  <c r="BO206" i="6"/>
  <c r="BP206" i="6"/>
  <c r="BQ206" i="6"/>
  <c r="BR206" i="6"/>
  <c r="BS206" i="6"/>
  <c r="BT206" i="6"/>
  <c r="BU206" i="6"/>
  <c r="BV206" i="6"/>
  <c r="BW206" i="6"/>
  <c r="BX206" i="6"/>
  <c r="BY206" i="6"/>
  <c r="BZ206" i="6"/>
  <c r="CA206" i="6"/>
  <c r="CB206" i="6"/>
  <c r="CC206" i="6"/>
  <c r="BA207" i="6"/>
  <c r="BB207" i="6"/>
  <c r="BC207" i="6"/>
  <c r="BD207" i="6"/>
  <c r="BE207" i="6"/>
  <c r="BF207" i="6"/>
  <c r="BG207" i="6"/>
  <c r="BH207" i="6"/>
  <c r="BI207" i="6"/>
  <c r="BL207" i="6"/>
  <c r="BM207" i="6"/>
  <c r="BN207" i="6"/>
  <c r="BO207" i="6"/>
  <c r="BP207" i="6"/>
  <c r="BQ207" i="6"/>
  <c r="BR207" i="6"/>
  <c r="BU207" i="6"/>
  <c r="BV207" i="6"/>
  <c r="BW207" i="6"/>
  <c r="BX207" i="6"/>
  <c r="BY207" i="6"/>
  <c r="BZ207" i="6"/>
  <c r="CA207" i="6"/>
  <c r="CD207" i="6"/>
  <c r="BA208" i="6"/>
  <c r="BB208" i="6"/>
  <c r="BC208" i="6"/>
  <c r="BD208" i="6"/>
  <c r="BE208" i="6"/>
  <c r="BF208" i="6"/>
  <c r="BG208" i="6"/>
  <c r="BH208" i="6"/>
  <c r="BL208" i="6"/>
  <c r="BM208" i="6"/>
  <c r="BN208" i="6"/>
  <c r="BO208" i="6"/>
  <c r="BP208" i="6"/>
  <c r="BQ208" i="6"/>
  <c r="BU208" i="6"/>
  <c r="BV208" i="6"/>
  <c r="BW208" i="6"/>
  <c r="BX208" i="6"/>
  <c r="BY208" i="6"/>
  <c r="BZ208" i="6"/>
  <c r="BA209" i="6"/>
  <c r="BB209" i="6"/>
  <c r="BC209" i="6"/>
  <c r="BD209" i="6"/>
  <c r="BE209" i="6"/>
  <c r="BF209" i="6"/>
  <c r="BG209" i="6"/>
  <c r="BH209" i="6"/>
  <c r="BL209" i="6"/>
  <c r="BM209" i="6"/>
  <c r="BN209" i="6"/>
  <c r="BO209" i="6"/>
  <c r="BP209" i="6"/>
  <c r="BQ209" i="6"/>
  <c r="BU209" i="6"/>
  <c r="BV209" i="6"/>
  <c r="BW209" i="6"/>
  <c r="BX209" i="6"/>
  <c r="BY209" i="6"/>
  <c r="BZ209" i="6"/>
  <c r="BA210" i="6"/>
  <c r="BB210" i="6"/>
  <c r="BB211" i="6"/>
  <c r="BC211" i="6"/>
  <c r="BD211" i="6"/>
  <c r="BE211" i="6"/>
  <c r="BF211" i="6"/>
  <c r="BG211" i="6"/>
  <c r="BH211" i="6"/>
  <c r="BL211" i="6"/>
  <c r="BM211" i="6"/>
  <c r="BN211" i="6"/>
  <c r="BO211" i="6"/>
  <c r="BP211" i="6"/>
  <c r="BQ211" i="6"/>
  <c r="BU211" i="6"/>
  <c r="BV211" i="6"/>
  <c r="BW211" i="6"/>
  <c r="BX211" i="6"/>
  <c r="BY211" i="6"/>
  <c r="BZ211" i="6"/>
  <c r="BB212" i="6"/>
  <c r="BC212" i="6"/>
  <c r="BD212" i="6"/>
  <c r="BE212" i="6"/>
  <c r="BF212" i="6"/>
  <c r="BG212" i="6"/>
  <c r="BH212" i="6"/>
  <c r="BL212" i="6"/>
  <c r="BM212" i="6"/>
  <c r="BN212" i="6"/>
  <c r="BO212" i="6"/>
  <c r="BP212" i="6"/>
  <c r="BQ212" i="6"/>
  <c r="BU212" i="6"/>
  <c r="BV212" i="6"/>
  <c r="BW212" i="6"/>
  <c r="BX212" i="6"/>
  <c r="BY212" i="6"/>
  <c r="BZ212" i="6"/>
  <c r="BB213" i="6"/>
  <c r="BC213" i="6"/>
  <c r="BD213" i="6"/>
  <c r="BE213" i="6"/>
  <c r="BF213" i="6"/>
  <c r="BG213" i="6"/>
  <c r="BH213" i="6"/>
  <c r="BL213" i="6"/>
  <c r="BM213" i="6"/>
  <c r="BN213" i="6"/>
  <c r="BO213" i="6"/>
  <c r="BP213" i="6"/>
  <c r="BQ213" i="6"/>
  <c r="BU213" i="6"/>
  <c r="BV213" i="6"/>
  <c r="BW213" i="6"/>
  <c r="BX213" i="6"/>
  <c r="BY213" i="6"/>
  <c r="BZ213" i="6"/>
  <c r="BB214" i="6"/>
  <c r="BC214" i="6"/>
  <c r="BD214" i="6"/>
  <c r="BE214" i="6"/>
  <c r="BF214" i="6"/>
  <c r="BG214" i="6"/>
  <c r="BH214" i="6"/>
  <c r="BL214" i="6"/>
  <c r="BM214" i="6"/>
  <c r="BN214" i="6"/>
  <c r="BO214" i="6"/>
  <c r="BP214" i="6"/>
  <c r="BQ214" i="6"/>
  <c r="BU214" i="6"/>
  <c r="BV214" i="6"/>
  <c r="BW214" i="6"/>
  <c r="BX214" i="6"/>
  <c r="BY214" i="6"/>
  <c r="BZ214" i="6"/>
  <c r="BB215" i="6"/>
  <c r="BC215" i="6"/>
  <c r="BD215" i="6"/>
  <c r="BE215" i="6"/>
  <c r="BF215" i="6"/>
  <c r="BG215" i="6"/>
  <c r="BH215" i="6"/>
  <c r="BL215" i="6"/>
  <c r="BM215" i="6"/>
  <c r="BN215" i="6"/>
  <c r="BO215" i="6"/>
  <c r="BP215" i="6"/>
  <c r="BQ215" i="6"/>
  <c r="BU215" i="6"/>
  <c r="BV215" i="6"/>
  <c r="BW215" i="6"/>
  <c r="BX215" i="6"/>
  <c r="BY215" i="6"/>
  <c r="BZ215" i="6"/>
  <c r="BA216" i="6"/>
  <c r="BB216" i="6"/>
  <c r="BB217" i="6"/>
  <c r="BC217" i="6"/>
  <c r="BD217" i="6"/>
  <c r="BE217" i="6"/>
  <c r="BF217" i="6"/>
  <c r="BG217" i="6"/>
  <c r="BH217" i="6"/>
  <c r="BL217" i="6"/>
  <c r="BM217" i="6"/>
  <c r="BN217" i="6"/>
  <c r="BO217" i="6"/>
  <c r="BP217" i="6"/>
  <c r="BQ217" i="6"/>
  <c r="BU217" i="6"/>
  <c r="BV217" i="6"/>
  <c r="BW217" i="6"/>
  <c r="BX217" i="6"/>
  <c r="BY217" i="6"/>
  <c r="BZ217" i="6"/>
  <c r="BB218" i="6"/>
  <c r="BC218" i="6"/>
  <c r="BD218" i="6"/>
  <c r="BE218" i="6"/>
  <c r="BF218" i="6"/>
  <c r="BG218" i="6"/>
  <c r="BH218" i="6"/>
  <c r="BL218" i="6"/>
  <c r="BM218" i="6"/>
  <c r="BN218" i="6"/>
  <c r="BO218" i="6"/>
  <c r="BP218" i="6"/>
  <c r="BQ218" i="6"/>
  <c r="BU218" i="6"/>
  <c r="BV218" i="6"/>
  <c r="BW218" i="6"/>
  <c r="BX218" i="6"/>
  <c r="BY218" i="6"/>
  <c r="BZ218" i="6"/>
  <c r="BB219" i="6"/>
  <c r="BC219" i="6"/>
  <c r="BD219" i="6"/>
  <c r="BE219" i="6"/>
  <c r="BF219" i="6"/>
  <c r="BG219" i="6"/>
  <c r="BH219" i="6"/>
  <c r="BL219" i="6"/>
  <c r="BM219" i="6"/>
  <c r="BN219" i="6"/>
  <c r="BO219" i="6"/>
  <c r="BP219" i="6"/>
  <c r="BQ219" i="6"/>
  <c r="BU219" i="6"/>
  <c r="BV219" i="6"/>
  <c r="BW219" i="6"/>
  <c r="BX219" i="6"/>
  <c r="BY219" i="6"/>
  <c r="BZ219" i="6"/>
  <c r="BA220" i="6"/>
  <c r="BB220" i="6"/>
  <c r="BC220" i="6"/>
  <c r="BD220" i="6"/>
  <c r="BE220" i="6"/>
  <c r="BF220" i="6"/>
  <c r="BG220" i="6"/>
  <c r="BH220" i="6"/>
  <c r="BL220" i="6"/>
  <c r="BM220" i="6"/>
  <c r="BN220" i="6"/>
  <c r="BO220" i="6"/>
  <c r="BP220" i="6"/>
  <c r="BQ220" i="6"/>
  <c r="BU220" i="6"/>
  <c r="BV220" i="6"/>
  <c r="BW220" i="6"/>
  <c r="BX220" i="6"/>
  <c r="BY220" i="6"/>
  <c r="BZ220" i="6"/>
  <c r="BA221" i="6"/>
  <c r="BB221" i="6"/>
  <c r="BB222" i="6"/>
  <c r="BC222" i="6"/>
  <c r="BD222" i="6"/>
  <c r="BE222" i="6"/>
  <c r="BF222" i="6"/>
  <c r="BG222" i="6"/>
  <c r="BH222" i="6"/>
  <c r="BL222" i="6"/>
  <c r="BM222" i="6"/>
  <c r="BN222" i="6"/>
  <c r="BO222" i="6"/>
  <c r="BP222" i="6"/>
  <c r="BQ222" i="6"/>
  <c r="BU222" i="6"/>
  <c r="BV222" i="6"/>
  <c r="BW222" i="6"/>
  <c r="BX222" i="6"/>
  <c r="BY222" i="6"/>
  <c r="BZ222" i="6"/>
  <c r="BB223" i="6"/>
  <c r="BC223" i="6"/>
  <c r="BD223" i="6"/>
  <c r="BE223" i="6"/>
  <c r="BF223" i="6"/>
  <c r="BG223" i="6"/>
  <c r="BH223" i="6"/>
  <c r="BL223" i="6"/>
  <c r="BM223" i="6"/>
  <c r="BN223" i="6"/>
  <c r="BO223" i="6"/>
  <c r="BP223" i="6"/>
  <c r="BQ223" i="6"/>
  <c r="BU223" i="6"/>
  <c r="BV223" i="6"/>
  <c r="BW223" i="6"/>
  <c r="BX223" i="6"/>
  <c r="BY223" i="6"/>
  <c r="BZ223" i="6"/>
  <c r="BB224" i="6"/>
  <c r="BC224" i="6"/>
  <c r="BD224" i="6"/>
  <c r="BE224" i="6"/>
  <c r="BF224" i="6"/>
  <c r="BG224" i="6"/>
  <c r="BH224" i="6"/>
  <c r="BL224" i="6"/>
  <c r="BM224" i="6"/>
  <c r="BN224" i="6"/>
  <c r="BO224" i="6"/>
  <c r="BP224" i="6"/>
  <c r="BQ224" i="6"/>
  <c r="BU224" i="6"/>
  <c r="BV224" i="6"/>
  <c r="BW224" i="6"/>
  <c r="BX224" i="6"/>
  <c r="BY224" i="6"/>
  <c r="BZ224" i="6"/>
  <c r="BB225" i="6"/>
  <c r="BC225" i="6"/>
  <c r="BD225" i="6"/>
  <c r="BE225" i="6"/>
  <c r="BF225" i="6"/>
  <c r="BG225" i="6"/>
  <c r="BH225" i="6"/>
  <c r="BL225" i="6"/>
  <c r="BM225" i="6"/>
  <c r="BN225" i="6"/>
  <c r="BO225" i="6"/>
  <c r="BP225" i="6"/>
  <c r="BQ225" i="6"/>
  <c r="BU225" i="6"/>
  <c r="BV225" i="6"/>
  <c r="BW225" i="6"/>
  <c r="BX225" i="6"/>
  <c r="BY225" i="6"/>
  <c r="BZ225" i="6"/>
  <c r="BA226" i="6"/>
  <c r="BB226" i="6"/>
  <c r="BB227" i="6"/>
  <c r="BC227" i="6"/>
  <c r="BD227" i="6"/>
  <c r="BE227" i="6"/>
  <c r="BF227" i="6"/>
  <c r="BG227" i="6"/>
  <c r="BH227" i="6"/>
  <c r="BL227" i="6"/>
  <c r="BM227" i="6"/>
  <c r="BN227" i="6"/>
  <c r="BO227" i="6"/>
  <c r="BP227" i="6"/>
  <c r="BQ227" i="6"/>
  <c r="BU227" i="6"/>
  <c r="BV227" i="6"/>
  <c r="BW227" i="6"/>
  <c r="BX227" i="6"/>
  <c r="BY227" i="6"/>
  <c r="BZ227" i="6"/>
  <c r="BB228" i="6"/>
  <c r="BC228" i="6"/>
  <c r="BD228" i="6"/>
  <c r="BE228" i="6"/>
  <c r="BF228" i="6"/>
  <c r="BG228" i="6"/>
  <c r="BH228" i="6"/>
  <c r="BL228" i="6"/>
  <c r="BM228" i="6"/>
  <c r="BN228" i="6"/>
  <c r="BO228" i="6"/>
  <c r="BP228" i="6"/>
  <c r="BQ228" i="6"/>
  <c r="BU228" i="6"/>
  <c r="BV228" i="6"/>
  <c r="BW228" i="6"/>
  <c r="BX228" i="6"/>
  <c r="BY228" i="6"/>
  <c r="BZ228" i="6"/>
  <c r="BB229" i="6"/>
  <c r="BC229" i="6"/>
  <c r="BD229" i="6"/>
  <c r="BE229" i="6"/>
  <c r="BF229" i="6"/>
  <c r="BG229" i="6"/>
  <c r="BH229" i="6"/>
  <c r="BL229" i="6"/>
  <c r="BM229" i="6"/>
  <c r="BN229" i="6"/>
  <c r="BO229" i="6"/>
  <c r="BP229" i="6"/>
  <c r="BQ229" i="6"/>
  <c r="BU229" i="6"/>
  <c r="BV229" i="6"/>
  <c r="BW229" i="6"/>
  <c r="BX229" i="6"/>
  <c r="BY229" i="6"/>
  <c r="BZ229" i="6"/>
  <c r="BB230" i="6"/>
  <c r="BC230" i="6"/>
  <c r="BD230" i="6"/>
  <c r="BE230" i="6"/>
  <c r="BF230" i="6"/>
  <c r="BG230" i="6"/>
  <c r="BH230" i="6"/>
  <c r="BL230" i="6"/>
  <c r="BM230" i="6"/>
  <c r="BN230" i="6"/>
  <c r="BO230" i="6"/>
  <c r="BP230" i="6"/>
  <c r="BQ230" i="6"/>
  <c r="BU230" i="6"/>
  <c r="BV230" i="6"/>
  <c r="BW230" i="6"/>
  <c r="BX230" i="6"/>
  <c r="BY230" i="6"/>
  <c r="BZ230" i="6"/>
  <c r="BB232" i="6"/>
  <c r="BC232" i="6"/>
  <c r="BD232" i="6"/>
  <c r="BE232" i="6"/>
  <c r="BF232" i="6"/>
  <c r="BG232" i="6"/>
  <c r="BH232" i="6"/>
  <c r="BL232" i="6"/>
  <c r="BM232" i="6"/>
  <c r="BN232" i="6"/>
  <c r="BO232" i="6"/>
  <c r="BP232" i="6"/>
  <c r="BQ232" i="6"/>
  <c r="BU232" i="6"/>
  <c r="BV232" i="6"/>
  <c r="BW232" i="6"/>
  <c r="BX232" i="6"/>
  <c r="BY232" i="6"/>
  <c r="BZ232" i="6"/>
  <c r="BA233" i="6"/>
  <c r="BB233" i="6"/>
  <c r="BC233" i="6"/>
  <c r="BD233" i="6"/>
  <c r="BE233" i="6"/>
  <c r="BF233" i="6"/>
  <c r="BG233" i="6"/>
  <c r="BH233" i="6"/>
  <c r="BL233" i="6"/>
  <c r="BM233" i="6"/>
  <c r="BN233" i="6"/>
  <c r="BO233" i="6"/>
  <c r="BP233" i="6"/>
  <c r="BQ233" i="6"/>
  <c r="BU233" i="6"/>
  <c r="BV233" i="6"/>
  <c r="BW233" i="6"/>
  <c r="BX233" i="6"/>
  <c r="BY233" i="6"/>
  <c r="BZ233" i="6"/>
  <c r="BA234" i="6"/>
  <c r="BB234" i="6"/>
  <c r="BB235" i="6"/>
  <c r="BC235" i="6"/>
  <c r="BD235" i="6"/>
  <c r="BE235" i="6"/>
  <c r="BF235" i="6"/>
  <c r="BG235" i="6"/>
  <c r="BH235" i="6"/>
  <c r="BL235" i="6"/>
  <c r="BM235" i="6"/>
  <c r="BN235" i="6"/>
  <c r="BO235" i="6"/>
  <c r="BP235" i="6"/>
  <c r="BQ235" i="6"/>
  <c r="BU235" i="6"/>
  <c r="BV235" i="6"/>
  <c r="BW235" i="6"/>
  <c r="BX235" i="6"/>
  <c r="BY235" i="6"/>
  <c r="BZ235" i="6"/>
  <c r="BB236" i="6"/>
  <c r="BC236" i="6"/>
  <c r="BD236" i="6"/>
  <c r="BE236" i="6"/>
  <c r="BF236" i="6"/>
  <c r="BG236" i="6"/>
  <c r="BH236" i="6"/>
  <c r="BL236" i="6"/>
  <c r="BM236" i="6"/>
  <c r="BN236" i="6"/>
  <c r="BO236" i="6"/>
  <c r="BP236" i="6"/>
  <c r="BQ236" i="6"/>
  <c r="BU236" i="6"/>
  <c r="BV236" i="6"/>
  <c r="BW236" i="6"/>
  <c r="BX236" i="6"/>
  <c r="BY236" i="6"/>
  <c r="BZ236" i="6"/>
  <c r="BB237" i="6"/>
  <c r="BC237" i="6"/>
  <c r="BD237" i="6"/>
  <c r="BE237" i="6"/>
  <c r="BF237" i="6"/>
  <c r="BG237" i="6"/>
  <c r="BH237" i="6"/>
  <c r="BL237" i="6"/>
  <c r="BM237" i="6"/>
  <c r="BN237" i="6"/>
  <c r="BO237" i="6"/>
  <c r="BP237" i="6"/>
  <c r="BQ237" i="6"/>
  <c r="BU237" i="6"/>
  <c r="BV237" i="6"/>
  <c r="BW237" i="6"/>
  <c r="BX237" i="6"/>
  <c r="BY237" i="6"/>
  <c r="BZ237" i="6"/>
  <c r="BB238" i="6"/>
  <c r="BC238" i="6"/>
  <c r="BD238" i="6"/>
  <c r="BE238" i="6"/>
  <c r="BF238" i="6"/>
  <c r="BG238" i="6"/>
  <c r="BH238" i="6"/>
  <c r="BL238" i="6"/>
  <c r="BM238" i="6"/>
  <c r="BN238" i="6"/>
  <c r="BO238" i="6"/>
  <c r="BP238" i="6"/>
  <c r="BQ238" i="6"/>
  <c r="BU238" i="6"/>
  <c r="BV238" i="6"/>
  <c r="BW238" i="6"/>
  <c r="BX238" i="6"/>
  <c r="BY238" i="6"/>
  <c r="BZ238" i="6"/>
  <c r="BB239" i="6"/>
  <c r="BC239" i="6"/>
  <c r="BD239" i="6"/>
  <c r="BE239" i="6"/>
  <c r="BF239" i="6"/>
  <c r="BG239" i="6"/>
  <c r="BH239" i="6"/>
  <c r="BL239" i="6"/>
  <c r="BM239" i="6"/>
  <c r="BN239" i="6"/>
  <c r="BO239" i="6"/>
  <c r="BP239" i="6"/>
  <c r="BQ239" i="6"/>
  <c r="BU239" i="6"/>
  <c r="BV239" i="6"/>
  <c r="BW239" i="6"/>
  <c r="BX239" i="6"/>
  <c r="BY239" i="6"/>
  <c r="BZ239" i="6"/>
  <c r="BA240" i="6"/>
  <c r="BB240" i="6"/>
  <c r="BC240" i="6"/>
  <c r="BD240" i="6"/>
  <c r="BE240" i="6"/>
  <c r="BF240" i="6"/>
  <c r="BG240" i="6"/>
  <c r="BH240" i="6"/>
  <c r="BL240" i="6"/>
  <c r="BM240" i="6"/>
  <c r="BN240" i="6"/>
  <c r="BO240" i="6"/>
  <c r="BP240" i="6"/>
  <c r="BQ240" i="6"/>
  <c r="BU240" i="6"/>
  <c r="BV240" i="6"/>
  <c r="BW240" i="6"/>
  <c r="BX240" i="6"/>
  <c r="BY240" i="6"/>
  <c r="BZ240" i="6"/>
  <c r="BA241" i="6"/>
  <c r="BB241" i="6"/>
  <c r="BC241" i="6"/>
  <c r="BD241" i="6"/>
  <c r="BE241" i="6"/>
  <c r="BF241" i="6"/>
  <c r="BG241" i="6"/>
  <c r="BH241" i="6"/>
  <c r="BL241" i="6"/>
  <c r="BM241" i="6"/>
  <c r="BN241" i="6"/>
  <c r="BO241" i="6"/>
  <c r="BP241" i="6"/>
  <c r="BQ241" i="6"/>
  <c r="BU241" i="6"/>
  <c r="BV241" i="6"/>
  <c r="BW241" i="6"/>
  <c r="BX241" i="6"/>
  <c r="BY241" i="6"/>
  <c r="BZ241" i="6"/>
  <c r="BA242" i="6"/>
  <c r="BB242" i="6"/>
  <c r="BB243" i="6"/>
  <c r="BB244" i="6"/>
  <c r="BC244" i="6"/>
  <c r="BD244" i="6"/>
  <c r="BE244" i="6"/>
  <c r="BF244" i="6"/>
  <c r="BG244" i="6"/>
  <c r="BH244" i="6"/>
  <c r="BL244" i="6"/>
  <c r="BM244" i="6"/>
  <c r="BN244" i="6"/>
  <c r="BO244" i="6"/>
  <c r="BP244" i="6"/>
  <c r="BQ244" i="6"/>
  <c r="BU244" i="6"/>
  <c r="BV244" i="6"/>
  <c r="BW244" i="6"/>
  <c r="BX244" i="6"/>
  <c r="BY244" i="6"/>
  <c r="BZ244" i="6"/>
  <c r="BB245" i="6"/>
  <c r="BC245" i="6"/>
  <c r="BD245" i="6"/>
  <c r="BE245" i="6"/>
  <c r="BF245" i="6"/>
  <c r="BG245" i="6"/>
  <c r="BH245" i="6"/>
  <c r="BL245" i="6"/>
  <c r="BM245" i="6"/>
  <c r="BN245" i="6"/>
  <c r="BO245" i="6"/>
  <c r="BP245" i="6"/>
  <c r="BQ245" i="6"/>
  <c r="BU245" i="6"/>
  <c r="BV245" i="6"/>
  <c r="BW245" i="6"/>
  <c r="BX245" i="6"/>
  <c r="BY245" i="6"/>
  <c r="BZ245" i="6"/>
  <c r="BB246" i="6"/>
  <c r="BC246" i="6"/>
  <c r="BD246" i="6"/>
  <c r="BE246" i="6"/>
  <c r="BF246" i="6"/>
  <c r="BG246" i="6"/>
  <c r="BH246" i="6"/>
  <c r="BL246" i="6"/>
  <c r="BM246" i="6"/>
  <c r="BN246" i="6"/>
  <c r="BO246" i="6"/>
  <c r="BP246" i="6"/>
  <c r="BQ246" i="6"/>
  <c r="BU246" i="6"/>
  <c r="BV246" i="6"/>
  <c r="BW246" i="6"/>
  <c r="BX246" i="6"/>
  <c r="BY246" i="6"/>
  <c r="BZ246" i="6"/>
  <c r="BB247" i="6"/>
  <c r="BC247" i="6"/>
  <c r="BD247" i="6"/>
  <c r="BE247" i="6"/>
  <c r="BF247" i="6"/>
  <c r="BG247" i="6"/>
  <c r="BH247" i="6"/>
  <c r="BL247" i="6"/>
  <c r="BM247" i="6"/>
  <c r="BN247" i="6"/>
  <c r="BO247" i="6"/>
  <c r="BP247" i="6"/>
  <c r="BQ247" i="6"/>
  <c r="BU247" i="6"/>
  <c r="BV247" i="6"/>
  <c r="BW247" i="6"/>
  <c r="BX247" i="6"/>
  <c r="BY247" i="6"/>
  <c r="BZ247" i="6"/>
  <c r="BA248" i="6"/>
  <c r="BB248" i="6"/>
  <c r="BC248" i="6"/>
  <c r="BD248" i="6"/>
  <c r="BE248" i="6"/>
  <c r="BF248" i="6"/>
  <c r="BG248" i="6"/>
  <c r="BH248" i="6"/>
  <c r="BL248" i="6"/>
  <c r="BM248" i="6"/>
  <c r="BN248" i="6"/>
  <c r="BO248" i="6"/>
  <c r="BP248" i="6"/>
  <c r="BQ248" i="6"/>
  <c r="BU248" i="6"/>
  <c r="BV248" i="6"/>
  <c r="BW248" i="6"/>
  <c r="BX248" i="6"/>
  <c r="BY248" i="6"/>
  <c r="BZ248" i="6"/>
  <c r="BA249" i="6"/>
  <c r="BB249" i="6"/>
  <c r="BC249" i="6"/>
  <c r="BD249" i="6"/>
  <c r="BE249" i="6"/>
  <c r="BF249" i="6"/>
  <c r="BG249" i="6"/>
  <c r="BH249" i="6"/>
  <c r="BL249" i="6"/>
  <c r="BM249" i="6"/>
  <c r="BN249" i="6"/>
  <c r="BO249" i="6"/>
  <c r="BP249" i="6"/>
  <c r="BQ249" i="6"/>
  <c r="BU249" i="6"/>
  <c r="BV249" i="6"/>
  <c r="BW249" i="6"/>
  <c r="BX249" i="6"/>
  <c r="BY249" i="6"/>
  <c r="BZ249" i="6"/>
  <c r="BA250" i="6"/>
  <c r="BB250" i="6"/>
  <c r="BC250" i="6"/>
  <c r="BD250" i="6"/>
  <c r="BE250" i="6"/>
  <c r="BF250" i="6"/>
  <c r="BG250" i="6"/>
  <c r="BH250" i="6"/>
  <c r="BL250" i="6"/>
  <c r="BM250" i="6"/>
  <c r="BN250" i="6"/>
  <c r="BO250" i="6"/>
  <c r="BP250" i="6"/>
  <c r="BQ250" i="6"/>
  <c r="BU250" i="6"/>
  <c r="BV250" i="6"/>
  <c r="BW250" i="6"/>
  <c r="BX250" i="6"/>
  <c r="BY250" i="6"/>
  <c r="BZ250" i="6"/>
  <c r="BA251" i="6"/>
  <c r="BB251" i="6"/>
  <c r="BA202" i="6" l="1"/>
  <c r="BB224" i="28"/>
  <c r="BC224" i="28"/>
  <c r="BE224" i="28"/>
  <c r="BF224" i="28"/>
  <c r="BG224" i="28"/>
  <c r="BI224" i="28"/>
  <c r="BJ224" i="28"/>
  <c r="BK224" i="28"/>
  <c r="BA225" i="28"/>
  <c r="BB225" i="28"/>
  <c r="BC225" i="28"/>
  <c r="BE225" i="28"/>
  <c r="BF225" i="28"/>
  <c r="BG225" i="28"/>
  <c r="BI225" i="28"/>
  <c r="BJ225" i="28"/>
  <c r="BK225" i="28"/>
  <c r="BA226" i="28"/>
  <c r="BB226" i="28"/>
  <c r="BC226" i="28"/>
  <c r="BE226" i="28"/>
  <c r="BF226" i="28"/>
  <c r="BG226" i="28"/>
  <c r="BI226" i="28"/>
  <c r="BJ226" i="28"/>
  <c r="BK226" i="28"/>
  <c r="BA227" i="28"/>
  <c r="BB227" i="28"/>
  <c r="BA203" i="28"/>
  <c r="BA204" i="28"/>
  <c r="BB204" i="28"/>
  <c r="BC204" i="28"/>
  <c r="BE204" i="28"/>
  <c r="BI204" i="28"/>
  <c r="BE205" i="28"/>
  <c r="BF205" i="28"/>
  <c r="BG205" i="28"/>
  <c r="BH205" i="28"/>
  <c r="BI205" i="28"/>
  <c r="BJ205" i="28"/>
  <c r="BK205" i="28"/>
  <c r="BL205" i="28"/>
  <c r="BA206" i="28"/>
  <c r="BB206" i="28"/>
  <c r="BC206" i="28"/>
  <c r="BE206" i="28"/>
  <c r="BF206" i="28"/>
  <c r="BG206" i="28"/>
  <c r="BH206" i="28"/>
  <c r="BI206" i="28"/>
  <c r="BJ206" i="28"/>
  <c r="BK206" i="28"/>
  <c r="BL206" i="28"/>
  <c r="BA207" i="28"/>
  <c r="BB207" i="28"/>
  <c r="BB208" i="28"/>
  <c r="BC208" i="28"/>
  <c r="BE208" i="28"/>
  <c r="BF208" i="28"/>
  <c r="BG208" i="28"/>
  <c r="BI208" i="28"/>
  <c r="BJ208" i="28"/>
  <c r="BK208" i="28"/>
  <c r="BB209" i="28"/>
  <c r="BC209" i="28"/>
  <c r="BE209" i="28"/>
  <c r="BF209" i="28"/>
  <c r="BG209" i="28"/>
  <c r="BI209" i="28"/>
  <c r="BJ209" i="28"/>
  <c r="BK209" i="28"/>
  <c r="BB210" i="28"/>
  <c r="BC210" i="28"/>
  <c r="BE210" i="28"/>
  <c r="BF210" i="28"/>
  <c r="BG210" i="28"/>
  <c r="BI210" i="28"/>
  <c r="BJ210" i="28"/>
  <c r="BK210" i="28"/>
  <c r="BA211" i="28"/>
  <c r="BB211" i="28"/>
  <c r="BB212" i="28"/>
  <c r="BC212" i="28"/>
  <c r="BE212" i="28"/>
  <c r="BF212" i="28"/>
  <c r="BG212" i="28"/>
  <c r="BI212" i="28"/>
  <c r="BJ212" i="28"/>
  <c r="BK212" i="28"/>
  <c r="BB213" i="28"/>
  <c r="BC213" i="28"/>
  <c r="BE213" i="28"/>
  <c r="BF213" i="28"/>
  <c r="BG213" i="28"/>
  <c r="BI213" i="28"/>
  <c r="BJ213" i="28"/>
  <c r="BK213" i="28"/>
  <c r="BA214" i="28"/>
  <c r="BB214" i="28"/>
  <c r="BC214" i="28"/>
  <c r="BE214" i="28"/>
  <c r="BF214" i="28"/>
  <c r="BG214" i="28"/>
  <c r="BI214" i="28"/>
  <c r="BJ214" i="28"/>
  <c r="BK214" i="28"/>
  <c r="BA215" i="28"/>
  <c r="BB215" i="28"/>
  <c r="BC215" i="28"/>
  <c r="BE215" i="28"/>
  <c r="BF215" i="28"/>
  <c r="BG215" i="28"/>
  <c r="BI215" i="28"/>
  <c r="BJ215" i="28"/>
  <c r="BK215" i="28"/>
  <c r="BA216" i="28"/>
  <c r="BB216" i="28"/>
  <c r="BB217" i="28"/>
  <c r="BC217" i="28"/>
  <c r="BE217" i="28"/>
  <c r="BF217" i="28"/>
  <c r="BG217" i="28"/>
  <c r="BI217" i="28"/>
  <c r="BJ217" i="28"/>
  <c r="BK217" i="28"/>
  <c r="BB218" i="28"/>
  <c r="BC218" i="28"/>
  <c r="BE218" i="28"/>
  <c r="BF218" i="28"/>
  <c r="BG218" i="28"/>
  <c r="BI218" i="28"/>
  <c r="BJ218" i="28"/>
  <c r="BK218" i="28"/>
  <c r="BB219" i="28"/>
  <c r="BB220" i="28"/>
  <c r="BC220" i="28"/>
  <c r="BE220" i="28"/>
  <c r="BF220" i="28"/>
  <c r="BG220" i="28"/>
  <c r="BI220" i="28"/>
  <c r="BJ220" i="28"/>
  <c r="BK220" i="28"/>
  <c r="BB221" i="28"/>
  <c r="BC221" i="28"/>
  <c r="BE221" i="28"/>
  <c r="BF221" i="28"/>
  <c r="BG221" i="28"/>
  <c r="BI221" i="28"/>
  <c r="BJ221" i="28"/>
  <c r="BK221" i="28"/>
  <c r="BB222" i="28"/>
  <c r="BC222" i="28"/>
  <c r="BE222" i="28"/>
  <c r="BF222" i="28"/>
  <c r="BG222" i="28"/>
  <c r="BI222" i="28"/>
  <c r="BJ222" i="28"/>
  <c r="BK222" i="28"/>
  <c r="BB223" i="28"/>
  <c r="BC223" i="28"/>
  <c r="BE223" i="28"/>
  <c r="BF223" i="28"/>
  <c r="BG223" i="28"/>
  <c r="BI223" i="28"/>
  <c r="BJ223" i="28"/>
  <c r="BK223" i="28"/>
  <c r="BA202" i="28"/>
  <c r="BA203" i="29"/>
  <c r="BA201" i="29"/>
  <c r="BA204" i="29"/>
  <c r="BB204" i="29"/>
  <c r="BC204" i="29"/>
  <c r="BE204" i="29"/>
  <c r="BI204" i="29"/>
  <c r="BE205" i="29"/>
  <c r="BF205" i="29"/>
  <c r="BG205" i="29"/>
  <c r="BH205" i="29"/>
  <c r="BI205" i="29"/>
  <c r="BJ205" i="29"/>
  <c r="BK205" i="29"/>
  <c r="BL205" i="29"/>
  <c r="BA206" i="29"/>
  <c r="BB206" i="29"/>
  <c r="BC206" i="29"/>
  <c r="BE206" i="29"/>
  <c r="BF206" i="29"/>
  <c r="BG206" i="29"/>
  <c r="BH206" i="29"/>
  <c r="BI206" i="29"/>
  <c r="BJ206" i="29"/>
  <c r="BK206" i="29"/>
  <c r="BL206" i="29"/>
  <c r="BA207" i="29"/>
  <c r="BB207" i="29"/>
  <c r="BC207" i="29"/>
  <c r="BE207" i="29"/>
  <c r="BF207" i="29"/>
  <c r="BG207" i="29"/>
  <c r="BI207" i="29"/>
  <c r="BJ207" i="29"/>
  <c r="BK207" i="29"/>
  <c r="BA208" i="29"/>
  <c r="BB208" i="29"/>
  <c r="BC208" i="29"/>
  <c r="BE208" i="29"/>
  <c r="BF208" i="29"/>
  <c r="BG208" i="29"/>
  <c r="BI208" i="29"/>
  <c r="BJ208" i="29"/>
  <c r="BK208" i="29"/>
  <c r="BA209" i="29"/>
  <c r="BB209" i="29"/>
  <c r="BC209" i="29"/>
  <c r="BE209" i="29"/>
  <c r="BF209" i="29"/>
  <c r="BG209" i="29"/>
  <c r="BI209" i="29"/>
  <c r="BJ209" i="29"/>
  <c r="BK209" i="29"/>
  <c r="BA210" i="29"/>
  <c r="BB210" i="29"/>
  <c r="BC210" i="29"/>
  <c r="BE210" i="29"/>
  <c r="BF210" i="29"/>
  <c r="BG210" i="29"/>
  <c r="BI210" i="29"/>
  <c r="BJ210" i="29"/>
  <c r="BK210" i="29"/>
  <c r="BA211" i="29"/>
  <c r="BB211" i="29"/>
  <c r="BC211" i="29"/>
  <c r="BE211" i="29"/>
  <c r="BF211" i="29"/>
  <c r="BG211" i="29"/>
  <c r="BI211" i="29"/>
  <c r="BJ211" i="29"/>
  <c r="BK211" i="29"/>
  <c r="BA212" i="29"/>
  <c r="BB212" i="29"/>
  <c r="BC212" i="29"/>
  <c r="BE212" i="29"/>
  <c r="BF212" i="29"/>
  <c r="BG212" i="29"/>
  <c r="BI212" i="29"/>
  <c r="BJ212" i="29"/>
  <c r="BK212" i="29"/>
  <c r="BA213" i="29"/>
  <c r="BB213" i="29"/>
  <c r="BC213" i="29"/>
  <c r="BE213" i="29"/>
  <c r="BF213" i="29"/>
  <c r="BG213" i="29"/>
  <c r="BI213" i="29"/>
  <c r="BJ213" i="29"/>
  <c r="BK213" i="29"/>
  <c r="BA214" i="29"/>
  <c r="BB214" i="29"/>
  <c r="BC214" i="29"/>
  <c r="BE214" i="29"/>
  <c r="BF214" i="29"/>
  <c r="BG214" i="29"/>
  <c r="BI214" i="29"/>
  <c r="BJ214" i="29"/>
  <c r="BK214" i="29"/>
  <c r="BA215" i="29"/>
  <c r="BB215" i="29"/>
  <c r="BB216" i="29"/>
  <c r="BC216" i="29"/>
  <c r="BE216" i="29"/>
  <c r="BF216" i="29"/>
  <c r="BG216" i="29"/>
  <c r="BI216" i="29"/>
  <c r="BJ216" i="29"/>
  <c r="BK216" i="29"/>
  <c r="BB217" i="29"/>
  <c r="BC217" i="29"/>
  <c r="BE217" i="29"/>
  <c r="BF217" i="29"/>
  <c r="BG217" i="29"/>
  <c r="BI217" i="29"/>
  <c r="BJ217" i="29"/>
  <c r="BK217" i="29"/>
  <c r="BB218" i="29"/>
  <c r="BC218" i="29"/>
  <c r="BE218" i="29"/>
  <c r="BF218" i="29"/>
  <c r="BG218" i="29"/>
  <c r="BI218" i="29"/>
  <c r="BJ218" i="29"/>
  <c r="BK218" i="29"/>
  <c r="BA219" i="29"/>
  <c r="BB219" i="29"/>
  <c r="BC219" i="29"/>
  <c r="BE219" i="29"/>
  <c r="BF219" i="29"/>
  <c r="BG219" i="29"/>
  <c r="BI219" i="29"/>
  <c r="BJ219" i="29"/>
  <c r="BK219" i="29"/>
  <c r="BA220" i="29"/>
  <c r="BB220" i="29"/>
  <c r="BA221" i="29"/>
  <c r="BA222" i="29"/>
  <c r="BA202" i="29"/>
  <c r="BG205" i="8"/>
  <c r="BB241" i="8"/>
  <c r="BB242" i="8"/>
  <c r="BB243" i="8"/>
  <c r="BC243" i="8"/>
  <c r="BE243" i="8"/>
  <c r="BF243" i="8"/>
  <c r="BG243" i="8"/>
  <c r="BI243" i="8"/>
  <c r="BJ243" i="8"/>
  <c r="BK243" i="8"/>
  <c r="BB244" i="8"/>
  <c r="BC244" i="8"/>
  <c r="BE244" i="8"/>
  <c r="BF244" i="8"/>
  <c r="BG244" i="8"/>
  <c r="BI244" i="8"/>
  <c r="BJ244" i="8"/>
  <c r="BK244" i="8"/>
  <c r="BB245" i="8"/>
  <c r="BC245" i="8"/>
  <c r="BE245" i="8"/>
  <c r="BF245" i="8"/>
  <c r="BG245" i="8"/>
  <c r="BI245" i="8"/>
  <c r="BJ245" i="8"/>
  <c r="BK245" i="8"/>
  <c r="BB246" i="8"/>
  <c r="BC246" i="8"/>
  <c r="BE246" i="8"/>
  <c r="BF246" i="8"/>
  <c r="BG246" i="8"/>
  <c r="BI246" i="8"/>
  <c r="BJ246" i="8"/>
  <c r="BK246" i="8"/>
  <c r="BB247" i="8"/>
  <c r="BC247" i="8"/>
  <c r="BE247" i="8"/>
  <c r="BF247" i="8"/>
  <c r="BG247" i="8"/>
  <c r="BI247" i="8"/>
  <c r="BJ247" i="8"/>
  <c r="BK247" i="8"/>
  <c r="BB248" i="8"/>
  <c r="BC248" i="8"/>
  <c r="BE248" i="8"/>
  <c r="BF248" i="8"/>
  <c r="BG248" i="8"/>
  <c r="BI248" i="8"/>
  <c r="BJ248" i="8"/>
  <c r="BK248" i="8"/>
  <c r="BB249" i="8"/>
  <c r="BC249" i="8"/>
  <c r="BE249" i="8"/>
  <c r="BF249" i="8"/>
  <c r="BG249" i="8"/>
  <c r="BI249" i="8"/>
  <c r="BJ249" i="8"/>
  <c r="BK249" i="8"/>
  <c r="BB250" i="8"/>
  <c r="BB234" i="8"/>
  <c r="BC234" i="8"/>
  <c r="BE234" i="8"/>
  <c r="BF234" i="8"/>
  <c r="BG234" i="8"/>
  <c r="BI234" i="8"/>
  <c r="BJ234" i="8"/>
  <c r="BK234" i="8"/>
  <c r="BB235" i="8"/>
  <c r="BC235" i="8"/>
  <c r="BE235" i="8"/>
  <c r="BF235" i="8"/>
  <c r="BG235" i="8"/>
  <c r="BI235" i="8"/>
  <c r="BJ235" i="8"/>
  <c r="BK235" i="8"/>
  <c r="BB236" i="8"/>
  <c r="BC236" i="8"/>
  <c r="BE236" i="8"/>
  <c r="BF236" i="8"/>
  <c r="BG236" i="8"/>
  <c r="BI236" i="8"/>
  <c r="BJ236" i="8"/>
  <c r="BK236" i="8"/>
  <c r="BB237" i="8"/>
  <c r="BC237" i="8"/>
  <c r="BE237" i="8"/>
  <c r="BF237" i="8"/>
  <c r="BG237" i="8"/>
  <c r="BI237" i="8"/>
  <c r="BJ237" i="8"/>
  <c r="BK237" i="8"/>
  <c r="BB238" i="8"/>
  <c r="BC238" i="8"/>
  <c r="BE238" i="8"/>
  <c r="BF238" i="8"/>
  <c r="BG238" i="8"/>
  <c r="BI238" i="8"/>
  <c r="BJ238" i="8"/>
  <c r="BK238" i="8"/>
  <c r="BB239" i="8"/>
  <c r="BC239" i="8"/>
  <c r="BE239" i="8"/>
  <c r="BF239" i="8"/>
  <c r="BG239" i="8"/>
  <c r="BI239" i="8"/>
  <c r="BJ239" i="8"/>
  <c r="BK239" i="8"/>
  <c r="BB240" i="8"/>
  <c r="BC240" i="8"/>
  <c r="BE240" i="8"/>
  <c r="BF240" i="8"/>
  <c r="BG240" i="8"/>
  <c r="BI240" i="8"/>
  <c r="BJ240" i="8"/>
  <c r="BK240" i="8"/>
  <c r="BA203" i="8"/>
  <c r="BA204" i="8"/>
  <c r="BB204" i="8"/>
  <c r="BC204" i="8"/>
  <c r="BE204" i="8"/>
  <c r="BI204" i="8"/>
  <c r="BE205" i="8"/>
  <c r="BF205" i="8"/>
  <c r="BH205" i="8"/>
  <c r="BI205" i="8"/>
  <c r="BJ205" i="8"/>
  <c r="BK205" i="8"/>
  <c r="BL205" i="8"/>
  <c r="BA206" i="8"/>
  <c r="BB206" i="8"/>
  <c r="BC206" i="8"/>
  <c r="BE206" i="8"/>
  <c r="BF206" i="8"/>
  <c r="BG206" i="8"/>
  <c r="BH206" i="8"/>
  <c r="BI206" i="8"/>
  <c r="BJ206" i="8"/>
  <c r="BK206" i="8"/>
  <c r="BL206" i="8"/>
  <c r="BA207" i="8"/>
  <c r="BB207" i="8"/>
  <c r="BC207" i="8"/>
  <c r="BE207" i="8"/>
  <c r="BF207" i="8"/>
  <c r="BG207" i="8"/>
  <c r="BI207" i="8"/>
  <c r="BJ207" i="8"/>
  <c r="BK207" i="8"/>
  <c r="BB208" i="8"/>
  <c r="BC208" i="8"/>
  <c r="BE208" i="8"/>
  <c r="BF208" i="8"/>
  <c r="BG208" i="8"/>
  <c r="BI208" i="8"/>
  <c r="BJ208" i="8"/>
  <c r="BK208" i="8"/>
  <c r="BB209" i="8"/>
  <c r="BB210" i="8"/>
  <c r="BC210" i="8"/>
  <c r="BE210" i="8"/>
  <c r="BF210" i="8"/>
  <c r="BG210" i="8"/>
  <c r="BI210" i="8"/>
  <c r="BJ210" i="8"/>
  <c r="BK210" i="8"/>
  <c r="BB211" i="8"/>
  <c r="BC211" i="8"/>
  <c r="BE211" i="8"/>
  <c r="BF211" i="8"/>
  <c r="BG211" i="8"/>
  <c r="BI211" i="8"/>
  <c r="BJ211" i="8"/>
  <c r="BK211" i="8"/>
  <c r="BB212" i="8"/>
  <c r="BC212" i="8"/>
  <c r="BE212" i="8"/>
  <c r="BF212" i="8"/>
  <c r="BG212" i="8"/>
  <c r="BI212" i="8"/>
  <c r="BJ212" i="8"/>
  <c r="BK212" i="8"/>
  <c r="BB213" i="8"/>
  <c r="BC213" i="8"/>
  <c r="BE213" i="8"/>
  <c r="BF213" i="8"/>
  <c r="BG213" i="8"/>
  <c r="BI213" i="8"/>
  <c r="BJ213" i="8"/>
  <c r="BK213" i="8"/>
  <c r="BB214" i="8"/>
  <c r="BC214" i="8"/>
  <c r="BE214" i="8"/>
  <c r="BF214" i="8"/>
  <c r="BG214" i="8"/>
  <c r="BI214" i="8"/>
  <c r="BJ214" i="8"/>
  <c r="BK214" i="8"/>
  <c r="BB215" i="8"/>
  <c r="BB216" i="8"/>
  <c r="BC216" i="8"/>
  <c r="BE216" i="8"/>
  <c r="BF216" i="8"/>
  <c r="BG216" i="8"/>
  <c r="BI216" i="8"/>
  <c r="BJ216" i="8"/>
  <c r="BK216" i="8"/>
  <c r="BB217" i="8"/>
  <c r="BC217" i="8"/>
  <c r="BE217" i="8"/>
  <c r="BF217" i="8"/>
  <c r="BG217" i="8"/>
  <c r="BI217" i="8"/>
  <c r="BJ217" i="8"/>
  <c r="BK217" i="8"/>
  <c r="BB218" i="8"/>
  <c r="BC218" i="8"/>
  <c r="BE218" i="8"/>
  <c r="BF218" i="8"/>
  <c r="BG218" i="8"/>
  <c r="BI218" i="8"/>
  <c r="BJ218" i="8"/>
  <c r="BK218" i="8"/>
  <c r="BB219" i="8"/>
  <c r="BC219" i="8"/>
  <c r="BE219" i="8"/>
  <c r="BF219" i="8"/>
  <c r="BG219" i="8"/>
  <c r="BI219" i="8"/>
  <c r="BJ219" i="8"/>
  <c r="BK219" i="8"/>
  <c r="BB220" i="8"/>
  <c r="BB221" i="8"/>
  <c r="BC221" i="8"/>
  <c r="BE221" i="8"/>
  <c r="BF221" i="8"/>
  <c r="BG221" i="8"/>
  <c r="BI221" i="8"/>
  <c r="BJ221" i="8"/>
  <c r="BK221" i="8"/>
  <c r="BB222" i="8"/>
  <c r="BC222" i="8"/>
  <c r="BE222" i="8"/>
  <c r="BF222" i="8"/>
  <c r="BG222" i="8"/>
  <c r="BI222" i="8"/>
  <c r="BJ222" i="8"/>
  <c r="BK222" i="8"/>
  <c r="BB223" i="8"/>
  <c r="BC223" i="8"/>
  <c r="BE223" i="8"/>
  <c r="BF223" i="8"/>
  <c r="BG223" i="8"/>
  <c r="BI223" i="8"/>
  <c r="BJ223" i="8"/>
  <c r="BK223" i="8"/>
  <c r="BB224" i="8"/>
  <c r="BC224" i="8"/>
  <c r="BE224" i="8"/>
  <c r="BF224" i="8"/>
  <c r="BG224" i="8"/>
  <c r="BI224" i="8"/>
  <c r="BJ224" i="8"/>
  <c r="BK224" i="8"/>
  <c r="BB226" i="8"/>
  <c r="BC226" i="8"/>
  <c r="BE226" i="8"/>
  <c r="BF226" i="8"/>
  <c r="BG226" i="8"/>
  <c r="BI226" i="8"/>
  <c r="BJ226" i="8"/>
  <c r="BK226" i="8"/>
  <c r="BB227" i="8"/>
  <c r="BC227" i="8"/>
  <c r="BE227" i="8"/>
  <c r="BF227" i="8"/>
  <c r="BG227" i="8"/>
  <c r="BI227" i="8"/>
  <c r="BJ227" i="8"/>
  <c r="BK227" i="8"/>
  <c r="BB228" i="8"/>
  <c r="BC228" i="8"/>
  <c r="BE228" i="8"/>
  <c r="BF228" i="8"/>
  <c r="BG228" i="8"/>
  <c r="BI228" i="8"/>
  <c r="BJ228" i="8"/>
  <c r="BK228" i="8"/>
  <c r="BB229" i="8"/>
  <c r="BC229" i="8"/>
  <c r="BE229" i="8"/>
  <c r="BF229" i="8"/>
  <c r="BG229" i="8"/>
  <c r="BI229" i="8"/>
  <c r="BJ229" i="8"/>
  <c r="BK229" i="8"/>
  <c r="BB231" i="8"/>
  <c r="BC231" i="8"/>
  <c r="BE231" i="8"/>
  <c r="BF231" i="8"/>
  <c r="BG231" i="8"/>
  <c r="BI231" i="8"/>
  <c r="BJ231" i="8"/>
  <c r="BK231" i="8"/>
  <c r="BB232" i="8"/>
  <c r="BC232" i="8"/>
  <c r="BE232" i="8"/>
  <c r="BF232" i="8"/>
  <c r="BG232" i="8"/>
  <c r="BI232" i="8"/>
  <c r="BJ232" i="8"/>
  <c r="BK232" i="8"/>
  <c r="BB233" i="8"/>
  <c r="BA202" i="8"/>
  <c r="BX203" i="27"/>
  <c r="BV205" i="27"/>
  <c r="BW205" i="27"/>
  <c r="BV206" i="27"/>
  <c r="BW206" i="27"/>
  <c r="BX206" i="27"/>
  <c r="BV207" i="27"/>
  <c r="BV208" i="27"/>
  <c r="BV209" i="27"/>
  <c r="BV210" i="27"/>
  <c r="BV211" i="27"/>
  <c r="BV212" i="27"/>
  <c r="BV213" i="27"/>
  <c r="BV214" i="27"/>
  <c r="BV215" i="27"/>
  <c r="BV216" i="27"/>
  <c r="BV217" i="27"/>
  <c r="BV218" i="27"/>
  <c r="BV219" i="27"/>
  <c r="BV220" i="27"/>
  <c r="BV221" i="27"/>
  <c r="BA202" i="27"/>
  <c r="BA203" i="27"/>
  <c r="BB203" i="27"/>
  <c r="BC203" i="27"/>
  <c r="BC204" i="27"/>
  <c r="BJ204" i="27"/>
  <c r="BQ204" i="27"/>
  <c r="BC205" i="27"/>
  <c r="BD205" i="27"/>
  <c r="BE205" i="27"/>
  <c r="BF205" i="27"/>
  <c r="BG205" i="27"/>
  <c r="BH205" i="27"/>
  <c r="BI205" i="27"/>
  <c r="BJ205" i="27"/>
  <c r="BK205" i="27"/>
  <c r="BL205" i="27"/>
  <c r="BM205" i="27"/>
  <c r="BN205" i="27"/>
  <c r="BO205" i="27"/>
  <c r="BP205" i="27"/>
  <c r="BQ205" i="27"/>
  <c r="BR205" i="27"/>
  <c r="BS205" i="27"/>
  <c r="BT205" i="27"/>
  <c r="BU205" i="27"/>
  <c r="BA206" i="27"/>
  <c r="BB206" i="27"/>
  <c r="BC206" i="27"/>
  <c r="BD206" i="27"/>
  <c r="BE206" i="27"/>
  <c r="BF206" i="27"/>
  <c r="BG206" i="27"/>
  <c r="BH206" i="27"/>
  <c r="BI206" i="27"/>
  <c r="BJ206" i="27"/>
  <c r="BK206" i="27"/>
  <c r="BL206" i="27"/>
  <c r="BM206" i="27"/>
  <c r="BN206" i="27"/>
  <c r="BO206" i="27"/>
  <c r="BP206" i="27"/>
  <c r="BQ206" i="27"/>
  <c r="BR206" i="27"/>
  <c r="BS206" i="27"/>
  <c r="BT206" i="27"/>
  <c r="BU206" i="27"/>
  <c r="BA207" i="27"/>
  <c r="BB207" i="27"/>
  <c r="BC207" i="27"/>
  <c r="BD207" i="27"/>
  <c r="BE207" i="27"/>
  <c r="BF207" i="27"/>
  <c r="BG207" i="27"/>
  <c r="BH207" i="27"/>
  <c r="BJ207" i="27"/>
  <c r="BK207" i="27"/>
  <c r="BL207" i="27"/>
  <c r="BM207" i="27"/>
  <c r="BN207" i="27"/>
  <c r="BO207" i="27"/>
  <c r="BQ207" i="27"/>
  <c r="BR207" i="27"/>
  <c r="BS207" i="27"/>
  <c r="BT207" i="27"/>
  <c r="BU207" i="27"/>
  <c r="BA208" i="27"/>
  <c r="BB208" i="27"/>
  <c r="BC208" i="27"/>
  <c r="BD208" i="27"/>
  <c r="BE208" i="27"/>
  <c r="BF208" i="27"/>
  <c r="BG208" i="27"/>
  <c r="BH208" i="27"/>
  <c r="BJ208" i="27"/>
  <c r="BK208" i="27"/>
  <c r="BL208" i="27"/>
  <c r="BM208" i="27"/>
  <c r="BN208" i="27"/>
  <c r="BO208" i="27"/>
  <c r="BQ208" i="27"/>
  <c r="BR208" i="27"/>
  <c r="BS208" i="27"/>
  <c r="BT208" i="27"/>
  <c r="BU208" i="27"/>
  <c r="BA209" i="27"/>
  <c r="BB209" i="27"/>
  <c r="BC209" i="27"/>
  <c r="BD209" i="27"/>
  <c r="BE209" i="27"/>
  <c r="BF209" i="27"/>
  <c r="BG209" i="27"/>
  <c r="BH209" i="27"/>
  <c r="BJ209" i="27"/>
  <c r="BK209" i="27"/>
  <c r="BL209" i="27"/>
  <c r="BM209" i="27"/>
  <c r="BN209" i="27"/>
  <c r="BO209" i="27"/>
  <c r="BQ209" i="27"/>
  <c r="BR209" i="27"/>
  <c r="BS209" i="27"/>
  <c r="BT209" i="27"/>
  <c r="BU209" i="27"/>
  <c r="BA210" i="27"/>
  <c r="BB210" i="27"/>
  <c r="BC210" i="27"/>
  <c r="BD210" i="27"/>
  <c r="BE210" i="27"/>
  <c r="BF210" i="27"/>
  <c r="BG210" i="27"/>
  <c r="BH210" i="27"/>
  <c r="BJ210" i="27"/>
  <c r="BK210" i="27"/>
  <c r="BL210" i="27"/>
  <c r="BM210" i="27"/>
  <c r="BN210" i="27"/>
  <c r="BO210" i="27"/>
  <c r="BQ210" i="27"/>
  <c r="BR210" i="27"/>
  <c r="BS210" i="27"/>
  <c r="BT210" i="27"/>
  <c r="BU210" i="27"/>
  <c r="BA211" i="27"/>
  <c r="BB211" i="27"/>
  <c r="BC211" i="27"/>
  <c r="BD211" i="27"/>
  <c r="BE211" i="27"/>
  <c r="BF211" i="27"/>
  <c r="BG211" i="27"/>
  <c r="BH211" i="27"/>
  <c r="BJ211" i="27"/>
  <c r="BK211" i="27"/>
  <c r="BL211" i="27"/>
  <c r="BM211" i="27"/>
  <c r="BN211" i="27"/>
  <c r="BO211" i="27"/>
  <c r="BQ211" i="27"/>
  <c r="BR211" i="27"/>
  <c r="BS211" i="27"/>
  <c r="BT211" i="27"/>
  <c r="BU211" i="27"/>
  <c r="BA212" i="27"/>
  <c r="BB212" i="27"/>
  <c r="BC212" i="27"/>
  <c r="BD212" i="27"/>
  <c r="BE212" i="27"/>
  <c r="BF212" i="27"/>
  <c r="BG212" i="27"/>
  <c r="BH212" i="27"/>
  <c r="BJ212" i="27"/>
  <c r="BK212" i="27"/>
  <c r="BL212" i="27"/>
  <c r="BM212" i="27"/>
  <c r="BN212" i="27"/>
  <c r="BO212" i="27"/>
  <c r="BQ212" i="27"/>
  <c r="BR212" i="27"/>
  <c r="BS212" i="27"/>
  <c r="BT212" i="27"/>
  <c r="BU212" i="27"/>
  <c r="BA213" i="27"/>
  <c r="BB213" i="27"/>
  <c r="BC213" i="27"/>
  <c r="BD213" i="27"/>
  <c r="BE213" i="27"/>
  <c r="BF213" i="27"/>
  <c r="BG213" i="27"/>
  <c r="BH213" i="27"/>
  <c r="BJ213" i="27"/>
  <c r="BK213" i="27"/>
  <c r="BL213" i="27"/>
  <c r="BM213" i="27"/>
  <c r="BN213" i="27"/>
  <c r="BO213" i="27"/>
  <c r="BQ213" i="27"/>
  <c r="BR213" i="27"/>
  <c r="BS213" i="27"/>
  <c r="BT213" i="27"/>
  <c r="BU213" i="27"/>
  <c r="BA214" i="27"/>
  <c r="BB214" i="27"/>
  <c r="BC214" i="27"/>
  <c r="BD214" i="27"/>
  <c r="BE214" i="27"/>
  <c r="BF214" i="27"/>
  <c r="BG214" i="27"/>
  <c r="BH214" i="27"/>
  <c r="BJ214" i="27"/>
  <c r="BK214" i="27"/>
  <c r="BL214" i="27"/>
  <c r="BM214" i="27"/>
  <c r="BN214" i="27"/>
  <c r="BO214" i="27"/>
  <c r="BQ214" i="27"/>
  <c r="BR214" i="27"/>
  <c r="BS214" i="27"/>
  <c r="BT214" i="27"/>
  <c r="BU214" i="27"/>
  <c r="BA215" i="27"/>
  <c r="BB215" i="27"/>
  <c r="BC215" i="27"/>
  <c r="BD215" i="27"/>
  <c r="BE215" i="27"/>
  <c r="BF215" i="27"/>
  <c r="BG215" i="27"/>
  <c r="BH215" i="27"/>
  <c r="BJ215" i="27"/>
  <c r="BK215" i="27"/>
  <c r="BL215" i="27"/>
  <c r="BM215" i="27"/>
  <c r="BN215" i="27"/>
  <c r="BO215" i="27"/>
  <c r="BQ215" i="27"/>
  <c r="BR215" i="27"/>
  <c r="BS215" i="27"/>
  <c r="BT215" i="27"/>
  <c r="BU215" i="27"/>
  <c r="BA216" i="27"/>
  <c r="BB216" i="27"/>
  <c r="BC216" i="27"/>
  <c r="BD216" i="27"/>
  <c r="BE216" i="27"/>
  <c r="BF216" i="27"/>
  <c r="BG216" i="27"/>
  <c r="BH216" i="27"/>
  <c r="BJ216" i="27"/>
  <c r="BK216" i="27"/>
  <c r="BL216" i="27"/>
  <c r="BM216" i="27"/>
  <c r="BN216" i="27"/>
  <c r="BO216" i="27"/>
  <c r="BQ216" i="27"/>
  <c r="BR216" i="27"/>
  <c r="BS216" i="27"/>
  <c r="BT216" i="27"/>
  <c r="BU216" i="27"/>
  <c r="BA217" i="27"/>
  <c r="BB217" i="27"/>
  <c r="BC217" i="27"/>
  <c r="BD217" i="27"/>
  <c r="BE217" i="27"/>
  <c r="BF217" i="27"/>
  <c r="BG217" i="27"/>
  <c r="BH217" i="27"/>
  <c r="BJ217" i="27"/>
  <c r="BK217" i="27"/>
  <c r="BL217" i="27"/>
  <c r="BM217" i="27"/>
  <c r="BN217" i="27"/>
  <c r="BO217" i="27"/>
  <c r="BQ217" i="27"/>
  <c r="BR217" i="27"/>
  <c r="BS217" i="27"/>
  <c r="BT217" i="27"/>
  <c r="BU217" i="27"/>
  <c r="BA218" i="27"/>
  <c r="BB218" i="27"/>
  <c r="BC218" i="27"/>
  <c r="BD218" i="27"/>
  <c r="BE218" i="27"/>
  <c r="BF218" i="27"/>
  <c r="BG218" i="27"/>
  <c r="BH218" i="27"/>
  <c r="BJ218" i="27"/>
  <c r="BK218" i="27"/>
  <c r="BL218" i="27"/>
  <c r="BM218" i="27"/>
  <c r="BN218" i="27"/>
  <c r="BO218" i="27"/>
  <c r="BQ218" i="27"/>
  <c r="BR218" i="27"/>
  <c r="BS218" i="27"/>
  <c r="BT218" i="27"/>
  <c r="BU218" i="27"/>
  <c r="BA219" i="27"/>
  <c r="BB219" i="27"/>
  <c r="BC219" i="27"/>
  <c r="BD219" i="27"/>
  <c r="BE219" i="27"/>
  <c r="BF219" i="27"/>
  <c r="BG219" i="27"/>
  <c r="BH219" i="27"/>
  <c r="BJ219" i="27"/>
  <c r="BK219" i="27"/>
  <c r="BL219" i="27"/>
  <c r="BM219" i="27"/>
  <c r="BN219" i="27"/>
  <c r="BO219" i="27"/>
  <c r="BQ219" i="27"/>
  <c r="BR219" i="27"/>
  <c r="BS219" i="27"/>
  <c r="BT219" i="27"/>
  <c r="BU219" i="27"/>
  <c r="BA220" i="27"/>
  <c r="BB220" i="27"/>
  <c r="BC220" i="27"/>
  <c r="BD220" i="27"/>
  <c r="BE220" i="27"/>
  <c r="BF220" i="27"/>
  <c r="BG220" i="27"/>
  <c r="BH220" i="27"/>
  <c r="BJ220" i="27"/>
  <c r="BK220" i="27"/>
  <c r="BL220" i="27"/>
  <c r="BM220" i="27"/>
  <c r="BN220" i="27"/>
  <c r="BO220" i="27"/>
  <c r="BQ220" i="27"/>
  <c r="BR220" i="27"/>
  <c r="BS220" i="27"/>
  <c r="BT220" i="27"/>
  <c r="BU220" i="27"/>
  <c r="BA221" i="27"/>
  <c r="BB221" i="27"/>
  <c r="BC221" i="27"/>
  <c r="BD221" i="27"/>
  <c r="BE221" i="27"/>
  <c r="BF221" i="27"/>
  <c r="BG221" i="27"/>
  <c r="BH221" i="27"/>
  <c r="BJ221" i="27"/>
  <c r="BK221" i="27"/>
  <c r="BL221" i="27"/>
  <c r="BM221" i="27"/>
  <c r="BN221" i="27"/>
  <c r="BO221" i="27"/>
  <c r="BQ221" i="27"/>
  <c r="BR221" i="27"/>
  <c r="BS221" i="27"/>
  <c r="BT221" i="27"/>
  <c r="BU221" i="27"/>
  <c r="BA222" i="27"/>
  <c r="BB222" i="27"/>
  <c r="BA201" i="27"/>
  <c r="AC10" i="5" l="1"/>
  <c r="CB209" i="5" s="1"/>
  <c r="AC11" i="5"/>
  <c r="CB210" i="5" s="1"/>
  <c r="AC12" i="5"/>
  <c r="CB211" i="5" s="1"/>
  <c r="AC14" i="5"/>
  <c r="CB213" i="5" s="1"/>
  <c r="AC15" i="5"/>
  <c r="CB214" i="5" s="1"/>
  <c r="AC16" i="5"/>
  <c r="CB215" i="5" s="1"/>
  <c r="AC17" i="5"/>
  <c r="CB216" i="5" s="1"/>
  <c r="AC19" i="5"/>
  <c r="CB218" i="5" s="1"/>
  <c r="AC20" i="5"/>
  <c r="CB219" i="5" s="1"/>
  <c r="AC22" i="5"/>
  <c r="CB221" i="5" s="1"/>
  <c r="AC23" i="5"/>
  <c r="CB222" i="5" s="1"/>
  <c r="AC24" i="5"/>
  <c r="CB223" i="5" s="1"/>
  <c r="AC25" i="5"/>
  <c r="CB224" i="5" s="1"/>
  <c r="AC26" i="5"/>
  <c r="CB225" i="5" s="1"/>
  <c r="AC27" i="5"/>
  <c r="CB226" i="5" s="1"/>
  <c r="AC28" i="5"/>
  <c r="CB227" i="5" s="1"/>
  <c r="T10" i="5"/>
  <c r="BS209" i="5" s="1"/>
  <c r="T11" i="5"/>
  <c r="BS210" i="5" s="1"/>
  <c r="T12" i="5"/>
  <c r="BS211" i="5" s="1"/>
  <c r="T14" i="5"/>
  <c r="BS213" i="5" s="1"/>
  <c r="T15" i="5"/>
  <c r="BS214" i="5" s="1"/>
  <c r="T16" i="5"/>
  <c r="BS215" i="5" s="1"/>
  <c r="T17" i="5"/>
  <c r="BS216" i="5" s="1"/>
  <c r="T19" i="5"/>
  <c r="BS218" i="5" s="1"/>
  <c r="T20" i="5"/>
  <c r="BS219" i="5" s="1"/>
  <c r="T22" i="5"/>
  <c r="BS221" i="5" s="1"/>
  <c r="T23" i="5"/>
  <c r="BS222" i="5" s="1"/>
  <c r="T24" i="5"/>
  <c r="BS223" i="5" s="1"/>
  <c r="T25" i="5"/>
  <c r="BS224" i="5" s="1"/>
  <c r="T26" i="5"/>
  <c r="BS225" i="5" s="1"/>
  <c r="T27" i="5"/>
  <c r="BS226" i="5" s="1"/>
  <c r="T28" i="5"/>
  <c r="BS227" i="5" s="1"/>
  <c r="K10" i="5"/>
  <c r="BJ209" i="5" s="1"/>
  <c r="K11" i="5"/>
  <c r="BJ210" i="5" s="1"/>
  <c r="K12" i="5"/>
  <c r="BJ211" i="5" s="1"/>
  <c r="K14" i="5"/>
  <c r="BJ213" i="5" s="1"/>
  <c r="K15" i="5"/>
  <c r="BJ214" i="5" s="1"/>
  <c r="K16" i="5"/>
  <c r="BJ215" i="5" s="1"/>
  <c r="K17" i="5"/>
  <c r="BJ216" i="5" s="1"/>
  <c r="K19" i="5"/>
  <c r="BJ218" i="5" s="1"/>
  <c r="K20" i="5"/>
  <c r="BJ219" i="5" s="1"/>
  <c r="K22" i="5"/>
  <c r="BJ221" i="5" s="1"/>
  <c r="K23" i="5"/>
  <c r="BJ222" i="5" s="1"/>
  <c r="K24" i="5"/>
  <c r="BJ223" i="5" s="1"/>
  <c r="K25" i="5"/>
  <c r="BJ224" i="5" s="1"/>
  <c r="K26" i="5"/>
  <c r="BJ225" i="5" s="1"/>
  <c r="K27" i="5"/>
  <c r="BJ226" i="5" s="1"/>
  <c r="K28" i="5"/>
  <c r="BJ227" i="5" s="1"/>
  <c r="K12" i="6"/>
  <c r="BJ211" i="6" s="1"/>
  <c r="AC10" i="6"/>
  <c r="CB209" i="6" s="1"/>
  <c r="AC12" i="6"/>
  <c r="CB211" i="6" s="1"/>
  <c r="AC13" i="6"/>
  <c r="CB212" i="6" s="1"/>
  <c r="AC14" i="6"/>
  <c r="CB213" i="6" s="1"/>
  <c r="AC15" i="6"/>
  <c r="CB214" i="6" s="1"/>
  <c r="AC16" i="6"/>
  <c r="CB215" i="6" s="1"/>
  <c r="AC18" i="6"/>
  <c r="CB217" i="6" s="1"/>
  <c r="AC19" i="6"/>
  <c r="CB218" i="6" s="1"/>
  <c r="AC20" i="6"/>
  <c r="CB219" i="6" s="1"/>
  <c r="AC21" i="6"/>
  <c r="CB220" i="6" s="1"/>
  <c r="AC23" i="6"/>
  <c r="CB222" i="6" s="1"/>
  <c r="AC24" i="6"/>
  <c r="CB223" i="6" s="1"/>
  <c r="AC25" i="6"/>
  <c r="CB224" i="6" s="1"/>
  <c r="AC26" i="6"/>
  <c r="CB225" i="6" s="1"/>
  <c r="AC28" i="6"/>
  <c r="CB227" i="6" s="1"/>
  <c r="AC29" i="6"/>
  <c r="CB228" i="6" s="1"/>
  <c r="AC30" i="6"/>
  <c r="CB229" i="6" s="1"/>
  <c r="AC31" i="6"/>
  <c r="CB230" i="6" s="1"/>
  <c r="AC33" i="6"/>
  <c r="CB232" i="6" s="1"/>
  <c r="AC34" i="6"/>
  <c r="CB233" i="6" s="1"/>
  <c r="AC36" i="6"/>
  <c r="CB235" i="6" s="1"/>
  <c r="AC37" i="6"/>
  <c r="CB236" i="6" s="1"/>
  <c r="AC38" i="6"/>
  <c r="CB237" i="6" s="1"/>
  <c r="AC39" i="6"/>
  <c r="CB238" i="6" s="1"/>
  <c r="AC40" i="6"/>
  <c r="CB239" i="6" s="1"/>
  <c r="AC41" i="6"/>
  <c r="CB240" i="6" s="1"/>
  <c r="AC42" i="6"/>
  <c r="CB241" i="6" s="1"/>
  <c r="AC45" i="6"/>
  <c r="CB244" i="6" s="1"/>
  <c r="AC46" i="6"/>
  <c r="CB245" i="6" s="1"/>
  <c r="AC47" i="6"/>
  <c r="CB246" i="6" s="1"/>
  <c r="AC48" i="6"/>
  <c r="CB247" i="6" s="1"/>
  <c r="AC49" i="6"/>
  <c r="CB248" i="6" s="1"/>
  <c r="AC50" i="6"/>
  <c r="CB249" i="6" s="1"/>
  <c r="AC51" i="6"/>
  <c r="CB250" i="6" s="1"/>
  <c r="AC9" i="6"/>
  <c r="CB208" i="6" s="1"/>
  <c r="T10" i="6"/>
  <c r="BS209" i="6" s="1"/>
  <c r="T12" i="6"/>
  <c r="BS211" i="6" s="1"/>
  <c r="T13" i="6"/>
  <c r="BS212" i="6" s="1"/>
  <c r="T14" i="6"/>
  <c r="BS213" i="6" s="1"/>
  <c r="T15" i="6"/>
  <c r="BS214" i="6" s="1"/>
  <c r="T16" i="6"/>
  <c r="BS215" i="6" s="1"/>
  <c r="T18" i="6"/>
  <c r="BS217" i="6" s="1"/>
  <c r="T19" i="6"/>
  <c r="BS218" i="6" s="1"/>
  <c r="T20" i="6"/>
  <c r="BS219" i="6" s="1"/>
  <c r="T21" i="6"/>
  <c r="BS220" i="6" s="1"/>
  <c r="T23" i="6"/>
  <c r="BS222" i="6" s="1"/>
  <c r="T24" i="6"/>
  <c r="BS223" i="6" s="1"/>
  <c r="T25" i="6"/>
  <c r="BS224" i="6" s="1"/>
  <c r="T26" i="6"/>
  <c r="BS225" i="6" s="1"/>
  <c r="T28" i="6"/>
  <c r="BS227" i="6" s="1"/>
  <c r="T29" i="6"/>
  <c r="BS228" i="6" s="1"/>
  <c r="T30" i="6"/>
  <c r="BS229" i="6" s="1"/>
  <c r="T31" i="6"/>
  <c r="BS230" i="6" s="1"/>
  <c r="T33" i="6"/>
  <c r="BS232" i="6" s="1"/>
  <c r="T34" i="6"/>
  <c r="BS233" i="6" s="1"/>
  <c r="T36" i="6"/>
  <c r="BS235" i="6" s="1"/>
  <c r="T37" i="6"/>
  <c r="BS236" i="6" s="1"/>
  <c r="T38" i="6"/>
  <c r="BS237" i="6" s="1"/>
  <c r="T39" i="6"/>
  <c r="BS238" i="6" s="1"/>
  <c r="T40" i="6"/>
  <c r="BS239" i="6" s="1"/>
  <c r="T41" i="6"/>
  <c r="BS240" i="6" s="1"/>
  <c r="T42" i="6"/>
  <c r="BS241" i="6" s="1"/>
  <c r="T45" i="6"/>
  <c r="BS244" i="6" s="1"/>
  <c r="T46" i="6"/>
  <c r="BS245" i="6" s="1"/>
  <c r="T47" i="6"/>
  <c r="BS246" i="6" s="1"/>
  <c r="T48" i="6"/>
  <c r="BS247" i="6" s="1"/>
  <c r="T49" i="6"/>
  <c r="BS248" i="6" s="1"/>
  <c r="T50" i="6"/>
  <c r="BS249" i="6" s="1"/>
  <c r="T51" i="6"/>
  <c r="BS250" i="6" s="1"/>
  <c r="T9" i="6"/>
  <c r="BS208" i="6" s="1"/>
  <c r="K13" i="6"/>
  <c r="BJ212" i="6" s="1"/>
  <c r="K14" i="6"/>
  <c r="BJ213" i="6" s="1"/>
  <c r="K15" i="6"/>
  <c r="BJ214" i="6" s="1"/>
  <c r="K16" i="6"/>
  <c r="BJ215" i="6" s="1"/>
  <c r="K18" i="6"/>
  <c r="BJ217" i="6" s="1"/>
  <c r="K19" i="6"/>
  <c r="BJ218" i="6" s="1"/>
  <c r="K20" i="6"/>
  <c r="BJ219" i="6" s="1"/>
  <c r="K21" i="6"/>
  <c r="BJ220" i="6" s="1"/>
  <c r="K23" i="6"/>
  <c r="BJ222" i="6" s="1"/>
  <c r="K24" i="6"/>
  <c r="BJ223" i="6" s="1"/>
  <c r="K25" i="6"/>
  <c r="BJ224" i="6" s="1"/>
  <c r="K26" i="6"/>
  <c r="BJ225" i="6" s="1"/>
  <c r="K28" i="6"/>
  <c r="BJ227" i="6" s="1"/>
  <c r="K29" i="6"/>
  <c r="BJ228" i="6" s="1"/>
  <c r="K30" i="6"/>
  <c r="BJ229" i="6" s="1"/>
  <c r="K31" i="6"/>
  <c r="BJ230" i="6" s="1"/>
  <c r="K33" i="6"/>
  <c r="BJ232" i="6" s="1"/>
  <c r="K34" i="6"/>
  <c r="BJ233" i="6" s="1"/>
  <c r="K36" i="6"/>
  <c r="BJ235" i="6" s="1"/>
  <c r="K37" i="6"/>
  <c r="BJ236" i="6" s="1"/>
  <c r="K38" i="6"/>
  <c r="BJ237" i="6" s="1"/>
  <c r="K39" i="6"/>
  <c r="BJ238" i="6" s="1"/>
  <c r="K40" i="6"/>
  <c r="BJ239" i="6" s="1"/>
  <c r="K41" i="6"/>
  <c r="BJ240" i="6" s="1"/>
  <c r="K42" i="6"/>
  <c r="BJ241" i="6" s="1"/>
  <c r="K45" i="6"/>
  <c r="BJ244" i="6" s="1"/>
  <c r="K46" i="6"/>
  <c r="BJ245" i="6" s="1"/>
  <c r="K47" i="6"/>
  <c r="BJ246" i="6" s="1"/>
  <c r="K48" i="6"/>
  <c r="BJ247" i="6" s="1"/>
  <c r="K49" i="6"/>
  <c r="BJ248" i="6" s="1"/>
  <c r="K50" i="6"/>
  <c r="BJ249" i="6" s="1"/>
  <c r="K51" i="6"/>
  <c r="BJ250" i="6" s="1"/>
  <c r="K10" i="6"/>
  <c r="BJ209" i="6" s="1"/>
  <c r="K9" i="6"/>
  <c r="BJ208" i="6" s="1"/>
  <c r="L17" i="15" l="1"/>
  <c r="BK216" i="15" s="1"/>
  <c r="H17" i="15"/>
  <c r="BG216" i="15" s="1"/>
  <c r="L21" i="14" l="1"/>
  <c r="BK220" i="14" s="1"/>
  <c r="H21" i="14"/>
  <c r="BG220" i="14" s="1"/>
  <c r="F25" i="10" l="1"/>
  <c r="BE224" i="10" s="1"/>
  <c r="G25" i="10"/>
  <c r="BF224" i="10" s="1"/>
  <c r="H25" i="10"/>
  <c r="BG224" i="10" s="1"/>
  <c r="J25" i="10"/>
  <c r="BI224" i="10" s="1"/>
  <c r="K25" i="10"/>
  <c r="BJ224" i="10" s="1"/>
  <c r="L25" i="10"/>
  <c r="BK224" i="10" s="1"/>
  <c r="D25" i="10"/>
  <c r="BC224" i="10" s="1"/>
  <c r="F15" i="10"/>
  <c r="BE214" i="10" s="1"/>
  <c r="G15" i="10"/>
  <c r="BF214" i="10" s="1"/>
  <c r="H15" i="10"/>
  <c r="BG214" i="10" s="1"/>
  <c r="J15" i="10"/>
  <c r="BI214" i="10" s="1"/>
  <c r="K15" i="10"/>
  <c r="BJ214" i="10" s="1"/>
  <c r="L15" i="10"/>
  <c r="BK214" i="10" s="1"/>
  <c r="D15" i="10" l="1"/>
  <c r="BC214" i="10" s="1"/>
  <c r="G11" i="26" l="1"/>
  <c r="H504" i="26" s="1"/>
  <c r="K11" i="26"/>
  <c r="L504" i="26" s="1"/>
  <c r="L11" i="26"/>
  <c r="M504" i="26" s="1"/>
  <c r="M11" i="26"/>
  <c r="N504" i="26" s="1"/>
  <c r="N11" i="26"/>
  <c r="O504" i="26" s="1"/>
  <c r="G12" i="26"/>
  <c r="H505" i="26" s="1"/>
  <c r="K12" i="26"/>
  <c r="L505" i="26" s="1"/>
  <c r="L12" i="26"/>
  <c r="M505" i="26" s="1"/>
  <c r="M12" i="26"/>
  <c r="N505" i="26" s="1"/>
  <c r="N12" i="26"/>
  <c r="O505" i="26" s="1"/>
  <c r="BJ211" i="26" l="1"/>
  <c r="BK211" i="26"/>
  <c r="BF211" i="26"/>
  <c r="BM211" i="26"/>
  <c r="BL211" i="26"/>
  <c r="BM210" i="26"/>
  <c r="BL210" i="26"/>
  <c r="BK210" i="26"/>
  <c r="BJ210" i="26"/>
  <c r="BF210" i="26"/>
  <c r="AT11" i="24"/>
  <c r="AU502" i="24" s="1"/>
  <c r="AT12" i="24"/>
  <c r="AU503" i="24" s="1"/>
  <c r="AT13" i="24"/>
  <c r="AU504" i="24" s="1"/>
  <c r="AT14" i="24"/>
  <c r="AU505" i="24" s="1"/>
  <c r="AT15" i="24"/>
  <c r="AU506" i="24" s="1"/>
  <c r="AT16" i="24"/>
  <c r="AU507" i="24" s="1"/>
  <c r="AT17" i="24"/>
  <c r="AU508" i="24" s="1"/>
  <c r="AT18" i="24"/>
  <c r="AU509" i="24" s="1"/>
  <c r="AT10" i="24"/>
  <c r="AU501" i="24" s="1"/>
  <c r="AS11" i="24"/>
  <c r="AT502" i="24" s="1"/>
  <c r="AS12" i="24"/>
  <c r="AT503" i="24" s="1"/>
  <c r="AS13" i="24"/>
  <c r="AT504" i="24" s="1"/>
  <c r="AS14" i="24"/>
  <c r="AT505" i="24" s="1"/>
  <c r="AS15" i="24"/>
  <c r="AT506" i="24" s="1"/>
  <c r="AS16" i="24"/>
  <c r="AT507" i="24" s="1"/>
  <c r="AS17" i="24"/>
  <c r="AT508" i="24" s="1"/>
  <c r="AS18" i="24"/>
  <c r="AT509" i="24" s="1"/>
  <c r="AS10" i="24"/>
  <c r="AT501" i="24" s="1"/>
  <c r="AR11" i="24"/>
  <c r="AS502" i="24" s="1"/>
  <c r="AR12" i="24"/>
  <c r="AS503" i="24" s="1"/>
  <c r="AR13" i="24"/>
  <c r="AS504" i="24" s="1"/>
  <c r="AR14" i="24"/>
  <c r="AS505" i="24" s="1"/>
  <c r="AR15" i="24"/>
  <c r="AS506" i="24" s="1"/>
  <c r="AR16" i="24"/>
  <c r="AS507" i="24" s="1"/>
  <c r="AR17" i="24"/>
  <c r="AS508" i="24" s="1"/>
  <c r="AR18" i="24"/>
  <c r="AS509" i="24" s="1"/>
  <c r="AR10" i="24"/>
  <c r="AS501" i="24" s="1"/>
  <c r="Z11" i="24"/>
  <c r="Z12" i="24"/>
  <c r="Z13" i="24"/>
  <c r="Z14" i="24"/>
  <c r="Z15" i="24"/>
  <c r="Z16" i="24"/>
  <c r="Z17" i="24"/>
  <c r="Z18" i="24"/>
  <c r="Z10" i="24"/>
  <c r="Y11" i="24"/>
  <c r="Y12" i="24"/>
  <c r="Y13" i="24"/>
  <c r="Y14" i="24"/>
  <c r="Y15" i="24"/>
  <c r="Y16" i="24"/>
  <c r="Y17" i="24"/>
  <c r="Y18" i="24"/>
  <c r="Y10" i="24"/>
  <c r="X11" i="24"/>
  <c r="X12" i="24"/>
  <c r="X13" i="24"/>
  <c r="X14" i="24"/>
  <c r="X15" i="24"/>
  <c r="X16" i="24"/>
  <c r="X17" i="24"/>
  <c r="X18" i="24"/>
  <c r="X10" i="24"/>
  <c r="Y509" i="24" l="1"/>
  <c r="AV18" i="24"/>
  <c r="CU217" i="24" s="1"/>
  <c r="Z509" i="24"/>
  <c r="AW18" i="24"/>
  <c r="CV217" i="24" s="1"/>
  <c r="AA509" i="24"/>
  <c r="AX18" i="24"/>
  <c r="CW217" i="24" s="1"/>
  <c r="AA508" i="24"/>
  <c r="AX17" i="24"/>
  <c r="CW216" i="24" s="1"/>
  <c r="Z508" i="24"/>
  <c r="AW17" i="24"/>
  <c r="CV216" i="24" s="1"/>
  <c r="Y508" i="24"/>
  <c r="AV17" i="24"/>
  <c r="CU216" i="24" s="1"/>
  <c r="AA507" i="24"/>
  <c r="AX16" i="24"/>
  <c r="CW215" i="24" s="1"/>
  <c r="Z507" i="24"/>
  <c r="AW16" i="24"/>
  <c r="CV215" i="24" s="1"/>
  <c r="Y507" i="24"/>
  <c r="AV16" i="24"/>
  <c r="CU215" i="24" s="1"/>
  <c r="Y506" i="24"/>
  <c r="AV15" i="24"/>
  <c r="CU214" i="24" s="1"/>
  <c r="Z506" i="24"/>
  <c r="AW15" i="24"/>
  <c r="CV214" i="24" s="1"/>
  <c r="AA506" i="24"/>
  <c r="AX15" i="24"/>
  <c r="CW214" i="24" s="1"/>
  <c r="AA505" i="24"/>
  <c r="AX14" i="24"/>
  <c r="CW213" i="24" s="1"/>
  <c r="Z505" i="24"/>
  <c r="AW14" i="24"/>
  <c r="CV213" i="24" s="1"/>
  <c r="Y505" i="24"/>
  <c r="AV14" i="24"/>
  <c r="CU213" i="24" s="1"/>
  <c r="Y504" i="24"/>
  <c r="AV13" i="24"/>
  <c r="CU212" i="24" s="1"/>
  <c r="Z504" i="24"/>
  <c r="AW13" i="24"/>
  <c r="CV212" i="24" s="1"/>
  <c r="AA504" i="24"/>
  <c r="AX13" i="24"/>
  <c r="CW212" i="24" s="1"/>
  <c r="AA503" i="24"/>
  <c r="AX12" i="24"/>
  <c r="CW211" i="24" s="1"/>
  <c r="Z503" i="24"/>
  <c r="AW12" i="24"/>
  <c r="CV211" i="24" s="1"/>
  <c r="Y503" i="24"/>
  <c r="AV12" i="24"/>
  <c r="CU211" i="24" s="1"/>
  <c r="Y502" i="24"/>
  <c r="AV11" i="24"/>
  <c r="CU210" i="24" s="1"/>
  <c r="AA501" i="24"/>
  <c r="AX10" i="24"/>
  <c r="CW209" i="24" s="1"/>
  <c r="Z501" i="24"/>
  <c r="AW10" i="24"/>
  <c r="CV209" i="24" s="1"/>
  <c r="Y501" i="24"/>
  <c r="AV10" i="24"/>
  <c r="CU209" i="24" s="1"/>
  <c r="AA502" i="24"/>
  <c r="AX11" i="24"/>
  <c r="CW210" i="24" s="1"/>
  <c r="Z502" i="24"/>
  <c r="AW11" i="24"/>
  <c r="CV210" i="24" s="1"/>
  <c r="AA14" i="24"/>
  <c r="BW211" i="24"/>
  <c r="CQ215" i="24"/>
  <c r="AA13" i="24"/>
  <c r="BY212" i="24"/>
  <c r="BY211" i="24"/>
  <c r="BY209" i="24"/>
  <c r="AA16" i="24"/>
  <c r="BW215" i="24"/>
  <c r="CS213" i="24"/>
  <c r="AU16" i="24"/>
  <c r="AV507" i="24" s="1"/>
  <c r="AA10" i="24"/>
  <c r="BW209" i="24"/>
  <c r="CR215" i="24"/>
  <c r="AA18" i="24"/>
  <c r="BW217" i="24"/>
  <c r="CQ213" i="24"/>
  <c r="AA15" i="24"/>
  <c r="BW214" i="24"/>
  <c r="AU10" i="24"/>
  <c r="AV501" i="24" s="1"/>
  <c r="CQ209" i="24"/>
  <c r="AU11" i="24"/>
  <c r="AV502" i="24" s="1"/>
  <c r="CQ210" i="24"/>
  <c r="CR211" i="24"/>
  <c r="CS212" i="24"/>
  <c r="BY213" i="24"/>
  <c r="CS217" i="24"/>
  <c r="CS216" i="24"/>
  <c r="BX209" i="24"/>
  <c r="CS215" i="24"/>
  <c r="AA17" i="24"/>
  <c r="BW216" i="24"/>
  <c r="BY210" i="24"/>
  <c r="AU14" i="24"/>
  <c r="AV505" i="24" s="1"/>
  <c r="CR213" i="24"/>
  <c r="BX216" i="24"/>
  <c r="AU12" i="24"/>
  <c r="AV503" i="24" s="1"/>
  <c r="CQ211" i="24"/>
  <c r="BX215" i="24"/>
  <c r="BW213" i="24"/>
  <c r="BX214" i="24"/>
  <c r="BY215" i="24"/>
  <c r="AU18" i="24"/>
  <c r="AV509" i="24" s="1"/>
  <c r="CQ217" i="24"/>
  <c r="CR209" i="24"/>
  <c r="CR210" i="24"/>
  <c r="CS211" i="24"/>
  <c r="BX212" i="24"/>
  <c r="CR216" i="24"/>
  <c r="AA12" i="24"/>
  <c r="BX211" i="24"/>
  <c r="CQ214" i="24"/>
  <c r="BX210" i="24"/>
  <c r="CR214" i="24"/>
  <c r="BX217" i="24"/>
  <c r="AU13" i="24"/>
  <c r="AV504" i="24" s="1"/>
  <c r="CQ212" i="24"/>
  <c r="AU15" i="24"/>
  <c r="AV506" i="24" s="1"/>
  <c r="CS214" i="24"/>
  <c r="BY217" i="24"/>
  <c r="CR212" i="24"/>
  <c r="BY216" i="24"/>
  <c r="BW212" i="24"/>
  <c r="BX213" i="24"/>
  <c r="BY214" i="24"/>
  <c r="AU17" i="24"/>
  <c r="AV508" i="24" s="1"/>
  <c r="CQ216" i="24"/>
  <c r="CR217" i="24"/>
  <c r="CS209" i="24"/>
  <c r="CS210" i="24"/>
  <c r="AA11" i="24"/>
  <c r="BW210" i="24"/>
  <c r="AT12" i="23"/>
  <c r="AU502" i="23" s="1"/>
  <c r="AT13" i="23"/>
  <c r="AU503" i="23" s="1"/>
  <c r="AT14" i="23"/>
  <c r="AU504" i="23" s="1"/>
  <c r="AT15" i="23"/>
  <c r="AU505" i="23" s="1"/>
  <c r="AT16" i="23"/>
  <c r="AU506" i="23" s="1"/>
  <c r="AT17" i="23"/>
  <c r="AU507" i="23" s="1"/>
  <c r="AT11" i="23"/>
  <c r="AS12" i="23"/>
  <c r="AS13" i="23"/>
  <c r="AT503" i="23" s="1"/>
  <c r="AS14" i="23"/>
  <c r="AT504" i="23" s="1"/>
  <c r="AS15" i="23"/>
  <c r="AT505" i="23" s="1"/>
  <c r="AS16" i="23"/>
  <c r="AT506" i="23" s="1"/>
  <c r="AS17" i="23"/>
  <c r="AT507" i="23" s="1"/>
  <c r="AS11" i="23"/>
  <c r="AT501" i="23" s="1"/>
  <c r="AR12" i="23"/>
  <c r="AR13" i="23"/>
  <c r="AS503" i="23" s="1"/>
  <c r="AR14" i="23"/>
  <c r="AS504" i="23" s="1"/>
  <c r="AR15" i="23"/>
  <c r="AS505" i="23" s="1"/>
  <c r="AR16" i="23"/>
  <c r="AS506" i="23" s="1"/>
  <c r="AR17" i="23"/>
  <c r="AS507" i="23" s="1"/>
  <c r="AR11" i="23"/>
  <c r="AS501" i="23" s="1"/>
  <c r="Z12" i="23"/>
  <c r="Z13" i="23"/>
  <c r="Z14" i="23"/>
  <c r="Z15" i="23"/>
  <c r="Z16" i="23"/>
  <c r="Z17" i="23"/>
  <c r="Z11" i="23"/>
  <c r="AA501" i="23" s="1"/>
  <c r="Y12" i="23"/>
  <c r="Z502" i="23" s="1"/>
  <c r="Y13" i="23"/>
  <c r="Y14" i="23"/>
  <c r="Y15" i="23"/>
  <c r="Y16" i="23"/>
  <c r="Y17" i="23"/>
  <c r="Y11" i="23"/>
  <c r="X12" i="23"/>
  <c r="Y502" i="23" s="1"/>
  <c r="X13" i="23"/>
  <c r="X14" i="23"/>
  <c r="X15" i="23"/>
  <c r="X16" i="23"/>
  <c r="X17" i="23"/>
  <c r="X11" i="23"/>
  <c r="AB15" i="20"/>
  <c r="AC508" i="20" s="1"/>
  <c r="AY14" i="24" l="1"/>
  <c r="CX213" i="24" s="1"/>
  <c r="AB509" i="24"/>
  <c r="AY18" i="24"/>
  <c r="CX217" i="24" s="1"/>
  <c r="AB508" i="24"/>
  <c r="AY17" i="24"/>
  <c r="CX216" i="24" s="1"/>
  <c r="AB507" i="24"/>
  <c r="AY16" i="24"/>
  <c r="CX215" i="24" s="1"/>
  <c r="AB506" i="24"/>
  <c r="AY15" i="24"/>
  <c r="CX214" i="24" s="1"/>
  <c r="AB504" i="24"/>
  <c r="AY13" i="24"/>
  <c r="CX212" i="24" s="1"/>
  <c r="AB503" i="24"/>
  <c r="AY12" i="24"/>
  <c r="CX211" i="24" s="1"/>
  <c r="AB501" i="24"/>
  <c r="AY10" i="24"/>
  <c r="CX209" i="24" s="1"/>
  <c r="AA507" i="23"/>
  <c r="AX17" i="23"/>
  <c r="CW216" i="23" s="1"/>
  <c r="Z507" i="23"/>
  <c r="AW17" i="23"/>
  <c r="CV216" i="23" s="1"/>
  <c r="AA506" i="23"/>
  <c r="AX16" i="23"/>
  <c r="CW215" i="23" s="1"/>
  <c r="Z506" i="23"/>
  <c r="AW16" i="23"/>
  <c r="CV215" i="23" s="1"/>
  <c r="AA505" i="23"/>
  <c r="AX15" i="23"/>
  <c r="CW214" i="23" s="1"/>
  <c r="Z505" i="23"/>
  <c r="AW15" i="23"/>
  <c r="CV214" i="23" s="1"/>
  <c r="AA504" i="23"/>
  <c r="AX14" i="23"/>
  <c r="CW213" i="23" s="1"/>
  <c r="Z504" i="23"/>
  <c r="AW14" i="23"/>
  <c r="CV213" i="23" s="1"/>
  <c r="AA503" i="23"/>
  <c r="AX13" i="23"/>
  <c r="CW212" i="23" s="1"/>
  <c r="Z503" i="23"/>
  <c r="AW13" i="23"/>
  <c r="CV212" i="23" s="1"/>
  <c r="Y507" i="23"/>
  <c r="AV17" i="23"/>
  <c r="CU216" i="23" s="1"/>
  <c r="Y506" i="23"/>
  <c r="AV16" i="23"/>
  <c r="CU215" i="23" s="1"/>
  <c r="Y505" i="23"/>
  <c r="AV15" i="23"/>
  <c r="CU214" i="23" s="1"/>
  <c r="Y504" i="23"/>
  <c r="AV14" i="23"/>
  <c r="CU213" i="23" s="1"/>
  <c r="Y503" i="23"/>
  <c r="AV13" i="23"/>
  <c r="CU212" i="23" s="1"/>
  <c r="AA502" i="23"/>
  <c r="AX12" i="23"/>
  <c r="CW211" i="23" s="1"/>
  <c r="AB502" i="24"/>
  <c r="AY11" i="24"/>
  <c r="CX210" i="24" s="1"/>
  <c r="AS502" i="23"/>
  <c r="AV12" i="23"/>
  <c r="CU211" i="23" s="1"/>
  <c r="AU501" i="23"/>
  <c r="AX11" i="23"/>
  <c r="CW210" i="23" s="1"/>
  <c r="Y501" i="23"/>
  <c r="AV11" i="23"/>
  <c r="CU210" i="23" s="1"/>
  <c r="Z501" i="23"/>
  <c r="AW11" i="23"/>
  <c r="CV210" i="23" s="1"/>
  <c r="AT502" i="23"/>
  <c r="AW12" i="23"/>
  <c r="CV211" i="23" s="1"/>
  <c r="AB505" i="24"/>
  <c r="BZ213" i="24"/>
  <c r="BZ211" i="24"/>
  <c r="CT210" i="24"/>
  <c r="BZ209" i="24"/>
  <c r="BZ212" i="24"/>
  <c r="BZ214" i="24"/>
  <c r="CT215" i="24"/>
  <c r="BZ215" i="24"/>
  <c r="BZ216" i="24"/>
  <c r="CT216" i="24"/>
  <c r="CT212" i="24"/>
  <c r="CT217" i="24"/>
  <c r="CT213" i="24"/>
  <c r="CT211" i="24"/>
  <c r="CT214" i="24"/>
  <c r="CT209" i="24"/>
  <c r="BZ217" i="24"/>
  <c r="CQ210" i="23"/>
  <c r="AS452" i="23"/>
  <c r="BY210" i="23"/>
  <c r="AA452" i="23"/>
  <c r="CQ215" i="23"/>
  <c r="AS457" i="23"/>
  <c r="CS213" i="23"/>
  <c r="AU455" i="23"/>
  <c r="BX211" i="23"/>
  <c r="Z453" i="23"/>
  <c r="BW211" i="23"/>
  <c r="Y453" i="23"/>
  <c r="CQ216" i="23"/>
  <c r="AS458" i="23"/>
  <c r="BX210" i="23"/>
  <c r="Z452" i="23"/>
  <c r="BX216" i="23"/>
  <c r="Z458" i="23"/>
  <c r="CS212" i="23"/>
  <c r="AU454" i="23"/>
  <c r="BY214" i="23"/>
  <c r="AA456" i="23"/>
  <c r="CR212" i="23"/>
  <c r="AT454" i="23"/>
  <c r="BX214" i="23"/>
  <c r="Z456" i="23"/>
  <c r="BY213" i="23"/>
  <c r="AA455" i="23"/>
  <c r="CQ212" i="23"/>
  <c r="AS454" i="23"/>
  <c r="CR211" i="23"/>
  <c r="AT453" i="23"/>
  <c r="BW212" i="23"/>
  <c r="Y454" i="23"/>
  <c r="CS215" i="23"/>
  <c r="AU457" i="23"/>
  <c r="CR215" i="23"/>
  <c r="AT457" i="23"/>
  <c r="BY216" i="23"/>
  <c r="AA458" i="23"/>
  <c r="BW210" i="23"/>
  <c r="Y452" i="23"/>
  <c r="CQ214" i="23"/>
  <c r="AS456" i="23"/>
  <c r="BX215" i="23"/>
  <c r="Z457" i="23"/>
  <c r="CS211" i="23"/>
  <c r="AU453" i="23"/>
  <c r="BX213" i="23"/>
  <c r="Z455" i="23"/>
  <c r="BY212" i="23"/>
  <c r="AA454" i="23"/>
  <c r="CQ211" i="23"/>
  <c r="AS453" i="23"/>
  <c r="CS210" i="23"/>
  <c r="AU452" i="23"/>
  <c r="CR216" i="23"/>
  <c r="AT458" i="23"/>
  <c r="CS214" i="23"/>
  <c r="AU456" i="23"/>
  <c r="CR214" i="23"/>
  <c r="AT456" i="23"/>
  <c r="BY215" i="23"/>
  <c r="AA457" i="23"/>
  <c r="CR213" i="23"/>
  <c r="AT455" i="23"/>
  <c r="BW216" i="23"/>
  <c r="Y458" i="23"/>
  <c r="CQ213" i="23"/>
  <c r="AS455" i="23"/>
  <c r="BW215" i="23"/>
  <c r="Y457" i="23"/>
  <c r="BW214" i="23"/>
  <c r="Y456" i="23"/>
  <c r="BW213" i="23"/>
  <c r="Y455" i="23"/>
  <c r="BY211" i="23"/>
  <c r="AA453" i="23"/>
  <c r="CR210" i="23"/>
  <c r="AT452" i="23"/>
  <c r="CS216" i="23"/>
  <c r="AU458" i="23"/>
  <c r="BZ210" i="24"/>
  <c r="BX212" i="23"/>
  <c r="Z454" i="23"/>
  <c r="CA214" i="20"/>
  <c r="AA12" i="23"/>
  <c r="AB502" i="23" s="1"/>
  <c r="AU16" i="23"/>
  <c r="AV506" i="23" s="1"/>
  <c r="AA13" i="23"/>
  <c r="AA11" i="23"/>
  <c r="AU17" i="23"/>
  <c r="AV507" i="23" s="1"/>
  <c r="AA17" i="23"/>
  <c r="AA16" i="23"/>
  <c r="AU15" i="23"/>
  <c r="AV505" i="23" s="1"/>
  <c r="AA15" i="23"/>
  <c r="AA14" i="23"/>
  <c r="AU13" i="23"/>
  <c r="AV503" i="23" s="1"/>
  <c r="AU12" i="23"/>
  <c r="AU11" i="23"/>
  <c r="AV501" i="23" s="1"/>
  <c r="AU14" i="23"/>
  <c r="AV504" i="23" s="1"/>
  <c r="X18" i="23"/>
  <c r="O19" i="22"/>
  <c r="P19" i="22"/>
  <c r="Q19" i="22"/>
  <c r="J19" i="22"/>
  <c r="K19" i="22"/>
  <c r="L19" i="22"/>
  <c r="E19" i="22"/>
  <c r="F19" i="22"/>
  <c r="G19" i="22"/>
  <c r="O10" i="22"/>
  <c r="P10" i="22"/>
  <c r="Q10" i="22"/>
  <c r="J10" i="22"/>
  <c r="K10" i="22"/>
  <c r="L10" i="22"/>
  <c r="E10" i="22"/>
  <c r="F10" i="22"/>
  <c r="G10" i="22"/>
  <c r="AB507" i="23" l="1"/>
  <c r="AY17" i="23"/>
  <c r="CX216" i="23" s="1"/>
  <c r="AB506" i="23"/>
  <c r="AY16" i="23"/>
  <c r="CX215" i="23" s="1"/>
  <c r="AB505" i="23"/>
  <c r="AY15" i="23"/>
  <c r="CX214" i="23" s="1"/>
  <c r="AB504" i="23"/>
  <c r="AY14" i="23"/>
  <c r="CX213" i="23" s="1"/>
  <c r="AB503" i="23"/>
  <c r="AY13" i="23"/>
  <c r="CX212" i="23" s="1"/>
  <c r="AB501" i="23"/>
  <c r="AY11" i="23"/>
  <c r="CX210" i="23" s="1"/>
  <c r="AV502" i="23"/>
  <c r="AY12" i="23"/>
  <c r="CX211" i="23" s="1"/>
  <c r="Q32" i="22"/>
  <c r="BP231" i="22" s="1"/>
  <c r="R502" i="22"/>
  <c r="O32" i="22"/>
  <c r="BN231" i="22" s="1"/>
  <c r="P502" i="22"/>
  <c r="P32" i="22"/>
  <c r="BO231" i="22" s="1"/>
  <c r="Q502" i="22"/>
  <c r="L32" i="22"/>
  <c r="BK231" i="22" s="1"/>
  <c r="M502" i="22"/>
  <c r="J29" i="22"/>
  <c r="J34" i="22" s="1"/>
  <c r="BI233" i="22" s="1"/>
  <c r="J32" i="22"/>
  <c r="BI231" i="22" s="1"/>
  <c r="K502" i="22"/>
  <c r="K32" i="22"/>
  <c r="BJ231" i="22" s="1"/>
  <c r="L502" i="22"/>
  <c r="G32" i="22"/>
  <c r="BF231" i="22" s="1"/>
  <c r="H502" i="22"/>
  <c r="F32" i="22"/>
  <c r="BE231" i="22" s="1"/>
  <c r="G502" i="22"/>
  <c r="E32" i="22"/>
  <c r="BD231" i="22" s="1"/>
  <c r="F502" i="22"/>
  <c r="Q33" i="22"/>
  <c r="BP232" i="22" s="1"/>
  <c r="R511" i="22"/>
  <c r="P33" i="22"/>
  <c r="BO232" i="22" s="1"/>
  <c r="Q511" i="22"/>
  <c r="O33" i="22"/>
  <c r="BN232" i="22" s="1"/>
  <c r="P511" i="22"/>
  <c r="L33" i="22"/>
  <c r="BK232" i="22" s="1"/>
  <c r="M511" i="22"/>
  <c r="K33" i="22"/>
  <c r="BJ232" i="22" s="1"/>
  <c r="L511" i="22"/>
  <c r="J33" i="22"/>
  <c r="BI232" i="22" s="1"/>
  <c r="K511" i="22"/>
  <c r="G33" i="22"/>
  <c r="BF232" i="22" s="1"/>
  <c r="H511" i="22"/>
  <c r="F33" i="22"/>
  <c r="BE232" i="22" s="1"/>
  <c r="G511" i="22"/>
  <c r="E33" i="22"/>
  <c r="BD232" i="22" s="1"/>
  <c r="F511" i="22"/>
  <c r="X20" i="23"/>
  <c r="BW219" i="23" s="1"/>
  <c r="X19" i="23"/>
  <c r="BW218" i="23" s="1"/>
  <c r="X21" i="24"/>
  <c r="BW220" i="24" s="1"/>
  <c r="Y508" i="23"/>
  <c r="X23" i="23"/>
  <c r="BW222" i="23" s="1"/>
  <c r="BJ218" i="22"/>
  <c r="BP218" i="22"/>
  <c r="BD218" i="22"/>
  <c r="BJ209" i="22"/>
  <c r="BI209" i="22"/>
  <c r="BI218" i="22"/>
  <c r="BO209" i="22"/>
  <c r="BN209" i="22"/>
  <c r="BO218" i="22"/>
  <c r="BE218" i="22"/>
  <c r="BK209" i="22"/>
  <c r="BK218" i="22"/>
  <c r="BP209" i="22"/>
  <c r="BF209" i="22"/>
  <c r="BE209" i="22"/>
  <c r="BN218" i="22"/>
  <c r="Y459" i="23"/>
  <c r="CT214" i="23"/>
  <c r="AV456" i="23"/>
  <c r="BZ215" i="23"/>
  <c r="AB457" i="23"/>
  <c r="CT213" i="23"/>
  <c r="AV455" i="23"/>
  <c r="BZ216" i="23"/>
  <c r="AB458" i="23"/>
  <c r="CT212" i="23"/>
  <c r="AV454" i="23"/>
  <c r="CT216" i="23"/>
  <c r="AV458" i="23"/>
  <c r="BZ210" i="23"/>
  <c r="AB452" i="23"/>
  <c r="BZ213" i="23"/>
  <c r="AB455" i="23"/>
  <c r="CT215" i="23"/>
  <c r="AV457" i="23"/>
  <c r="CT210" i="23"/>
  <c r="AV452" i="23"/>
  <c r="CT211" i="23"/>
  <c r="AV453" i="23"/>
  <c r="BZ214" i="23"/>
  <c r="AB456" i="23"/>
  <c r="BZ211" i="23"/>
  <c r="AB453" i="23"/>
  <c r="BZ212" i="23"/>
  <c r="AB454" i="23"/>
  <c r="BF218" i="22"/>
  <c r="BD209" i="22"/>
  <c r="BW217" i="23"/>
  <c r="G13" i="31"/>
  <c r="B1" i="31"/>
  <c r="A1" i="33" s="1"/>
  <c r="BA200" i="33" s="1"/>
  <c r="G24" i="31"/>
  <c r="H16" i="31"/>
  <c r="H14" i="31"/>
  <c r="A514" i="1" l="1"/>
  <c r="A516" i="1"/>
  <c r="A510" i="1"/>
  <c r="A512" i="1"/>
  <c r="A508" i="1"/>
  <c r="A502" i="1"/>
  <c r="A504" i="1"/>
  <c r="A505" i="1"/>
  <c r="A509" i="1"/>
  <c r="A517" i="1"/>
  <c r="A507" i="1"/>
  <c r="A506" i="1"/>
  <c r="A515" i="1"/>
  <c r="A513" i="1"/>
  <c r="A501" i="1"/>
  <c r="A511" i="1"/>
  <c r="A503" i="1"/>
  <c r="B511" i="1"/>
  <c r="B503" i="1"/>
  <c r="B516" i="1"/>
  <c r="B508" i="1"/>
  <c r="B513" i="1"/>
  <c r="B505" i="1"/>
  <c r="B510" i="1"/>
  <c r="B502" i="1"/>
  <c r="B506" i="1"/>
  <c r="B515" i="1"/>
  <c r="B507" i="1"/>
  <c r="B512" i="1"/>
  <c r="B504" i="1"/>
  <c r="B517" i="1"/>
  <c r="B509" i="1"/>
  <c r="B501" i="1"/>
  <c r="B514" i="1"/>
  <c r="A505" i="17"/>
  <c r="A513" i="17"/>
  <c r="A519" i="17"/>
  <c r="A521" i="17"/>
  <c r="A523" i="17"/>
  <c r="A504" i="16"/>
  <c r="A506" i="16"/>
  <c r="A506" i="17"/>
  <c r="A514" i="17"/>
  <c r="A524" i="17"/>
  <c r="A503" i="16"/>
  <c r="A507" i="17"/>
  <c r="A515" i="17"/>
  <c r="A518" i="17"/>
  <c r="A525" i="17"/>
  <c r="A502" i="16"/>
  <c r="A508" i="17"/>
  <c r="A516" i="17"/>
  <c r="A505" i="16"/>
  <c r="A509" i="17"/>
  <c r="A517" i="17"/>
  <c r="A507" i="16"/>
  <c r="A502" i="17"/>
  <c r="A510" i="17"/>
  <c r="A503" i="17"/>
  <c r="A511" i="17"/>
  <c r="A504" i="17"/>
  <c r="A512" i="17"/>
  <c r="A520" i="17"/>
  <c r="A522" i="17"/>
  <c r="A503" i="5"/>
  <c r="A517" i="5"/>
  <c r="A506" i="28"/>
  <c r="A510" i="28"/>
  <c r="A517" i="28"/>
  <c r="A521" i="28"/>
  <c r="A508" i="19"/>
  <c r="A516" i="19"/>
  <c r="A524" i="19"/>
  <c r="A510" i="5"/>
  <c r="A512" i="5"/>
  <c r="A514" i="5"/>
  <c r="A503" i="28"/>
  <c r="A509" i="19"/>
  <c r="A517" i="19"/>
  <c r="A525" i="19"/>
  <c r="A518" i="19"/>
  <c r="A505" i="5"/>
  <c r="A507" i="5"/>
  <c r="A519" i="5"/>
  <c r="A507" i="28"/>
  <c r="A514" i="28"/>
  <c r="A518" i="28"/>
  <c r="A502" i="19"/>
  <c r="A510" i="19"/>
  <c r="A502" i="5"/>
  <c r="A516" i="5"/>
  <c r="A504" i="28"/>
  <c r="A511" i="28"/>
  <c r="A503" i="19"/>
  <c r="A511" i="19"/>
  <c r="A519" i="19"/>
  <c r="A522" i="19"/>
  <c r="A509" i="5"/>
  <c r="A511" i="5"/>
  <c r="A521" i="5"/>
  <c r="A508" i="28"/>
  <c r="A515" i="28"/>
  <c r="A519" i="28"/>
  <c r="A504" i="19"/>
  <c r="A512" i="19"/>
  <c r="A520" i="19"/>
  <c r="A526" i="19"/>
  <c r="A527" i="19"/>
  <c r="A504" i="5"/>
  <c r="A506" i="5"/>
  <c r="A518" i="5"/>
  <c r="A505" i="28"/>
  <c r="A512" i="28"/>
  <c r="A505" i="19"/>
  <c r="A513" i="19"/>
  <c r="A521" i="19"/>
  <c r="A528" i="19"/>
  <c r="A513" i="5"/>
  <c r="A515" i="5"/>
  <c r="A509" i="28"/>
  <c r="A516" i="28"/>
  <c r="A520" i="28"/>
  <c r="A506" i="19"/>
  <c r="A514" i="19"/>
  <c r="A508" i="5"/>
  <c r="A520" i="5"/>
  <c r="A502" i="28"/>
  <c r="A513" i="28"/>
  <c r="A507" i="19"/>
  <c r="A515" i="19"/>
  <c r="A523" i="19"/>
  <c r="A529" i="19"/>
  <c r="A508" i="33"/>
  <c r="A513" i="33"/>
  <c r="A510" i="33"/>
  <c r="A505" i="33"/>
  <c r="A502" i="33"/>
  <c r="A507" i="33"/>
  <c r="A514" i="33"/>
  <c r="A504" i="33"/>
  <c r="A512" i="33"/>
  <c r="A506" i="33"/>
  <c r="A509" i="33"/>
  <c r="A503" i="33"/>
  <c r="A511" i="33"/>
  <c r="B502" i="17"/>
  <c r="B506" i="17"/>
  <c r="B510" i="17"/>
  <c r="B514" i="17"/>
  <c r="B518" i="17"/>
  <c r="B522" i="17"/>
  <c r="B503" i="17"/>
  <c r="B507" i="17"/>
  <c r="B511" i="17"/>
  <c r="B515" i="17"/>
  <c r="B519" i="17"/>
  <c r="B523" i="17"/>
  <c r="B504" i="17"/>
  <c r="B508" i="17"/>
  <c r="B512" i="17"/>
  <c r="B516" i="17"/>
  <c r="B520" i="17"/>
  <c r="B524" i="17"/>
  <c r="B505" i="17"/>
  <c r="B509" i="17"/>
  <c r="B513" i="17"/>
  <c r="B517" i="17"/>
  <c r="B521" i="17"/>
  <c r="B525" i="17"/>
  <c r="B506" i="16"/>
  <c r="B504" i="16"/>
  <c r="B503" i="16"/>
  <c r="B505" i="16"/>
  <c r="B507" i="16"/>
  <c r="B502" i="16"/>
  <c r="B502" i="5"/>
  <c r="B506" i="5"/>
  <c r="B510" i="5"/>
  <c r="B514" i="5"/>
  <c r="B518" i="5"/>
  <c r="B503" i="5"/>
  <c r="B507" i="5"/>
  <c r="B511" i="5"/>
  <c r="B515" i="5"/>
  <c r="B519" i="5"/>
  <c r="B504" i="5"/>
  <c r="B508" i="5"/>
  <c r="B512" i="5"/>
  <c r="B516" i="5"/>
  <c r="B520" i="5"/>
  <c r="B505" i="5"/>
  <c r="B509" i="5"/>
  <c r="B513" i="5"/>
  <c r="B517" i="5"/>
  <c r="B521" i="5"/>
  <c r="B505" i="28"/>
  <c r="B513" i="28"/>
  <c r="B521" i="28"/>
  <c r="B502" i="28"/>
  <c r="B510" i="28"/>
  <c r="B518" i="28"/>
  <c r="B507" i="28"/>
  <c r="B515" i="28"/>
  <c r="B504" i="28"/>
  <c r="B512" i="28"/>
  <c r="B520" i="28"/>
  <c r="B509" i="28"/>
  <c r="B517" i="28"/>
  <c r="B506" i="28"/>
  <c r="B514" i="28"/>
  <c r="B503" i="28"/>
  <c r="B511" i="28"/>
  <c r="B519" i="28"/>
  <c r="B508" i="28"/>
  <c r="B516" i="28"/>
  <c r="B522" i="19"/>
  <c r="B528" i="19"/>
  <c r="B502" i="19"/>
  <c r="B506" i="19"/>
  <c r="B510" i="19"/>
  <c r="B514" i="19"/>
  <c r="B518" i="19"/>
  <c r="B503" i="19"/>
  <c r="B507" i="19"/>
  <c r="B511" i="19"/>
  <c r="B515" i="19"/>
  <c r="B519" i="19"/>
  <c r="B523" i="19"/>
  <c r="B529" i="19"/>
  <c r="B526" i="19"/>
  <c r="B524" i="19"/>
  <c r="B504" i="19"/>
  <c r="B508" i="19"/>
  <c r="B512" i="19"/>
  <c r="B516" i="19"/>
  <c r="B520" i="19"/>
  <c r="B505" i="19"/>
  <c r="B509" i="19"/>
  <c r="B513" i="19"/>
  <c r="B517" i="19"/>
  <c r="B521" i="19"/>
  <c r="B525" i="19"/>
  <c r="B527" i="19"/>
  <c r="B502" i="33"/>
  <c r="B506" i="33"/>
  <c r="B510" i="33"/>
  <c r="B514" i="33"/>
  <c r="B503" i="33"/>
  <c r="B507" i="33"/>
  <c r="B511" i="33"/>
  <c r="B504" i="33"/>
  <c r="B508" i="33"/>
  <c r="B512" i="33"/>
  <c r="B505" i="33"/>
  <c r="B509" i="33"/>
  <c r="B513" i="33"/>
  <c r="B501" i="33"/>
  <c r="A501" i="33"/>
  <c r="J35" i="22"/>
  <c r="BI234" i="22" s="1"/>
  <c r="K521" i="22"/>
  <c r="A509" i="26"/>
  <c r="A504" i="26"/>
  <c r="A505" i="22"/>
  <c r="A513" i="22"/>
  <c r="A521" i="22"/>
  <c r="A502" i="21"/>
  <c r="A510" i="21"/>
  <c r="A503" i="20"/>
  <c r="A502" i="25"/>
  <c r="A510" i="25"/>
  <c r="A501" i="25"/>
  <c r="A505" i="25"/>
  <c r="A514" i="25"/>
  <c r="A502" i="22"/>
  <c r="A508" i="20"/>
  <c r="A515" i="25"/>
  <c r="A508" i="21"/>
  <c r="A508" i="26"/>
  <c r="A504" i="22"/>
  <c r="A510" i="20"/>
  <c r="A517" i="25"/>
  <c r="A510" i="26"/>
  <c r="A506" i="22"/>
  <c r="A514" i="22"/>
  <c r="A503" i="21"/>
  <c r="A511" i="21"/>
  <c r="A504" i="20"/>
  <c r="A501" i="19"/>
  <c r="A503" i="25"/>
  <c r="A511" i="25"/>
  <c r="A512" i="25"/>
  <c r="A513" i="25"/>
  <c r="A505" i="26"/>
  <c r="A517" i="22"/>
  <c r="A506" i="21"/>
  <c r="A501" i="20"/>
  <c r="A506" i="26"/>
  <c r="A510" i="22"/>
  <c r="A507" i="25"/>
  <c r="A511" i="22"/>
  <c r="A508" i="25"/>
  <c r="A509" i="21"/>
  <c r="A502" i="20"/>
  <c r="A507" i="22"/>
  <c r="A515" i="22"/>
  <c r="A504" i="21"/>
  <c r="A512" i="21"/>
  <c r="A505" i="20"/>
  <c r="A504" i="25"/>
  <c r="A501" i="26"/>
  <c r="A509" i="22"/>
  <c r="A506" i="25"/>
  <c r="A518" i="22"/>
  <c r="A519" i="22"/>
  <c r="A509" i="20"/>
  <c r="A516" i="25"/>
  <c r="A512" i="22"/>
  <c r="A508" i="22"/>
  <c r="A516" i="22"/>
  <c r="A501" i="22"/>
  <c r="A505" i="21"/>
  <c r="A513" i="21"/>
  <c r="A506" i="20"/>
  <c r="A507" i="20"/>
  <c r="A507" i="21"/>
  <c r="A501" i="21"/>
  <c r="A507" i="26"/>
  <c r="A503" i="22"/>
  <c r="A520" i="22"/>
  <c r="A509" i="25"/>
  <c r="A509" i="24"/>
  <c r="A510" i="23"/>
  <c r="A502" i="23"/>
  <c r="A501" i="23"/>
  <c r="A508" i="18"/>
  <c r="A516" i="18"/>
  <c r="A524" i="18"/>
  <c r="A501" i="18"/>
  <c r="A510" i="10"/>
  <c r="A504" i="10"/>
  <c r="A503" i="15"/>
  <c r="A508" i="14"/>
  <c r="A508" i="3"/>
  <c r="A501" i="3"/>
  <c r="A509" i="12"/>
  <c r="A501" i="12"/>
  <c r="A489" i="1"/>
  <c r="A497" i="1"/>
  <c r="A490" i="1"/>
  <c r="A486" i="1"/>
  <c r="A506" i="23"/>
  <c r="A520" i="18"/>
  <c r="A501" i="14"/>
  <c r="A504" i="12"/>
  <c r="A501" i="11"/>
  <c r="A529" i="18"/>
  <c r="A508" i="15"/>
  <c r="A513" i="3"/>
  <c r="A505" i="12"/>
  <c r="A494" i="1"/>
  <c r="A514" i="18"/>
  <c r="A508" i="10"/>
  <c r="A506" i="12"/>
  <c r="A508" i="24"/>
  <c r="A531" i="18"/>
  <c r="A503" i="10"/>
  <c r="A507" i="3"/>
  <c r="A481" i="1"/>
  <c r="A502" i="24"/>
  <c r="A510" i="24"/>
  <c r="A511" i="23"/>
  <c r="A503" i="23"/>
  <c r="A501" i="17"/>
  <c r="A509" i="18"/>
  <c r="A517" i="18"/>
  <c r="A525" i="18"/>
  <c r="A511" i="10"/>
  <c r="A505" i="10"/>
  <c r="A504" i="15"/>
  <c r="A501" i="15"/>
  <c r="A509" i="14"/>
  <c r="A509" i="3"/>
  <c r="A510" i="12"/>
  <c r="A482" i="1"/>
  <c r="A484" i="1"/>
  <c r="A485" i="1"/>
  <c r="A491" i="1"/>
  <c r="A492" i="1"/>
  <c r="A528" i="18"/>
  <c r="A507" i="15"/>
  <c r="A504" i="3"/>
  <c r="A513" i="12"/>
  <c r="A504" i="11"/>
  <c r="A493" i="1"/>
  <c r="A505" i="18"/>
  <c r="A505" i="14"/>
  <c r="A514" i="12"/>
  <c r="A483" i="1"/>
  <c r="A506" i="18"/>
  <c r="A509" i="15"/>
  <c r="A506" i="14"/>
  <c r="A509" i="23"/>
  <c r="A515" i="18"/>
  <c r="A516" i="12"/>
  <c r="A507" i="12"/>
  <c r="A503" i="24"/>
  <c r="A512" i="23"/>
  <c r="A504" i="23"/>
  <c r="A502" i="18"/>
  <c r="A510" i="18"/>
  <c r="A518" i="18"/>
  <c r="A526" i="18"/>
  <c r="A501" i="16"/>
  <c r="A512" i="10"/>
  <c r="A506" i="10"/>
  <c r="A501" i="10"/>
  <c r="A505" i="15"/>
  <c r="A502" i="14"/>
  <c r="A510" i="14"/>
  <c r="A502" i="3"/>
  <c r="A510" i="3"/>
  <c r="A511" i="12"/>
  <c r="A502" i="12"/>
  <c r="A502" i="11"/>
  <c r="A487" i="1"/>
  <c r="A505" i="24"/>
  <c r="A504" i="18"/>
  <c r="A512" i="14"/>
  <c r="A512" i="3"/>
  <c r="A488" i="1"/>
  <c r="A506" i="24"/>
  <c r="A507" i="23"/>
  <c r="A513" i="18"/>
  <c r="A507" i="10"/>
  <c r="A505" i="3"/>
  <c r="A505" i="11"/>
  <c r="A508" i="23"/>
  <c r="A522" i="18"/>
  <c r="A502" i="10"/>
  <c r="A514" i="3"/>
  <c r="A515" i="12"/>
  <c r="A495" i="1"/>
  <c r="A507" i="18"/>
  <c r="A502" i="15"/>
  <c r="A508" i="12"/>
  <c r="A504" i="24"/>
  <c r="A513" i="23"/>
  <c r="A505" i="23"/>
  <c r="A503" i="18"/>
  <c r="A511" i="18"/>
  <c r="A519" i="18"/>
  <c r="A527" i="18"/>
  <c r="A506" i="15"/>
  <c r="A503" i="14"/>
  <c r="A511" i="14"/>
  <c r="A503" i="3"/>
  <c r="A511" i="3"/>
  <c r="A512" i="12"/>
  <c r="A503" i="12"/>
  <c r="A503" i="11"/>
  <c r="A512" i="18"/>
  <c r="A504" i="14"/>
  <c r="A501" i="24"/>
  <c r="A521" i="18"/>
  <c r="A513" i="14"/>
  <c r="A507" i="24"/>
  <c r="A530" i="18"/>
  <c r="A506" i="3"/>
  <c r="A523" i="18"/>
  <c r="A509" i="10"/>
  <c r="A507" i="14"/>
  <c r="A515" i="3"/>
  <c r="A496" i="1"/>
  <c r="A501" i="5"/>
  <c r="A505" i="6"/>
  <c r="A513" i="6"/>
  <c r="A521" i="6"/>
  <c r="A529" i="6"/>
  <c r="A537" i="6"/>
  <c r="A504" i="29"/>
  <c r="A512" i="29"/>
  <c r="A508" i="8"/>
  <c r="A516" i="8"/>
  <c r="A524" i="8"/>
  <c r="A532" i="8"/>
  <c r="A540" i="8"/>
  <c r="A509" i="6"/>
  <c r="A504" i="8"/>
  <c r="A536" i="8"/>
  <c r="A518" i="6"/>
  <c r="A542" i="6"/>
  <c r="A509" i="29"/>
  <c r="A529" i="8"/>
  <c r="A527" i="6"/>
  <c r="A510" i="29"/>
  <c r="A514" i="8"/>
  <c r="A538" i="8"/>
  <c r="A504" i="6"/>
  <c r="A536" i="6"/>
  <c r="A511" i="29"/>
  <c r="A515" i="8"/>
  <c r="A539" i="8"/>
  <c r="A506" i="6"/>
  <c r="A514" i="6"/>
  <c r="A522" i="6"/>
  <c r="A530" i="6"/>
  <c r="A538" i="6"/>
  <c r="A505" i="29"/>
  <c r="A513" i="29"/>
  <c r="A509" i="8"/>
  <c r="A517" i="8"/>
  <c r="A525" i="8"/>
  <c r="A533" i="8"/>
  <c r="A541" i="8"/>
  <c r="A533" i="6"/>
  <c r="A508" i="29"/>
  <c r="A520" i="8"/>
  <c r="A510" i="6"/>
  <c r="A501" i="6"/>
  <c r="A505" i="8"/>
  <c r="A537" i="8"/>
  <c r="A503" i="6"/>
  <c r="A535" i="6"/>
  <c r="A522" i="8"/>
  <c r="A520" i="6"/>
  <c r="A531" i="8"/>
  <c r="A507" i="6"/>
  <c r="A515" i="6"/>
  <c r="A523" i="6"/>
  <c r="A531" i="6"/>
  <c r="A539" i="6"/>
  <c r="A506" i="29"/>
  <c r="A514" i="29"/>
  <c r="A501" i="29"/>
  <c r="A502" i="8"/>
  <c r="A510" i="8"/>
  <c r="A518" i="8"/>
  <c r="A526" i="8"/>
  <c r="A534" i="8"/>
  <c r="A542" i="8"/>
  <c r="A501" i="8"/>
  <c r="A517" i="6"/>
  <c r="A541" i="6"/>
  <c r="A512" i="8"/>
  <c r="A544" i="8"/>
  <c r="A502" i="6"/>
  <c r="A534" i="6"/>
  <c r="A513" i="8"/>
  <c r="A511" i="6"/>
  <c r="A543" i="6"/>
  <c r="A530" i="8"/>
  <c r="A501" i="28"/>
  <c r="A528" i="6"/>
  <c r="A503" i="29"/>
  <c r="A523" i="8"/>
  <c r="A508" i="6"/>
  <c r="A516" i="6"/>
  <c r="A524" i="6"/>
  <c r="A532" i="6"/>
  <c r="A540" i="6"/>
  <c r="A507" i="29"/>
  <c r="A503" i="8"/>
  <c r="A511" i="8"/>
  <c r="A519" i="8"/>
  <c r="A527" i="8"/>
  <c r="A535" i="8"/>
  <c r="A543" i="8"/>
  <c r="A525" i="6"/>
  <c r="A528" i="8"/>
  <c r="A526" i="6"/>
  <c r="A521" i="8"/>
  <c r="A519" i="6"/>
  <c r="A502" i="29"/>
  <c r="A506" i="8"/>
  <c r="A512" i="6"/>
  <c r="A544" i="6"/>
  <c r="A507" i="8"/>
  <c r="B505" i="26"/>
  <c r="B509" i="26"/>
  <c r="B506" i="26"/>
  <c r="B510" i="26"/>
  <c r="B507" i="26"/>
  <c r="B508" i="26"/>
  <c r="B504" i="26"/>
  <c r="B501" i="26"/>
  <c r="B516" i="22"/>
  <c r="B513" i="22"/>
  <c r="B502" i="22"/>
  <c r="B506" i="22"/>
  <c r="B510" i="22"/>
  <c r="B514" i="22"/>
  <c r="B518" i="22"/>
  <c r="B508" i="22"/>
  <c r="B517" i="22"/>
  <c r="B520" i="22"/>
  <c r="B509" i="22"/>
  <c r="B503" i="22"/>
  <c r="B507" i="22"/>
  <c r="B511" i="22"/>
  <c r="B515" i="22"/>
  <c r="B519" i="22"/>
  <c r="B504" i="22"/>
  <c r="B512" i="22"/>
  <c r="B505" i="22"/>
  <c r="B521" i="22"/>
  <c r="B501" i="22"/>
  <c r="B508" i="21"/>
  <c r="B502" i="21"/>
  <c r="B506" i="21"/>
  <c r="B510" i="21"/>
  <c r="B512" i="21"/>
  <c r="B513" i="21"/>
  <c r="B511" i="21"/>
  <c r="B504" i="21"/>
  <c r="B505" i="21"/>
  <c r="B503" i="21"/>
  <c r="B507" i="21"/>
  <c r="B509" i="21"/>
  <c r="B501" i="21"/>
  <c r="B508" i="20"/>
  <c r="B502" i="20"/>
  <c r="B506" i="20"/>
  <c r="B510" i="20"/>
  <c r="B507" i="20"/>
  <c r="B504" i="20"/>
  <c r="B505" i="20"/>
  <c r="B503" i="20"/>
  <c r="B509" i="20"/>
  <c r="B501" i="20"/>
  <c r="B501" i="19"/>
  <c r="B502" i="25"/>
  <c r="B510" i="25"/>
  <c r="B503" i="25"/>
  <c r="B507" i="25"/>
  <c r="B511" i="25"/>
  <c r="B515" i="25"/>
  <c r="B504" i="25"/>
  <c r="B508" i="25"/>
  <c r="B512" i="25"/>
  <c r="B516" i="25"/>
  <c r="B505" i="25"/>
  <c r="B509" i="25"/>
  <c r="B513" i="25"/>
  <c r="B517" i="25"/>
  <c r="B506" i="25"/>
  <c r="B514" i="25"/>
  <c r="B501" i="25"/>
  <c r="B502" i="24"/>
  <c r="B506" i="24"/>
  <c r="B510" i="24"/>
  <c r="B503" i="24"/>
  <c r="B507" i="24"/>
  <c r="B504" i="24"/>
  <c r="B508" i="24"/>
  <c r="B505" i="24"/>
  <c r="B509" i="24"/>
  <c r="B501" i="24"/>
  <c r="B509" i="23"/>
  <c r="B513" i="23"/>
  <c r="B510" i="23"/>
  <c r="B511" i="23"/>
  <c r="B512" i="23"/>
  <c r="B502" i="23"/>
  <c r="B506" i="23"/>
  <c r="B503" i="23"/>
  <c r="B507" i="23"/>
  <c r="B504" i="23"/>
  <c r="B508" i="23"/>
  <c r="B505" i="23"/>
  <c r="B501" i="23"/>
  <c r="B501" i="17"/>
  <c r="B502" i="18"/>
  <c r="B506" i="18"/>
  <c r="B510" i="18"/>
  <c r="B514" i="18"/>
  <c r="B522" i="18"/>
  <c r="B526" i="18"/>
  <c r="B530" i="18"/>
  <c r="B503" i="18"/>
  <c r="B507" i="18"/>
  <c r="B511" i="18"/>
  <c r="B515" i="18"/>
  <c r="B519" i="18"/>
  <c r="B523" i="18"/>
  <c r="B527" i="18"/>
  <c r="B531" i="18"/>
  <c r="B504" i="18"/>
  <c r="B508" i="18"/>
  <c r="B512" i="18"/>
  <c r="B516" i="18"/>
  <c r="B520" i="18"/>
  <c r="B524" i="18"/>
  <c r="B528" i="18"/>
  <c r="B505" i="18"/>
  <c r="B509" i="18"/>
  <c r="B513" i="18"/>
  <c r="B517" i="18"/>
  <c r="B521" i="18"/>
  <c r="B525" i="18"/>
  <c r="B529" i="18"/>
  <c r="B518" i="18"/>
  <c r="B501" i="18"/>
  <c r="B501" i="16"/>
  <c r="B511" i="10"/>
  <c r="B508" i="10"/>
  <c r="B512" i="10"/>
  <c r="B509" i="10"/>
  <c r="B510" i="10"/>
  <c r="B507" i="10"/>
  <c r="B502" i="10"/>
  <c r="B506" i="10"/>
  <c r="B503" i="10"/>
  <c r="B505" i="10"/>
  <c r="B504" i="10"/>
  <c r="B501" i="10"/>
  <c r="B502" i="15"/>
  <c r="B503" i="15"/>
  <c r="B507" i="15"/>
  <c r="B504" i="15"/>
  <c r="B508" i="15"/>
  <c r="B505" i="15"/>
  <c r="B509" i="15"/>
  <c r="B506" i="15"/>
  <c r="B501" i="15"/>
  <c r="B502" i="14"/>
  <c r="B506" i="14"/>
  <c r="B510" i="14"/>
  <c r="B511" i="14"/>
  <c r="B503" i="14"/>
  <c r="B507" i="14"/>
  <c r="B508" i="14"/>
  <c r="B504" i="14"/>
  <c r="B505" i="14"/>
  <c r="B509" i="14"/>
  <c r="B513" i="14"/>
  <c r="B512" i="14"/>
  <c r="B501" i="14"/>
  <c r="B506" i="3"/>
  <c r="B503" i="3"/>
  <c r="B507" i="3"/>
  <c r="B511" i="3"/>
  <c r="B515" i="3"/>
  <c r="B504" i="3"/>
  <c r="B508" i="3"/>
  <c r="B512" i="3"/>
  <c r="B505" i="3"/>
  <c r="B509" i="3"/>
  <c r="B513" i="3"/>
  <c r="B502" i="3"/>
  <c r="B510" i="3"/>
  <c r="B514" i="3"/>
  <c r="B501" i="3"/>
  <c r="B508" i="12"/>
  <c r="B512" i="12"/>
  <c r="B516" i="12"/>
  <c r="B513" i="12"/>
  <c r="B510" i="12"/>
  <c r="B514" i="12"/>
  <c r="B511" i="12"/>
  <c r="B515" i="12"/>
  <c r="B509" i="12"/>
  <c r="B503" i="12"/>
  <c r="B504" i="12"/>
  <c r="B505" i="12"/>
  <c r="B502" i="12"/>
  <c r="B506" i="12"/>
  <c r="B507" i="12"/>
  <c r="B501" i="12"/>
  <c r="B503" i="11"/>
  <c r="B504" i="11"/>
  <c r="B505" i="11"/>
  <c r="B502" i="11"/>
  <c r="B501" i="11"/>
  <c r="B484" i="1"/>
  <c r="B494" i="1"/>
  <c r="B496" i="1"/>
  <c r="B495" i="1"/>
  <c r="B487" i="1"/>
  <c r="B488" i="1"/>
  <c r="B489" i="1"/>
  <c r="B493" i="1"/>
  <c r="B497" i="1"/>
  <c r="B482" i="1"/>
  <c r="B483" i="1"/>
  <c r="B485" i="1"/>
  <c r="B490" i="1"/>
  <c r="B486" i="1"/>
  <c r="B491" i="1"/>
  <c r="B492" i="1"/>
  <c r="B481" i="1"/>
  <c r="B501" i="5"/>
  <c r="B501" i="28"/>
  <c r="B502" i="6"/>
  <c r="B534" i="6"/>
  <c r="B504" i="6"/>
  <c r="B536" i="6"/>
  <c r="B516" i="6"/>
  <c r="B503" i="6"/>
  <c r="B507" i="6"/>
  <c r="B511" i="6"/>
  <c r="B515" i="6"/>
  <c r="B519" i="6"/>
  <c r="B523" i="6"/>
  <c r="B527" i="6"/>
  <c r="B531" i="6"/>
  <c r="B535" i="6"/>
  <c r="B539" i="6"/>
  <c r="B543" i="6"/>
  <c r="B512" i="6"/>
  <c r="B540" i="6"/>
  <c r="B505" i="6"/>
  <c r="B509" i="6"/>
  <c r="B513" i="6"/>
  <c r="B517" i="6"/>
  <c r="B521" i="6"/>
  <c r="B525" i="6"/>
  <c r="B529" i="6"/>
  <c r="B533" i="6"/>
  <c r="B537" i="6"/>
  <c r="B541" i="6"/>
  <c r="B506" i="6"/>
  <c r="B510" i="6"/>
  <c r="B514" i="6"/>
  <c r="B518" i="6"/>
  <c r="B522" i="6"/>
  <c r="B526" i="6"/>
  <c r="B530" i="6"/>
  <c r="B538" i="6"/>
  <c r="B542" i="6"/>
  <c r="B508" i="6"/>
  <c r="B520" i="6"/>
  <c r="B524" i="6"/>
  <c r="B528" i="6"/>
  <c r="B532" i="6"/>
  <c r="B544" i="6"/>
  <c r="B501" i="6"/>
  <c r="B506" i="29"/>
  <c r="B508" i="29"/>
  <c r="B503" i="29"/>
  <c r="B507" i="29"/>
  <c r="B511" i="29"/>
  <c r="B512" i="29"/>
  <c r="B505" i="29"/>
  <c r="B509" i="29"/>
  <c r="B513" i="29"/>
  <c r="B502" i="29"/>
  <c r="B510" i="29"/>
  <c r="B514" i="29"/>
  <c r="B504" i="29"/>
  <c r="B501" i="29"/>
  <c r="B506" i="8"/>
  <c r="B538" i="8"/>
  <c r="B516" i="8"/>
  <c r="B524" i="8"/>
  <c r="B540" i="8"/>
  <c r="B508" i="8"/>
  <c r="B536" i="8"/>
  <c r="B503" i="8"/>
  <c r="B507" i="8"/>
  <c r="B511" i="8"/>
  <c r="B515" i="8"/>
  <c r="B519" i="8"/>
  <c r="B523" i="8"/>
  <c r="B527" i="8"/>
  <c r="B531" i="8"/>
  <c r="B535" i="8"/>
  <c r="B539" i="8"/>
  <c r="B543" i="8"/>
  <c r="B512" i="8"/>
  <c r="B528" i="8"/>
  <c r="B544" i="8"/>
  <c r="B505" i="8"/>
  <c r="B509" i="8"/>
  <c r="B513" i="8"/>
  <c r="B517" i="8"/>
  <c r="B521" i="8"/>
  <c r="B525" i="8"/>
  <c r="B529" i="8"/>
  <c r="B533" i="8"/>
  <c r="B537" i="8"/>
  <c r="B541" i="8"/>
  <c r="B502" i="8"/>
  <c r="B510" i="8"/>
  <c r="B514" i="8"/>
  <c r="B518" i="8"/>
  <c r="B522" i="8"/>
  <c r="B526" i="8"/>
  <c r="B530" i="8"/>
  <c r="B534" i="8"/>
  <c r="B542" i="8"/>
  <c r="B504" i="8"/>
  <c r="B520" i="8"/>
  <c r="B532" i="8"/>
  <c r="B501" i="8"/>
  <c r="A501" i="27"/>
  <c r="A509" i="27"/>
  <c r="A503" i="27"/>
  <c r="A506" i="27"/>
  <c r="A514" i="27"/>
  <c r="A507" i="27"/>
  <c r="A515" i="27"/>
  <c r="A508" i="27"/>
  <c r="A516" i="27"/>
  <c r="A502" i="27"/>
  <c r="A511" i="27"/>
  <c r="A504" i="27"/>
  <c r="A512" i="27"/>
  <c r="A505" i="27"/>
  <c r="A510" i="27"/>
  <c r="A513" i="27"/>
  <c r="B503" i="27"/>
  <c r="B508" i="27"/>
  <c r="B505" i="27"/>
  <c r="B509" i="27"/>
  <c r="B513" i="27"/>
  <c r="B502" i="27"/>
  <c r="B506" i="27"/>
  <c r="B510" i="27"/>
  <c r="B514" i="27"/>
  <c r="B507" i="27"/>
  <c r="B511" i="27"/>
  <c r="B515" i="27"/>
  <c r="B504" i="27"/>
  <c r="B512" i="27"/>
  <c r="B516" i="27"/>
  <c r="B501" i="27"/>
  <c r="B454" i="23"/>
  <c r="B458" i="23"/>
  <c r="B453" i="23"/>
  <c r="B452" i="23"/>
  <c r="B457" i="23"/>
  <c r="B456" i="23"/>
  <c r="B455" i="23"/>
  <c r="B459" i="23"/>
  <c r="A459" i="23"/>
  <c r="A458" i="23"/>
  <c r="A453" i="23"/>
  <c r="A454" i="23"/>
  <c r="A455" i="23"/>
  <c r="A456" i="23"/>
  <c r="A457" i="23"/>
  <c r="A452" i="23"/>
  <c r="A1" i="26"/>
  <c r="BA200" i="26" s="1"/>
  <c r="A1" i="25"/>
  <c r="BA200" i="25" s="1"/>
  <c r="A1" i="24"/>
  <c r="BA200" i="24" s="1"/>
  <c r="A1" i="23"/>
  <c r="BA200" i="23" s="1"/>
  <c r="A1" i="22"/>
  <c r="BA200" i="22" s="1"/>
  <c r="A1" i="21"/>
  <c r="BA200" i="21" s="1"/>
  <c r="A1" i="20"/>
  <c r="A1" i="19"/>
  <c r="BA200" i="19" s="1"/>
  <c r="A1" i="18"/>
  <c r="BA200" i="18" s="1"/>
  <c r="A1" i="17"/>
  <c r="BA200" i="17" s="1"/>
  <c r="A1" i="16"/>
  <c r="BA200" i="16" s="1"/>
  <c r="A1" i="14"/>
  <c r="BA200" i="14" s="1"/>
  <c r="A1" i="15"/>
  <c r="BA200" i="15" s="1"/>
  <c r="A1" i="12"/>
  <c r="BA200" i="12" s="1"/>
  <c r="A1" i="11"/>
  <c r="BA200" i="11" s="1"/>
  <c r="A1" i="3"/>
  <c r="BA200" i="3" s="1"/>
  <c r="A1" i="10"/>
  <c r="BA200" i="10" s="1"/>
  <c r="A1" i="1"/>
  <c r="AK180" i="1" s="1"/>
  <c r="A1" i="5"/>
  <c r="BA200" i="5" s="1"/>
  <c r="A1" i="6"/>
  <c r="BA200" i="6" s="1"/>
  <c r="A1" i="28"/>
  <c r="BA200" i="28" s="1"/>
  <c r="A1" i="29"/>
  <c r="BA200" i="29" s="1"/>
  <c r="A1" i="8"/>
  <c r="BA200" i="8" s="1"/>
  <c r="A1" i="27"/>
  <c r="BA200" i="27" s="1"/>
  <c r="BA200" i="20" l="1"/>
  <c r="CC202" i="20"/>
  <c r="S23" i="19"/>
  <c r="T515" i="19" s="1"/>
  <c r="T23" i="19"/>
  <c r="U515" i="19" s="1"/>
  <c r="U23" i="19"/>
  <c r="V515" i="19" s="1"/>
  <c r="V23" i="19"/>
  <c r="W515" i="19" s="1"/>
  <c r="W23" i="19"/>
  <c r="X515" i="19" s="1"/>
  <c r="R23" i="19"/>
  <c r="S515" i="19" s="1"/>
  <c r="L23" i="19"/>
  <c r="M515" i="19" s="1"/>
  <c r="M23" i="19"/>
  <c r="N515" i="19" s="1"/>
  <c r="N23" i="19"/>
  <c r="O515" i="19" s="1"/>
  <c r="O23" i="19"/>
  <c r="P515" i="19" s="1"/>
  <c r="P23" i="19"/>
  <c r="Q515" i="19" s="1"/>
  <c r="K23" i="19"/>
  <c r="L515" i="19" s="1"/>
  <c r="E23" i="19"/>
  <c r="F515" i="19" s="1"/>
  <c r="F23" i="19"/>
  <c r="G515" i="19" s="1"/>
  <c r="G23" i="19"/>
  <c r="H515" i="19" s="1"/>
  <c r="H23" i="19"/>
  <c r="I515" i="19" s="1"/>
  <c r="I23" i="19"/>
  <c r="J515" i="19" s="1"/>
  <c r="S19" i="19"/>
  <c r="T511" i="19" s="1"/>
  <c r="T19" i="19"/>
  <c r="U511" i="19" s="1"/>
  <c r="U19" i="19"/>
  <c r="V511" i="19" s="1"/>
  <c r="V19" i="19"/>
  <c r="W511" i="19" s="1"/>
  <c r="W19" i="19"/>
  <c r="X511" i="19" s="1"/>
  <c r="R19" i="19"/>
  <c r="S511" i="19" s="1"/>
  <c r="L19" i="19"/>
  <c r="M511" i="19" s="1"/>
  <c r="M19" i="19"/>
  <c r="N511" i="19" s="1"/>
  <c r="N19" i="19"/>
  <c r="O511" i="19" s="1"/>
  <c r="O19" i="19"/>
  <c r="P511" i="19" s="1"/>
  <c r="P19" i="19"/>
  <c r="Q511" i="19" s="1"/>
  <c r="K19" i="19"/>
  <c r="L511" i="19" s="1"/>
  <c r="E19" i="19"/>
  <c r="F511" i="19" s="1"/>
  <c r="F19" i="19"/>
  <c r="G511" i="19" s="1"/>
  <c r="G19" i="19"/>
  <c r="H511" i="19" s="1"/>
  <c r="H19" i="19"/>
  <c r="I511" i="19" s="1"/>
  <c r="I19" i="19"/>
  <c r="J511" i="19" s="1"/>
  <c r="T18" i="19"/>
  <c r="U510" i="19" s="1"/>
  <c r="L18" i="19"/>
  <c r="M510" i="19" s="1"/>
  <c r="S11" i="19"/>
  <c r="T503" i="19" s="1"/>
  <c r="T11" i="19"/>
  <c r="U503" i="19" s="1"/>
  <c r="U11" i="19"/>
  <c r="V503" i="19" s="1"/>
  <c r="V11" i="19"/>
  <c r="W503" i="19" s="1"/>
  <c r="W11" i="19"/>
  <c r="X503" i="19" s="1"/>
  <c r="R11" i="19"/>
  <c r="S503" i="19" s="1"/>
  <c r="L11" i="19"/>
  <c r="M503" i="19" s="1"/>
  <c r="M11" i="19"/>
  <c r="N503" i="19" s="1"/>
  <c r="N11" i="19"/>
  <c r="O503" i="19" s="1"/>
  <c r="O11" i="19"/>
  <c r="P503" i="19" s="1"/>
  <c r="P11" i="19"/>
  <c r="Q503" i="19" s="1"/>
  <c r="K11" i="19"/>
  <c r="L503" i="19" s="1"/>
  <c r="E11" i="19"/>
  <c r="F503" i="19" s="1"/>
  <c r="F11" i="19"/>
  <c r="G503" i="19" s="1"/>
  <c r="G11" i="19"/>
  <c r="H503" i="19" s="1"/>
  <c r="H11" i="19"/>
  <c r="I503" i="19" s="1"/>
  <c r="I11" i="19"/>
  <c r="J503" i="19" s="1"/>
  <c r="S18" i="19" l="1"/>
  <c r="T510" i="19" s="1"/>
  <c r="U18" i="19"/>
  <c r="V510" i="19" s="1"/>
  <c r="I18" i="19"/>
  <c r="J510" i="19" s="1"/>
  <c r="H18" i="19"/>
  <c r="I510" i="19" s="1"/>
  <c r="M18" i="19"/>
  <c r="N510" i="19" s="1"/>
  <c r="G18" i="19"/>
  <c r="H510" i="19" s="1"/>
  <c r="BN210" i="19"/>
  <c r="BD222" i="19"/>
  <c r="BE230" i="19"/>
  <c r="BS217" i="19"/>
  <c r="BJ222" i="19"/>
  <c r="BD230" i="19"/>
  <c r="BR217" i="19"/>
  <c r="BO222" i="19"/>
  <c r="BU230" i="19"/>
  <c r="BF210" i="19"/>
  <c r="BK210" i="19"/>
  <c r="BH218" i="19"/>
  <c r="BR218" i="19"/>
  <c r="BG218" i="19"/>
  <c r="BL218" i="19"/>
  <c r="BH222" i="19"/>
  <c r="BM222" i="19"/>
  <c r="BR222" i="19"/>
  <c r="BN230" i="19"/>
  <c r="BS230" i="19"/>
  <c r="BQ230" i="19"/>
  <c r="BM210" i="19"/>
  <c r="BR210" i="19"/>
  <c r="BT218" i="19"/>
  <c r="BU222" i="19"/>
  <c r="BS218" i="19"/>
  <c r="BT222" i="19"/>
  <c r="BM218" i="19"/>
  <c r="BN222" i="19"/>
  <c r="BS222" i="19"/>
  <c r="BO230" i="19"/>
  <c r="BT230" i="19"/>
  <c r="BE210" i="19"/>
  <c r="BQ210" i="19"/>
  <c r="BD210" i="19"/>
  <c r="BV210" i="19"/>
  <c r="N18" i="19"/>
  <c r="O510" i="19" s="1"/>
  <c r="BF218" i="19"/>
  <c r="BK218" i="19"/>
  <c r="BG222" i="19"/>
  <c r="BL222" i="19"/>
  <c r="BH230" i="19"/>
  <c r="BM230" i="19"/>
  <c r="BR230" i="19"/>
  <c r="BS210" i="19"/>
  <c r="BV222" i="19"/>
  <c r="BH210" i="19"/>
  <c r="BV230" i="19"/>
  <c r="BG210" i="19"/>
  <c r="BL210" i="19"/>
  <c r="BN218" i="19"/>
  <c r="BJ230" i="19"/>
  <c r="BJ210" i="19"/>
  <c r="BU210" i="19"/>
  <c r="BQ218" i="19"/>
  <c r="BF222" i="19"/>
  <c r="BK222" i="19"/>
  <c r="BG230" i="19"/>
  <c r="BL230" i="19"/>
  <c r="BO210" i="19"/>
  <c r="BT210" i="19"/>
  <c r="BK217" i="19"/>
  <c r="BD218" i="19"/>
  <c r="BE222" i="19"/>
  <c r="BQ222" i="19"/>
  <c r="BF230" i="19"/>
  <c r="BK230" i="19"/>
  <c r="E18" i="19"/>
  <c r="F510" i="19" s="1"/>
  <c r="F18" i="19"/>
  <c r="G510" i="19" s="1"/>
  <c r="BE218" i="19"/>
  <c r="R18" i="19"/>
  <c r="S510" i="19" s="1"/>
  <c r="W18" i="19"/>
  <c r="X510" i="19" s="1"/>
  <c r="BV218" i="19"/>
  <c r="K18" i="19"/>
  <c r="L510" i="19" s="1"/>
  <c r="BJ218" i="19"/>
  <c r="O18" i="19"/>
  <c r="P510" i="19" s="1"/>
  <c r="V18" i="19"/>
  <c r="W510" i="19" s="1"/>
  <c r="BU218" i="19"/>
  <c r="P18" i="19"/>
  <c r="Q510" i="19" s="1"/>
  <c r="BO218" i="19"/>
  <c r="S18" i="18"/>
  <c r="T18" i="18"/>
  <c r="U18" i="18"/>
  <c r="V18" i="18"/>
  <c r="W18" i="18"/>
  <c r="R18" i="18"/>
  <c r="L18" i="18"/>
  <c r="M18" i="18"/>
  <c r="N18" i="18"/>
  <c r="O18" i="18"/>
  <c r="P18" i="18"/>
  <c r="K18" i="18"/>
  <c r="E18" i="18"/>
  <c r="F18" i="18"/>
  <c r="G18" i="18"/>
  <c r="H18" i="18"/>
  <c r="I18" i="18"/>
  <c r="S9" i="18"/>
  <c r="T9" i="18"/>
  <c r="U9" i="18"/>
  <c r="V9" i="18"/>
  <c r="W9" i="18"/>
  <c r="R9" i="18"/>
  <c r="L9" i="18"/>
  <c r="M9" i="18"/>
  <c r="N9" i="18"/>
  <c r="O9" i="18"/>
  <c r="P9" i="18"/>
  <c r="K9" i="18"/>
  <c r="E9" i="18"/>
  <c r="F9" i="18"/>
  <c r="G9" i="18"/>
  <c r="H9" i="18"/>
  <c r="I9" i="18"/>
  <c r="T26" i="17"/>
  <c r="T518" i="17" s="1"/>
  <c r="U26" i="17"/>
  <c r="U518" i="17" s="1"/>
  <c r="V26" i="17"/>
  <c r="V518" i="17" s="1"/>
  <c r="W26" i="17"/>
  <c r="W518" i="17" s="1"/>
  <c r="X26" i="17"/>
  <c r="X518" i="17" s="1"/>
  <c r="S26" i="17"/>
  <c r="S518" i="17" s="1"/>
  <c r="M26" i="17"/>
  <c r="M518" i="17" s="1"/>
  <c r="N26" i="17"/>
  <c r="N518" i="17" s="1"/>
  <c r="O26" i="17"/>
  <c r="O518" i="17" s="1"/>
  <c r="P26" i="17"/>
  <c r="P518" i="17" s="1"/>
  <c r="Q26" i="17"/>
  <c r="Q518" i="17" s="1"/>
  <c r="L26" i="17"/>
  <c r="L518" i="17" s="1"/>
  <c r="F26" i="17"/>
  <c r="F518" i="17" s="1"/>
  <c r="G26" i="17"/>
  <c r="G518" i="17" s="1"/>
  <c r="H26" i="17"/>
  <c r="H518" i="17" s="1"/>
  <c r="I26" i="17"/>
  <c r="I518" i="17" s="1"/>
  <c r="J26" i="17"/>
  <c r="J518" i="17" s="1"/>
  <c r="E26" i="17"/>
  <c r="E518" i="17" s="1"/>
  <c r="F20" i="17"/>
  <c r="F512" i="17" s="1"/>
  <c r="G20" i="17"/>
  <c r="G512" i="17" s="1"/>
  <c r="H20" i="17"/>
  <c r="H512" i="17" s="1"/>
  <c r="I20" i="17"/>
  <c r="I512" i="17" s="1"/>
  <c r="J20" i="17"/>
  <c r="J512" i="17" s="1"/>
  <c r="E20" i="17"/>
  <c r="M11" i="17"/>
  <c r="M503" i="17" s="1"/>
  <c r="N11" i="17"/>
  <c r="N503" i="17" s="1"/>
  <c r="O11" i="17"/>
  <c r="O503" i="17" s="1"/>
  <c r="P11" i="17"/>
  <c r="P503" i="17" s="1"/>
  <c r="Q11" i="17"/>
  <c r="Q503" i="17" s="1"/>
  <c r="L11" i="17"/>
  <c r="L503" i="17" s="1"/>
  <c r="BH217" i="19" l="1"/>
  <c r="BT217" i="19"/>
  <c r="BL217" i="19"/>
  <c r="BF217" i="19"/>
  <c r="E36" i="17"/>
  <c r="BD235" i="17" s="1"/>
  <c r="E512" i="17"/>
  <c r="H19" i="17"/>
  <c r="H36" i="17"/>
  <c r="BG235" i="17" s="1"/>
  <c r="G19" i="17"/>
  <c r="G36" i="17"/>
  <c r="BF235" i="17" s="1"/>
  <c r="F19" i="17"/>
  <c r="F36" i="17"/>
  <c r="BE235" i="17" s="1"/>
  <c r="J19" i="17"/>
  <c r="J36" i="17"/>
  <c r="BI235" i="17" s="1"/>
  <c r="I19" i="17"/>
  <c r="I36" i="17"/>
  <c r="BH235" i="17" s="1"/>
  <c r="BG217" i="19"/>
  <c r="E19" i="17"/>
  <c r="E511" i="17" s="1"/>
  <c r="X25" i="17"/>
  <c r="X517" i="17" s="1"/>
  <c r="W25" i="17"/>
  <c r="W517" i="17" s="1"/>
  <c r="V25" i="17"/>
  <c r="V517" i="17" s="1"/>
  <c r="U25" i="17"/>
  <c r="T25" i="17"/>
  <c r="S25" i="17"/>
  <c r="S517" i="17" s="1"/>
  <c r="Q25" i="17"/>
  <c r="Q517" i="17" s="1"/>
  <c r="P25" i="17"/>
  <c r="P517" i="17" s="1"/>
  <c r="O25" i="17"/>
  <c r="O517" i="17" s="1"/>
  <c r="N25" i="17"/>
  <c r="N517" i="17" s="1"/>
  <c r="M25" i="17"/>
  <c r="M517" i="17" s="1"/>
  <c r="L25" i="17"/>
  <c r="L517" i="17" s="1"/>
  <c r="J25" i="17"/>
  <c r="J517" i="17" s="1"/>
  <c r="I25" i="17"/>
  <c r="I517" i="17" s="1"/>
  <c r="H25" i="17"/>
  <c r="H517" i="17" s="1"/>
  <c r="G25" i="17"/>
  <c r="G517" i="17" s="1"/>
  <c r="F25" i="17"/>
  <c r="F517" i="17" s="1"/>
  <c r="E25" i="17"/>
  <c r="E517" i="17" s="1"/>
  <c r="M10" i="17"/>
  <c r="M502" i="17" s="1"/>
  <c r="W40" i="18"/>
  <c r="BV239" i="18" s="1"/>
  <c r="X511" i="18"/>
  <c r="V40" i="18"/>
  <c r="BU239" i="18" s="1"/>
  <c r="W511" i="18"/>
  <c r="U40" i="18"/>
  <c r="BT239" i="18" s="1"/>
  <c r="V511" i="18"/>
  <c r="T40" i="18"/>
  <c r="BS239" i="18" s="1"/>
  <c r="U511" i="18"/>
  <c r="S40" i="18"/>
  <c r="BR239" i="18" s="1"/>
  <c r="T511" i="18"/>
  <c r="R40" i="18"/>
  <c r="BQ239" i="18" s="1"/>
  <c r="S511" i="18"/>
  <c r="P40" i="18"/>
  <c r="BO239" i="18" s="1"/>
  <c r="Q511" i="18"/>
  <c r="O40" i="18"/>
  <c r="BN239" i="18" s="1"/>
  <c r="P511" i="18"/>
  <c r="N40" i="18"/>
  <c r="BM239" i="18" s="1"/>
  <c r="O511" i="18"/>
  <c r="M40" i="18"/>
  <c r="BL239" i="18" s="1"/>
  <c r="N511" i="18"/>
  <c r="L40" i="18"/>
  <c r="BK239" i="18" s="1"/>
  <c r="M511" i="18"/>
  <c r="K40" i="18"/>
  <c r="BJ239" i="18" s="1"/>
  <c r="L511" i="18"/>
  <c r="I40" i="18"/>
  <c r="BH239" i="18" s="1"/>
  <c r="J511" i="18"/>
  <c r="H40" i="18"/>
  <c r="BG239" i="18" s="1"/>
  <c r="I511" i="18"/>
  <c r="G40" i="18"/>
  <c r="BF239" i="18" s="1"/>
  <c r="H511" i="18"/>
  <c r="F40" i="18"/>
  <c r="BE239" i="18" s="1"/>
  <c r="G511" i="18"/>
  <c r="E40" i="18"/>
  <c r="BD239" i="18" s="1"/>
  <c r="F511" i="18"/>
  <c r="W39" i="18"/>
  <c r="BV238" i="18" s="1"/>
  <c r="X502" i="18"/>
  <c r="V39" i="18"/>
  <c r="BU238" i="18" s="1"/>
  <c r="W502" i="18"/>
  <c r="U39" i="18"/>
  <c r="BT238" i="18" s="1"/>
  <c r="V502" i="18"/>
  <c r="T39" i="18"/>
  <c r="BS238" i="18" s="1"/>
  <c r="U502" i="18"/>
  <c r="S39" i="18"/>
  <c r="BR238" i="18" s="1"/>
  <c r="T502" i="18"/>
  <c r="R39" i="18"/>
  <c r="BQ238" i="18" s="1"/>
  <c r="S502" i="18"/>
  <c r="P39" i="18"/>
  <c r="BO238" i="18" s="1"/>
  <c r="Q502" i="18"/>
  <c r="O39" i="18"/>
  <c r="BN238" i="18" s="1"/>
  <c r="P502" i="18"/>
  <c r="N39" i="18"/>
  <c r="BM238" i="18" s="1"/>
  <c r="O502" i="18"/>
  <c r="M39" i="18"/>
  <c r="BL238" i="18" s="1"/>
  <c r="N502" i="18"/>
  <c r="L39" i="18"/>
  <c r="BK238" i="18" s="1"/>
  <c r="M502" i="18"/>
  <c r="K39" i="18"/>
  <c r="BJ238" i="18" s="1"/>
  <c r="L502" i="18"/>
  <c r="I39" i="18"/>
  <c r="BH238" i="18" s="1"/>
  <c r="J502" i="18"/>
  <c r="H39" i="18"/>
  <c r="BG238" i="18" s="1"/>
  <c r="I502" i="18"/>
  <c r="G39" i="18"/>
  <c r="BF238" i="18" s="1"/>
  <c r="H502" i="18"/>
  <c r="F39" i="18"/>
  <c r="BE238" i="18" s="1"/>
  <c r="G502" i="18"/>
  <c r="E39" i="18"/>
  <c r="BD238" i="18" s="1"/>
  <c r="F502" i="18"/>
  <c r="BN217" i="19"/>
  <c r="BV217" i="19"/>
  <c r="BO217" i="19"/>
  <c r="BQ217" i="19"/>
  <c r="BD217" i="19"/>
  <c r="BJ217" i="19"/>
  <c r="BU217" i="19"/>
  <c r="BE217" i="19"/>
  <c r="BM217" i="19"/>
  <c r="BP219" i="17"/>
  <c r="BS225" i="17"/>
  <c r="BT219" i="17"/>
  <c r="BN219" i="17"/>
  <c r="BO219" i="17"/>
  <c r="BS219" i="17"/>
  <c r="BR219" i="17"/>
  <c r="BV225" i="17"/>
  <c r="BU219" i="17"/>
  <c r="BL219" i="17"/>
  <c r="BE219" i="17"/>
  <c r="BW219" i="17"/>
  <c r="BP225" i="17"/>
  <c r="BI225" i="17"/>
  <c r="BI219" i="17"/>
  <c r="BL225" i="17"/>
  <c r="BH219" i="17"/>
  <c r="BG219" i="17"/>
  <c r="BW225" i="17"/>
  <c r="BF219" i="17"/>
  <c r="BL210" i="17"/>
  <c r="BK219" i="17"/>
  <c r="BV219" i="17"/>
  <c r="BO225" i="17"/>
  <c r="BT217" i="18"/>
  <c r="BM208" i="18"/>
  <c r="BF208" i="18"/>
  <c r="BG217" i="18"/>
  <c r="BL217" i="18"/>
  <c r="BE208" i="18"/>
  <c r="BQ208" i="18"/>
  <c r="BF217" i="18"/>
  <c r="BK217" i="18"/>
  <c r="BS208" i="18"/>
  <c r="BH208" i="18"/>
  <c r="BN217" i="18"/>
  <c r="BQ217" i="18"/>
  <c r="BO217" i="18"/>
  <c r="BS217" i="18"/>
  <c r="BM217" i="18"/>
  <c r="BV208" i="18"/>
  <c r="BU208" i="18"/>
  <c r="BD217" i="18"/>
  <c r="BV217" i="18"/>
  <c r="BN208" i="18"/>
  <c r="BR208" i="18"/>
  <c r="BG208" i="18"/>
  <c r="BR217" i="18"/>
  <c r="BD208" i="18"/>
  <c r="BE217" i="18"/>
  <c r="BJ208" i="18"/>
  <c r="BO208" i="18"/>
  <c r="BT208" i="18"/>
  <c r="BJ217" i="18"/>
  <c r="BU217" i="18"/>
  <c r="BH217" i="18"/>
  <c r="BL208" i="18"/>
  <c r="BK208" i="18"/>
  <c r="BD219" i="17"/>
  <c r="F38" i="19"/>
  <c r="BE237" i="19" s="1"/>
  <c r="BF225" i="17"/>
  <c r="K38" i="19"/>
  <c r="BJ237" i="19" s="1"/>
  <c r="BK225" i="17"/>
  <c r="T38" i="19"/>
  <c r="BS237" i="19" s="1"/>
  <c r="BT225" i="17"/>
  <c r="N10" i="17"/>
  <c r="N502" i="17" s="1"/>
  <c r="BM210" i="17"/>
  <c r="L10" i="17"/>
  <c r="L502" i="17" s="1"/>
  <c r="BK210" i="17"/>
  <c r="N38" i="19"/>
  <c r="BM237" i="19" s="1"/>
  <c r="BN225" i="17"/>
  <c r="R38" i="19"/>
  <c r="BQ237" i="19" s="1"/>
  <c r="BR225" i="17"/>
  <c r="E38" i="19"/>
  <c r="BD237" i="19" s="1"/>
  <c r="BE225" i="17"/>
  <c r="BM219" i="17"/>
  <c r="P10" i="17"/>
  <c r="P502" i="17" s="1"/>
  <c r="BO210" i="17"/>
  <c r="H38" i="19"/>
  <c r="BG237" i="19" s="1"/>
  <c r="BH225" i="17"/>
  <c r="M38" i="19"/>
  <c r="BL237" i="19" s="1"/>
  <c r="BM225" i="17"/>
  <c r="U38" i="19"/>
  <c r="BT237" i="19" s="1"/>
  <c r="BU225" i="17"/>
  <c r="D38" i="19"/>
  <c r="BC237" i="19" s="1"/>
  <c r="BD225" i="17"/>
  <c r="Q10" i="17"/>
  <c r="Q502" i="17" s="1"/>
  <c r="BP210" i="17"/>
  <c r="O10" i="17"/>
  <c r="O502" i="17" s="1"/>
  <c r="BN210" i="17"/>
  <c r="G38" i="19"/>
  <c r="BF237" i="19" s="1"/>
  <c r="BG225" i="17"/>
  <c r="I38" i="19"/>
  <c r="BH237" i="19" s="1"/>
  <c r="S38" i="19"/>
  <c r="BR237" i="19" s="1"/>
  <c r="L38" i="19"/>
  <c r="BK237" i="19" s="1"/>
  <c r="W38" i="19"/>
  <c r="BV237" i="19" s="1"/>
  <c r="V38" i="19"/>
  <c r="BU237" i="19" s="1"/>
  <c r="P38" i="19"/>
  <c r="BO237" i="19" s="1"/>
  <c r="O38" i="19"/>
  <c r="BN237" i="19" s="1"/>
  <c r="F11" i="17"/>
  <c r="F503" i="17" s="1"/>
  <c r="G11" i="17"/>
  <c r="G503" i="17" s="1"/>
  <c r="H11" i="17"/>
  <c r="H503" i="17" s="1"/>
  <c r="I11" i="17"/>
  <c r="I503" i="17" s="1"/>
  <c r="J11" i="17"/>
  <c r="J503" i="17" s="1"/>
  <c r="E11" i="17"/>
  <c r="E503" i="17" s="1"/>
  <c r="U33" i="17" l="1"/>
  <c r="U38" i="17" s="1"/>
  <c r="BT237" i="17" s="1"/>
  <c r="U517" i="17"/>
  <c r="T33" i="17"/>
  <c r="T525" i="17" s="1"/>
  <c r="T517" i="17"/>
  <c r="J37" i="17"/>
  <c r="BI236" i="17" s="1"/>
  <c r="J511" i="17"/>
  <c r="I37" i="17"/>
  <c r="BH236" i="17" s="1"/>
  <c r="I511" i="17"/>
  <c r="H37" i="17"/>
  <c r="BG236" i="17" s="1"/>
  <c r="H511" i="17"/>
  <c r="G37" i="17"/>
  <c r="BF236" i="17" s="1"/>
  <c r="G511" i="17"/>
  <c r="F37" i="17"/>
  <c r="BE236" i="17" s="1"/>
  <c r="F511" i="17"/>
  <c r="E37" i="17"/>
  <c r="BD236" i="17" s="1"/>
  <c r="BU224" i="17"/>
  <c r="V33" i="17"/>
  <c r="S33" i="17"/>
  <c r="W33" i="17"/>
  <c r="X33" i="17"/>
  <c r="P33" i="17"/>
  <c r="M33" i="17"/>
  <c r="N33" i="17"/>
  <c r="N525" i="17" s="1"/>
  <c r="L33" i="17"/>
  <c r="L525" i="17" s="1"/>
  <c r="O33" i="17"/>
  <c r="Q33" i="17"/>
  <c r="BL209" i="17"/>
  <c r="I10" i="17"/>
  <c r="BN224" i="17"/>
  <c r="BT224" i="17"/>
  <c r="H10" i="17"/>
  <c r="H502" i="17" s="1"/>
  <c r="BD224" i="17"/>
  <c r="BO224" i="17"/>
  <c r="BN209" i="17"/>
  <c r="BI210" i="17"/>
  <c r="BO209" i="17"/>
  <c r="BH224" i="17"/>
  <c r="BM224" i="17"/>
  <c r="BK224" i="17"/>
  <c r="BH210" i="17"/>
  <c r="BK209" i="17"/>
  <c r="BV224" i="17"/>
  <c r="BF210" i="17"/>
  <c r="J10" i="17"/>
  <c r="J502" i="17" s="1"/>
  <c r="BM209" i="17"/>
  <c r="BP209" i="17"/>
  <c r="BG210" i="17"/>
  <c r="BD218" i="17"/>
  <c r="BO218" i="17"/>
  <c r="E10" i="17"/>
  <c r="E502" i="17" s="1"/>
  <c r="BD210" i="17"/>
  <c r="BU218" i="17"/>
  <c r="BS224" i="17"/>
  <c r="BL224" i="17"/>
  <c r="BK218" i="17"/>
  <c r="BM218" i="17"/>
  <c r="BR224" i="17"/>
  <c r="BE224" i="17"/>
  <c r="BF224" i="17"/>
  <c r="BP224" i="17"/>
  <c r="BI224" i="17"/>
  <c r="BG224" i="17"/>
  <c r="F10" i="17"/>
  <c r="F502" i="17" s="1"/>
  <c r="BE210" i="17"/>
  <c r="G10" i="17"/>
  <c r="G502" i="17" s="1"/>
  <c r="BT218" i="17"/>
  <c r="BW224" i="17"/>
  <c r="T38" i="17" l="1"/>
  <c r="BS237" i="17" s="1"/>
  <c r="U525" i="17"/>
  <c r="X38" i="17"/>
  <c r="BW237" i="17" s="1"/>
  <c r="X525" i="17"/>
  <c r="W38" i="17"/>
  <c r="BV237" i="17" s="1"/>
  <c r="W525" i="17"/>
  <c r="V38" i="17"/>
  <c r="BU237" i="17" s="1"/>
  <c r="V525" i="17"/>
  <c r="S38" i="17"/>
  <c r="BR237" i="17" s="1"/>
  <c r="S525" i="17"/>
  <c r="Q38" i="17"/>
  <c r="BP237" i="17" s="1"/>
  <c r="Q525" i="17"/>
  <c r="P38" i="17"/>
  <c r="BO237" i="17" s="1"/>
  <c r="P525" i="17"/>
  <c r="O38" i="17"/>
  <c r="BN237" i="17" s="1"/>
  <c r="O525" i="17"/>
  <c r="M38" i="17"/>
  <c r="BL237" i="17" s="1"/>
  <c r="M525" i="17"/>
  <c r="BH209" i="17"/>
  <c r="I502" i="17"/>
  <c r="N38" i="17"/>
  <c r="BM237" i="17" s="1"/>
  <c r="L38" i="17"/>
  <c r="BK237" i="17" s="1"/>
  <c r="G33" i="17"/>
  <c r="G525" i="17" s="1"/>
  <c r="F33" i="17"/>
  <c r="F525" i="17" s="1"/>
  <c r="J33" i="17"/>
  <c r="H33" i="17"/>
  <c r="H525" i="17" s="1"/>
  <c r="I33" i="17"/>
  <c r="I525" i="17" s="1"/>
  <c r="E33" i="17"/>
  <c r="E525" i="17" s="1"/>
  <c r="BG209" i="17"/>
  <c r="BN218" i="17"/>
  <c r="BD209" i="17"/>
  <c r="BI209" i="17"/>
  <c r="BG218" i="17"/>
  <c r="BH218" i="17"/>
  <c r="BO232" i="17"/>
  <c r="BI218" i="17"/>
  <c r="BK232" i="17"/>
  <c r="BF218" i="17"/>
  <c r="BE218" i="17"/>
  <c r="BN232" i="17"/>
  <c r="BT232" i="17"/>
  <c r="BU232" i="17"/>
  <c r="BV218" i="17"/>
  <c r="BE209" i="17"/>
  <c r="BR218" i="17"/>
  <c r="BP218" i="17"/>
  <c r="BS218" i="17"/>
  <c r="BF209" i="17"/>
  <c r="BW218" i="17"/>
  <c r="BM232" i="17"/>
  <c r="BL218" i="17"/>
  <c r="J38" i="17" l="1"/>
  <c r="BI237" i="17" s="1"/>
  <c r="J525" i="17"/>
  <c r="I38" i="17"/>
  <c r="BH237" i="17" s="1"/>
  <c r="H38" i="17"/>
  <c r="BG237" i="17" s="1"/>
  <c r="G38" i="17"/>
  <c r="BF237" i="17" s="1"/>
  <c r="F38" i="17"/>
  <c r="BE237" i="17" s="1"/>
  <c r="E38" i="17"/>
  <c r="BD237" i="17" s="1"/>
  <c r="BI232" i="17"/>
  <c r="BH232" i="17"/>
  <c r="BG232" i="17"/>
  <c r="BS232" i="17"/>
  <c r="BP232" i="17"/>
  <c r="BE232" i="17"/>
  <c r="BR232" i="17"/>
  <c r="BL232" i="17"/>
  <c r="BW232" i="17"/>
  <c r="BF232" i="17"/>
  <c r="BD232" i="17"/>
  <c r="BV232" i="17"/>
  <c r="K25" i="1"/>
  <c r="K516" i="1" s="1"/>
  <c r="G25" i="1"/>
  <c r="G516" i="1" s="1"/>
  <c r="K33" i="1" l="1"/>
  <c r="AT212" i="1" s="1"/>
  <c r="G496" i="1"/>
  <c r="G33" i="1"/>
  <c r="AP212" i="1" s="1"/>
  <c r="K496" i="1"/>
  <c r="AT204" i="1"/>
  <c r="AP204" i="1"/>
  <c r="L15" i="1"/>
  <c r="L506" i="1" s="1"/>
  <c r="L16" i="1"/>
  <c r="L507" i="1" s="1"/>
  <c r="L18" i="1"/>
  <c r="L20" i="1"/>
  <c r="L511" i="1" s="1"/>
  <c r="L21" i="1"/>
  <c r="L512" i="1" s="1"/>
  <c r="L22" i="1"/>
  <c r="L23" i="1"/>
  <c r="L24" i="1"/>
  <c r="H15" i="1"/>
  <c r="H506" i="1" s="1"/>
  <c r="H16" i="1"/>
  <c r="H507" i="1" s="1"/>
  <c r="H18" i="1"/>
  <c r="H20" i="1"/>
  <c r="H511" i="1" s="1"/>
  <c r="H21" i="1"/>
  <c r="H512" i="1" s="1"/>
  <c r="H22" i="1"/>
  <c r="H23" i="1"/>
  <c r="H514" i="1" s="1"/>
  <c r="H24" i="1"/>
  <c r="L495" i="1" l="1"/>
  <c r="L515" i="1"/>
  <c r="H495" i="1"/>
  <c r="H515" i="1"/>
  <c r="L494" i="1"/>
  <c r="L514" i="1"/>
  <c r="L493" i="1"/>
  <c r="L513" i="1"/>
  <c r="H493" i="1"/>
  <c r="H513" i="1"/>
  <c r="L489" i="1"/>
  <c r="L509" i="1"/>
  <c r="H489" i="1"/>
  <c r="H509" i="1"/>
  <c r="H494" i="1"/>
  <c r="H487" i="1"/>
  <c r="H486" i="1"/>
  <c r="H491" i="1"/>
  <c r="L487" i="1"/>
  <c r="H492" i="1"/>
  <c r="L486" i="1"/>
  <c r="L492" i="1"/>
  <c r="L491" i="1"/>
  <c r="AQ194" i="1"/>
  <c r="AQ203" i="1"/>
  <c r="AU197" i="1"/>
  <c r="AQ202" i="1"/>
  <c r="AQ195" i="1"/>
  <c r="AQ201" i="1"/>
  <c r="AQ199" i="1"/>
  <c r="AU202" i="1"/>
  <c r="AU201" i="1"/>
  <c r="AU200" i="1"/>
  <c r="AQ200" i="1"/>
  <c r="AU203" i="1"/>
  <c r="AU195" i="1"/>
  <c r="AQ197" i="1"/>
  <c r="AU194" i="1"/>
  <c r="AU199" i="1"/>
  <c r="F10" i="8"/>
  <c r="F503" i="8" s="1"/>
  <c r="M9" i="28"/>
  <c r="M502" i="28" s="1"/>
  <c r="M10" i="28"/>
  <c r="M503" i="28" s="1"/>
  <c r="M11" i="28"/>
  <c r="M504" i="28" s="1"/>
  <c r="M13" i="28"/>
  <c r="M506" i="28" s="1"/>
  <c r="M14" i="28"/>
  <c r="M507" i="28" s="1"/>
  <c r="M15" i="28"/>
  <c r="M508" i="28" s="1"/>
  <c r="M16" i="28"/>
  <c r="M509" i="28" s="1"/>
  <c r="M18" i="28"/>
  <c r="M511" i="28" s="1"/>
  <c r="M19" i="28"/>
  <c r="M512" i="28" s="1"/>
  <c r="M21" i="28"/>
  <c r="M514" i="28" s="1"/>
  <c r="M22" i="28"/>
  <c r="M515" i="28" s="1"/>
  <c r="M23" i="28"/>
  <c r="M516" i="28" s="1"/>
  <c r="M24" i="28"/>
  <c r="M517" i="28" s="1"/>
  <c r="M25" i="28"/>
  <c r="M518" i="28" s="1"/>
  <c r="M26" i="28"/>
  <c r="M519" i="28" s="1"/>
  <c r="M27" i="28"/>
  <c r="M520" i="28" s="1"/>
  <c r="I9" i="28"/>
  <c r="I502" i="28" s="1"/>
  <c r="I10" i="28"/>
  <c r="I503" i="28" s="1"/>
  <c r="I11" i="28"/>
  <c r="I504" i="28" s="1"/>
  <c r="I13" i="28"/>
  <c r="I506" i="28" s="1"/>
  <c r="I14" i="28"/>
  <c r="I507" i="28" s="1"/>
  <c r="I15" i="28"/>
  <c r="I508" i="28" s="1"/>
  <c r="I16" i="28"/>
  <c r="I509" i="28" s="1"/>
  <c r="I18" i="28"/>
  <c r="I511" i="28" s="1"/>
  <c r="I19" i="28"/>
  <c r="I512" i="28" s="1"/>
  <c r="I21" i="28"/>
  <c r="I514" i="28" s="1"/>
  <c r="I22" i="28"/>
  <c r="I515" i="28" s="1"/>
  <c r="I23" i="28"/>
  <c r="I516" i="28" s="1"/>
  <c r="I24" i="28"/>
  <c r="I517" i="28" s="1"/>
  <c r="I25" i="28"/>
  <c r="I518" i="28" s="1"/>
  <c r="I26" i="28"/>
  <c r="I519" i="28" s="1"/>
  <c r="I27" i="28"/>
  <c r="I520" i="28" s="1"/>
  <c r="F20" i="28"/>
  <c r="F513" i="28" s="1"/>
  <c r="G20" i="28"/>
  <c r="G513" i="28" s="1"/>
  <c r="H20" i="28"/>
  <c r="H513" i="28" s="1"/>
  <c r="J20" i="28"/>
  <c r="J513" i="28" s="1"/>
  <c r="K20" i="28"/>
  <c r="K513" i="28" s="1"/>
  <c r="L20" i="28"/>
  <c r="L513" i="28" s="1"/>
  <c r="D20" i="28"/>
  <c r="E513" i="28" s="1"/>
  <c r="F12" i="28"/>
  <c r="F505" i="28" s="1"/>
  <c r="G12" i="28"/>
  <c r="G505" i="28" s="1"/>
  <c r="H12" i="28"/>
  <c r="H505" i="28" s="1"/>
  <c r="J12" i="28"/>
  <c r="J505" i="28" s="1"/>
  <c r="K12" i="28"/>
  <c r="K505" i="28" s="1"/>
  <c r="L12" i="28"/>
  <c r="L505" i="28" s="1"/>
  <c r="D12" i="28"/>
  <c r="E505" i="28" s="1"/>
  <c r="F8" i="28"/>
  <c r="F501" i="28" s="1"/>
  <c r="G8" i="28"/>
  <c r="G501" i="28" s="1"/>
  <c r="H8" i="28"/>
  <c r="H501" i="28" s="1"/>
  <c r="J8" i="28"/>
  <c r="J501" i="28" s="1"/>
  <c r="K8" i="28"/>
  <c r="K501" i="28" s="1"/>
  <c r="L8" i="28"/>
  <c r="L501" i="28" s="1"/>
  <c r="D8" i="28"/>
  <c r="E501" i="28" s="1"/>
  <c r="I8" i="29"/>
  <c r="I501" i="29" s="1"/>
  <c r="M20" i="29"/>
  <c r="M513" i="29" s="1"/>
  <c r="I20" i="29"/>
  <c r="M19" i="29"/>
  <c r="M512" i="29" s="1"/>
  <c r="I19" i="29"/>
  <c r="I512" i="29" s="1"/>
  <c r="M18" i="29"/>
  <c r="M511" i="29" s="1"/>
  <c r="I18" i="29"/>
  <c r="I511" i="29" s="1"/>
  <c r="M17" i="29"/>
  <c r="M510" i="29" s="1"/>
  <c r="I17" i="29"/>
  <c r="I510" i="29" s="1"/>
  <c r="L16" i="29"/>
  <c r="L509" i="29" s="1"/>
  <c r="K16" i="29"/>
  <c r="K509" i="29" s="1"/>
  <c r="J16" i="29"/>
  <c r="J509" i="29" s="1"/>
  <c r="H16" i="29"/>
  <c r="H509" i="29" s="1"/>
  <c r="G16" i="29"/>
  <c r="G509" i="29" s="1"/>
  <c r="F16" i="29"/>
  <c r="F509" i="29" s="1"/>
  <c r="D16" i="29"/>
  <c r="E509" i="29" s="1"/>
  <c r="M15" i="29"/>
  <c r="M508" i="29" s="1"/>
  <c r="I15" i="29"/>
  <c r="I508" i="29" s="1"/>
  <c r="M14" i="29"/>
  <c r="M507" i="29" s="1"/>
  <c r="I14" i="29"/>
  <c r="I507" i="29" s="1"/>
  <c r="M13" i="29"/>
  <c r="M506" i="29" s="1"/>
  <c r="I13" i="29"/>
  <c r="I506" i="29" s="1"/>
  <c r="M12" i="29"/>
  <c r="M505" i="29" s="1"/>
  <c r="I12" i="29"/>
  <c r="I505" i="29" s="1"/>
  <c r="M11" i="29"/>
  <c r="M504" i="29" s="1"/>
  <c r="I11" i="29"/>
  <c r="I504" i="29" s="1"/>
  <c r="M10" i="29"/>
  <c r="M503" i="29" s="1"/>
  <c r="I10" i="29"/>
  <c r="I503" i="29" s="1"/>
  <c r="M9" i="29"/>
  <c r="M502" i="29" s="1"/>
  <c r="I9" i="29"/>
  <c r="I502" i="29" s="1"/>
  <c r="M8" i="29"/>
  <c r="M501" i="29" s="1"/>
  <c r="M29" i="12" l="1"/>
  <c r="BL228" i="12" s="1"/>
  <c r="E20" i="29"/>
  <c r="BD219" i="29" s="1"/>
  <c r="I513" i="29"/>
  <c r="E22" i="28"/>
  <c r="BD221" i="28" s="1"/>
  <c r="E11" i="28"/>
  <c r="BD210" i="28" s="1"/>
  <c r="E21" i="28"/>
  <c r="BD220" i="28" s="1"/>
  <c r="E27" i="28"/>
  <c r="BD226" i="28" s="1"/>
  <c r="E18" i="28"/>
  <c r="BD217" i="28" s="1"/>
  <c r="E10" i="28"/>
  <c r="BD209" i="28" s="1"/>
  <c r="E19" i="28"/>
  <c r="BD218" i="28" s="1"/>
  <c r="E9" i="28"/>
  <c r="BD208" i="28" s="1"/>
  <c r="E9" i="29"/>
  <c r="BD208" i="29" s="1"/>
  <c r="E13" i="29"/>
  <c r="BD212" i="29" s="1"/>
  <c r="E15" i="29"/>
  <c r="BD214" i="29" s="1"/>
  <c r="E17" i="29"/>
  <c r="BD216" i="29" s="1"/>
  <c r="E24" i="28"/>
  <c r="BD223" i="28" s="1"/>
  <c r="E23" i="28"/>
  <c r="BD222" i="28" s="1"/>
  <c r="E26" i="28"/>
  <c r="BD225" i="28" s="1"/>
  <c r="E16" i="28"/>
  <c r="BD215" i="28" s="1"/>
  <c r="E25" i="28"/>
  <c r="BD224" i="28" s="1"/>
  <c r="E15" i="28"/>
  <c r="BD214" i="28" s="1"/>
  <c r="E14" i="28"/>
  <c r="BD213" i="28" s="1"/>
  <c r="E13" i="28"/>
  <c r="BD212" i="28" s="1"/>
  <c r="E19" i="29"/>
  <c r="BD218" i="29" s="1"/>
  <c r="E10" i="29"/>
  <c r="BD209" i="29" s="1"/>
  <c r="E14" i="29"/>
  <c r="BD213" i="29" s="1"/>
  <c r="E12" i="29"/>
  <c r="BD211" i="29" s="1"/>
  <c r="E18" i="29"/>
  <c r="BD217" i="29" s="1"/>
  <c r="E11" i="29"/>
  <c r="BD210" i="29" s="1"/>
  <c r="E8" i="29"/>
  <c r="BD207" i="29" s="1"/>
  <c r="L17" i="28"/>
  <c r="L510" i="28" s="1"/>
  <c r="BH221" i="28"/>
  <c r="BH222" i="28"/>
  <c r="BH225" i="28"/>
  <c r="BH223" i="28"/>
  <c r="BF219" i="28"/>
  <c r="BH220" i="28"/>
  <c r="BH226" i="28"/>
  <c r="BH224" i="28"/>
  <c r="BH217" i="28"/>
  <c r="BH218" i="28"/>
  <c r="BF211" i="28"/>
  <c r="BH212" i="28"/>
  <c r="BG211" i="28"/>
  <c r="BE211" i="28"/>
  <c r="BH215" i="28"/>
  <c r="BH213" i="28"/>
  <c r="BC211" i="28"/>
  <c r="BH214" i="28"/>
  <c r="BH210" i="28"/>
  <c r="BG207" i="28"/>
  <c r="BH209" i="28"/>
  <c r="BE207" i="28"/>
  <c r="BC207" i="28"/>
  <c r="BF207" i="28"/>
  <c r="BH208" i="28"/>
  <c r="BL218" i="29"/>
  <c r="BL216" i="29"/>
  <c r="BL217" i="29"/>
  <c r="BL219" i="29"/>
  <c r="BH219" i="29"/>
  <c r="BH217" i="29"/>
  <c r="BH216" i="29"/>
  <c r="BH218" i="29"/>
  <c r="BL212" i="29"/>
  <c r="BL209" i="29"/>
  <c r="BL207" i="29"/>
  <c r="BL208" i="29"/>
  <c r="BL213" i="29"/>
  <c r="BL210" i="29"/>
  <c r="BL214" i="29"/>
  <c r="BL211" i="29"/>
  <c r="BH209" i="29"/>
  <c r="BH213" i="29"/>
  <c r="BH214" i="29"/>
  <c r="BH211" i="29"/>
  <c r="BH207" i="29"/>
  <c r="BH208" i="29"/>
  <c r="BH210" i="29"/>
  <c r="BH212" i="29"/>
  <c r="BE209" i="8"/>
  <c r="D17" i="28"/>
  <c r="E510" i="28" s="1"/>
  <c r="BC219" i="28"/>
  <c r="F17" i="28"/>
  <c r="F510" i="28" s="1"/>
  <c r="BE219" i="28"/>
  <c r="BL223" i="28"/>
  <c r="AF25" i="5"/>
  <c r="CE224" i="5" s="1"/>
  <c r="BL208" i="28"/>
  <c r="AF10" i="5"/>
  <c r="CE209" i="5" s="1"/>
  <c r="BL224" i="28"/>
  <c r="AF26" i="5"/>
  <c r="CE225" i="5" s="1"/>
  <c r="BL220" i="28"/>
  <c r="AF22" i="5"/>
  <c r="CE221" i="5" s="1"/>
  <c r="BL209" i="28"/>
  <c r="AF11" i="5"/>
  <c r="CE210" i="5" s="1"/>
  <c r="BI207" i="28"/>
  <c r="K9" i="5"/>
  <c r="BJ208" i="5" s="1"/>
  <c r="J17" i="28"/>
  <c r="J510" i="28" s="1"/>
  <c r="BI219" i="28"/>
  <c r="K21" i="5"/>
  <c r="BJ220" i="5" s="1"/>
  <c r="BL226" i="28"/>
  <c r="AF28" i="5"/>
  <c r="CE227" i="5" s="1"/>
  <c r="BL222" i="28"/>
  <c r="AF24" i="5"/>
  <c r="CE223" i="5" s="1"/>
  <c r="BL217" i="28"/>
  <c r="AF19" i="5"/>
  <c r="CE218" i="5" s="1"/>
  <c r="BL212" i="28"/>
  <c r="AF14" i="5"/>
  <c r="CE213" i="5" s="1"/>
  <c r="BJ207" i="28"/>
  <c r="T9" i="5"/>
  <c r="BS208" i="5" s="1"/>
  <c r="BI211" i="28"/>
  <c r="K13" i="5"/>
  <c r="BJ212" i="5" s="1"/>
  <c r="BJ219" i="28"/>
  <c r="T21" i="5"/>
  <c r="BS220" i="5" s="1"/>
  <c r="BL218" i="28"/>
  <c r="AF20" i="5"/>
  <c r="CE219" i="5" s="1"/>
  <c r="BL213" i="28"/>
  <c r="AF15" i="5"/>
  <c r="CE214" i="5" s="1"/>
  <c r="BK207" i="28"/>
  <c r="AC9" i="5"/>
  <c r="CB208" i="5" s="1"/>
  <c r="BJ211" i="28"/>
  <c r="T13" i="5"/>
  <c r="BS212" i="5" s="1"/>
  <c r="BK219" i="28"/>
  <c r="AC21" i="5"/>
  <c r="CB220" i="5" s="1"/>
  <c r="BL214" i="28"/>
  <c r="AF16" i="5"/>
  <c r="CE215" i="5" s="1"/>
  <c r="BK211" i="28"/>
  <c r="AC13" i="5"/>
  <c r="CB212" i="5" s="1"/>
  <c r="H17" i="28"/>
  <c r="H510" i="28" s="1"/>
  <c r="BG219" i="28"/>
  <c r="BL225" i="28"/>
  <c r="AF27" i="5"/>
  <c r="CE226" i="5" s="1"/>
  <c r="BL221" i="28"/>
  <c r="AF23" i="5"/>
  <c r="CE222" i="5" s="1"/>
  <c r="BL215" i="28"/>
  <c r="AF17" i="5"/>
  <c r="CE216" i="5" s="1"/>
  <c r="BL210" i="28"/>
  <c r="AF12" i="5"/>
  <c r="CE211" i="5" s="1"/>
  <c r="K17" i="28"/>
  <c r="K510" i="28" s="1"/>
  <c r="F21" i="29"/>
  <c r="BE215" i="29"/>
  <c r="K21" i="29"/>
  <c r="BJ215" i="29"/>
  <c r="J21" i="29"/>
  <c r="BI215" i="29"/>
  <c r="H21" i="29"/>
  <c r="BG215" i="29"/>
  <c r="D21" i="29"/>
  <c r="BC215" i="29"/>
  <c r="G21" i="29"/>
  <c r="BF215" i="29"/>
  <c r="L21" i="29"/>
  <c r="BK215" i="29"/>
  <c r="I20" i="28"/>
  <c r="I513" i="28" s="1"/>
  <c r="I12" i="28"/>
  <c r="I505" i="28" s="1"/>
  <c r="M8" i="28"/>
  <c r="M501" i="28" s="1"/>
  <c r="G17" i="28"/>
  <c r="G510" i="28" s="1"/>
  <c r="M20" i="28"/>
  <c r="M513" i="28" s="1"/>
  <c r="M12" i="28"/>
  <c r="M505" i="28" s="1"/>
  <c r="I8" i="28"/>
  <c r="I501" i="28" s="1"/>
  <c r="I16" i="29"/>
  <c r="I509" i="29" s="1"/>
  <c r="M16" i="29"/>
  <c r="M509" i="29" s="1"/>
  <c r="G514" i="29" l="1"/>
  <c r="G24" i="29"/>
  <c r="BF223" i="29" s="1"/>
  <c r="H514" i="29"/>
  <c r="H24" i="29"/>
  <c r="BG223" i="29" s="1"/>
  <c r="L24" i="29"/>
  <c r="BK223" i="29" s="1"/>
  <c r="L514" i="29"/>
  <c r="K514" i="29"/>
  <c r="K24" i="29"/>
  <c r="BJ223" i="29" s="1"/>
  <c r="J24" i="29"/>
  <c r="BI223" i="29" s="1"/>
  <c r="J514" i="29"/>
  <c r="F24" i="29"/>
  <c r="BE223" i="29" s="1"/>
  <c r="F514" i="29"/>
  <c r="D24" i="29"/>
  <c r="BC223" i="29" s="1"/>
  <c r="E514" i="29"/>
  <c r="D28" i="28"/>
  <c r="E521" i="28" s="1"/>
  <c r="E8" i="28"/>
  <c r="BD207" i="28" s="1"/>
  <c r="L28" i="28"/>
  <c r="E20" i="28"/>
  <c r="BD219" i="28" s="1"/>
  <c r="AC18" i="5"/>
  <c r="CB217" i="5" s="1"/>
  <c r="BK216" i="28"/>
  <c r="E12" i="28"/>
  <c r="BD211" i="28" s="1"/>
  <c r="E16" i="29"/>
  <c r="BD215" i="29" s="1"/>
  <c r="BH219" i="28"/>
  <c r="M17" i="28"/>
  <c r="M510" i="28" s="1"/>
  <c r="K28" i="28"/>
  <c r="K521" i="28" s="1"/>
  <c r="J28" i="28"/>
  <c r="J521" i="28" s="1"/>
  <c r="BE216" i="28"/>
  <c r="BF216" i="28"/>
  <c r="BG216" i="28"/>
  <c r="BC216" i="28"/>
  <c r="BH211" i="28"/>
  <c r="BH207" i="28"/>
  <c r="BK220" i="29"/>
  <c r="BI220" i="29"/>
  <c r="BJ220" i="29"/>
  <c r="BC220" i="29"/>
  <c r="BE220" i="29"/>
  <c r="BF220" i="29"/>
  <c r="BG220" i="29"/>
  <c r="BL219" i="28"/>
  <c r="AF21" i="5"/>
  <c r="CE220" i="5" s="1"/>
  <c r="BI216" i="28"/>
  <c r="K18" i="5"/>
  <c r="BJ217" i="5" s="1"/>
  <c r="F28" i="28"/>
  <c r="F521" i="28" s="1"/>
  <c r="BL207" i="28"/>
  <c r="AF9" i="5"/>
  <c r="CE208" i="5" s="1"/>
  <c r="BL211" i="28"/>
  <c r="AF13" i="5"/>
  <c r="CE212" i="5" s="1"/>
  <c r="BJ216" i="28"/>
  <c r="T18" i="5"/>
  <c r="BS217" i="5" s="1"/>
  <c r="H28" i="28"/>
  <c r="H521" i="28" s="1"/>
  <c r="I21" i="29"/>
  <c r="BH215" i="29"/>
  <c r="M21" i="29"/>
  <c r="BL215" i="29"/>
  <c r="I17" i="28"/>
  <c r="I510" i="28" s="1"/>
  <c r="G28" i="28"/>
  <c r="G521" i="28" s="1"/>
  <c r="D10" i="8"/>
  <c r="E503" i="8" s="1"/>
  <c r="G10" i="8"/>
  <c r="G503" i="8" s="1"/>
  <c r="BK227" i="28" l="1"/>
  <c r="L521" i="28"/>
  <c r="BL216" i="28"/>
  <c r="AF18" i="5"/>
  <c r="CE217" i="5" s="1"/>
  <c r="BC227" i="28"/>
  <c r="F2" i="29"/>
  <c r="BE201" i="29" s="1"/>
  <c r="M514" i="29"/>
  <c r="M24" i="29"/>
  <c r="BL223" i="29" s="1"/>
  <c r="I514" i="29"/>
  <c r="I24" i="29"/>
  <c r="BH223" i="29" s="1"/>
  <c r="AC29" i="5"/>
  <c r="CB228" i="5" s="1"/>
  <c r="E17" i="28"/>
  <c r="BD216" i="28" s="1"/>
  <c r="E21" i="29"/>
  <c r="BD220" i="29" s="1"/>
  <c r="BJ227" i="28"/>
  <c r="T29" i="5"/>
  <c r="BS228" i="5" s="1"/>
  <c r="M28" i="28"/>
  <c r="M521" i="28" s="1"/>
  <c r="K29" i="5"/>
  <c r="BJ228" i="5" s="1"/>
  <c r="BI227" i="28"/>
  <c r="BH216" i="28"/>
  <c r="BG227" i="28"/>
  <c r="BE227" i="28"/>
  <c r="BL220" i="29"/>
  <c r="BH220" i="29"/>
  <c r="BF209" i="8"/>
  <c r="BC209" i="8"/>
  <c r="I28" i="28"/>
  <c r="I521" i="28" s="1"/>
  <c r="BF227" i="28"/>
  <c r="X9" i="27"/>
  <c r="Y502" i="27" s="1"/>
  <c r="X10" i="27"/>
  <c r="Y503" i="27" s="1"/>
  <c r="X11" i="27"/>
  <c r="Y504" i="27" s="1"/>
  <c r="X12" i="27"/>
  <c r="Y505" i="27" s="1"/>
  <c r="X13" i="27"/>
  <c r="Y506" i="27" s="1"/>
  <c r="X14" i="27"/>
  <c r="Y507" i="27" s="1"/>
  <c r="X15" i="27"/>
  <c r="Y508" i="27" s="1"/>
  <c r="X16" i="27"/>
  <c r="Y509" i="27" s="1"/>
  <c r="X17" i="27"/>
  <c r="Y510" i="27" s="1"/>
  <c r="X18" i="27"/>
  <c r="Y511" i="27" s="1"/>
  <c r="X19" i="27"/>
  <c r="Y512" i="27" s="1"/>
  <c r="X20" i="27"/>
  <c r="Y513" i="27" s="1"/>
  <c r="X21" i="27"/>
  <c r="Y514" i="27" s="1"/>
  <c r="X22" i="27"/>
  <c r="Y515" i="27" s="1"/>
  <c r="X8" i="27"/>
  <c r="Y501" i="27" s="1"/>
  <c r="Q9" i="27"/>
  <c r="R502" i="27" s="1"/>
  <c r="Q10" i="27"/>
  <c r="R503" i="27" s="1"/>
  <c r="Q11" i="27"/>
  <c r="R504" i="27" s="1"/>
  <c r="Q12" i="27"/>
  <c r="R505" i="27" s="1"/>
  <c r="Q13" i="27"/>
  <c r="R506" i="27" s="1"/>
  <c r="Q14" i="27"/>
  <c r="R507" i="27" s="1"/>
  <c r="Q15" i="27"/>
  <c r="R508" i="27" s="1"/>
  <c r="Q16" i="27"/>
  <c r="R509" i="27" s="1"/>
  <c r="Q17" i="27"/>
  <c r="R510" i="27" s="1"/>
  <c r="Q18" i="27"/>
  <c r="R511" i="27" s="1"/>
  <c r="Q19" i="27"/>
  <c r="R512" i="27" s="1"/>
  <c r="Q20" i="27"/>
  <c r="R513" i="27" s="1"/>
  <c r="Q21" i="27"/>
  <c r="R514" i="27" s="1"/>
  <c r="Q22" i="27"/>
  <c r="R515" i="27" s="1"/>
  <c r="Q8" i="27"/>
  <c r="R501" i="27" s="1"/>
  <c r="J9" i="27"/>
  <c r="K502" i="27" s="1"/>
  <c r="J10" i="27"/>
  <c r="K503" i="27" s="1"/>
  <c r="J11" i="27"/>
  <c r="K504" i="27" s="1"/>
  <c r="J12" i="27"/>
  <c r="K505" i="27" s="1"/>
  <c r="J13" i="27"/>
  <c r="K506" i="27" s="1"/>
  <c r="J14" i="27"/>
  <c r="K507" i="27" s="1"/>
  <c r="J15" i="27"/>
  <c r="K508" i="27" s="1"/>
  <c r="J16" i="27"/>
  <c r="K509" i="27" s="1"/>
  <c r="J17" i="27"/>
  <c r="K510" i="27" s="1"/>
  <c r="J18" i="27"/>
  <c r="K511" i="27" s="1"/>
  <c r="J19" i="27"/>
  <c r="K512" i="27" s="1"/>
  <c r="J20" i="27"/>
  <c r="K513" i="27" s="1"/>
  <c r="J21" i="27"/>
  <c r="K514" i="27" s="1"/>
  <c r="J22" i="27"/>
  <c r="K515" i="27" s="1"/>
  <c r="J8" i="27"/>
  <c r="K501" i="27" s="1"/>
  <c r="AF29" i="5" l="1"/>
  <c r="CE228" i="5" s="1"/>
  <c r="BL227" i="28"/>
  <c r="E28" i="28"/>
  <c r="BD227" i="28" s="1"/>
  <c r="BH227" i="28"/>
  <c r="BW221" i="27"/>
  <c r="BP221" i="27"/>
  <c r="BI221" i="27"/>
  <c r="BW220" i="27"/>
  <c r="BP220" i="27"/>
  <c r="BI220" i="27"/>
  <c r="BW219" i="27"/>
  <c r="BP219" i="27"/>
  <c r="BI219" i="27"/>
  <c r="BW218" i="27"/>
  <c r="BP218" i="27"/>
  <c r="BW217" i="27"/>
  <c r="BP217" i="27"/>
  <c r="BI217" i="27"/>
  <c r="BW216" i="27"/>
  <c r="BP216" i="27"/>
  <c r="BI216" i="27"/>
  <c r="BW215" i="27"/>
  <c r="BP215" i="27"/>
  <c r="BI215" i="27"/>
  <c r="BW214" i="27"/>
  <c r="BP214" i="27"/>
  <c r="BI214" i="27"/>
  <c r="BW213" i="27"/>
  <c r="BP213" i="27"/>
  <c r="BI213" i="27"/>
  <c r="BW212" i="27"/>
  <c r="BP212" i="27"/>
  <c r="BI212" i="27"/>
  <c r="BW211" i="27"/>
  <c r="BP211" i="27"/>
  <c r="BI211" i="27"/>
  <c r="BW210" i="27"/>
  <c r="BP210" i="27"/>
  <c r="BI210" i="27"/>
  <c r="BW209" i="27"/>
  <c r="BP209" i="27"/>
  <c r="BI209" i="27"/>
  <c r="BW208" i="27"/>
  <c r="BP208" i="27"/>
  <c r="BI208" i="27"/>
  <c r="BW207" i="27"/>
  <c r="BP207" i="27"/>
  <c r="BI207" i="27"/>
  <c r="BI218" i="27"/>
  <c r="Y22" i="27"/>
  <c r="Y21" i="27"/>
  <c r="Z514" i="27" s="1"/>
  <c r="Y20" i="27"/>
  <c r="Z513" i="27" s="1"/>
  <c r="Y19" i="27"/>
  <c r="Z512" i="27" s="1"/>
  <c r="Y18" i="27"/>
  <c r="Z511" i="27" s="1"/>
  <c r="Y17" i="27"/>
  <c r="Z510" i="27" s="1"/>
  <c r="Y16" i="27"/>
  <c r="Z509" i="27" s="1"/>
  <c r="Y15" i="27"/>
  <c r="Z508" i="27" s="1"/>
  <c r="Y14" i="27"/>
  <c r="Z507" i="27" s="1"/>
  <c r="Y13" i="27"/>
  <c r="Z506" i="27" s="1"/>
  <c r="Y12" i="27"/>
  <c r="Z505" i="27" s="1"/>
  <c r="Y11" i="27"/>
  <c r="Z504" i="27" s="1"/>
  <c r="Y10" i="27"/>
  <c r="Z503" i="27" s="1"/>
  <c r="Y9" i="27"/>
  <c r="Z502" i="27" s="1"/>
  <c r="Y8" i="27"/>
  <c r="Z501" i="27" s="1"/>
  <c r="I8" i="8"/>
  <c r="I501" i="8" s="1"/>
  <c r="C2" i="28" l="1"/>
  <c r="BB201" i="28" s="1"/>
  <c r="Z515" i="27"/>
  <c r="BH207" i="8"/>
  <c r="BX221" i="27"/>
  <c r="BX220" i="27"/>
  <c r="BX219" i="27"/>
  <c r="BX217" i="27"/>
  <c r="BX216" i="27"/>
  <c r="BX215" i="27"/>
  <c r="BX214" i="27"/>
  <c r="BX213" i="27"/>
  <c r="BX212" i="27"/>
  <c r="BX211" i="27"/>
  <c r="BX210" i="27"/>
  <c r="BX209" i="27"/>
  <c r="BX208" i="27"/>
  <c r="BX207" i="27"/>
  <c r="BX218" i="27"/>
  <c r="E488" i="1"/>
  <c r="F488" i="1"/>
  <c r="G488" i="1"/>
  <c r="I488" i="1"/>
  <c r="J488" i="1"/>
  <c r="E14" i="1"/>
  <c r="E505" i="1" s="1"/>
  <c r="F14" i="1"/>
  <c r="F505" i="1" s="1"/>
  <c r="G14" i="1"/>
  <c r="G505" i="1" s="1"/>
  <c r="I14" i="1"/>
  <c r="I505" i="1" s="1"/>
  <c r="J14" i="1"/>
  <c r="J505" i="1" s="1"/>
  <c r="K14" i="1"/>
  <c r="K505" i="1" s="1"/>
  <c r="E484" i="1"/>
  <c r="F484" i="1"/>
  <c r="G484" i="1"/>
  <c r="I484" i="1"/>
  <c r="J484" i="1"/>
  <c r="K484" i="1"/>
  <c r="E483" i="1"/>
  <c r="F483" i="1"/>
  <c r="G483" i="1"/>
  <c r="I483" i="1"/>
  <c r="J483" i="1"/>
  <c r="K483" i="1"/>
  <c r="E482" i="1"/>
  <c r="F482" i="1"/>
  <c r="G482" i="1"/>
  <c r="I482" i="1"/>
  <c r="J482" i="1"/>
  <c r="K482" i="1"/>
  <c r="L43" i="8"/>
  <c r="K29" i="1" s="1"/>
  <c r="K43" i="8"/>
  <c r="J29" i="1" s="1"/>
  <c r="J43" i="8"/>
  <c r="I29" i="1" s="1"/>
  <c r="H43" i="8"/>
  <c r="G29" i="1" s="1"/>
  <c r="G43" i="8"/>
  <c r="F29" i="1" s="1"/>
  <c r="F43" i="8"/>
  <c r="E29" i="1" s="1"/>
  <c r="D43" i="8"/>
  <c r="D52" i="8" s="1"/>
  <c r="BC251" i="8" s="1"/>
  <c r="L34" i="8"/>
  <c r="L527" i="8" s="1"/>
  <c r="K34" i="8"/>
  <c r="K527" i="8" s="1"/>
  <c r="J34" i="8"/>
  <c r="J527" i="8" s="1"/>
  <c r="H34" i="8"/>
  <c r="H527" i="8" s="1"/>
  <c r="G34" i="8"/>
  <c r="G527" i="8" s="1"/>
  <c r="F34" i="8"/>
  <c r="F527" i="8" s="1"/>
  <c r="D34" i="8"/>
  <c r="E527" i="8" s="1"/>
  <c r="L26" i="8"/>
  <c r="L519" i="8" s="1"/>
  <c r="K26" i="8"/>
  <c r="K519" i="8" s="1"/>
  <c r="J26" i="8"/>
  <c r="J519" i="8" s="1"/>
  <c r="H26" i="8"/>
  <c r="H519" i="8" s="1"/>
  <c r="G26" i="8"/>
  <c r="G519" i="8" s="1"/>
  <c r="F26" i="8"/>
  <c r="F519" i="8" s="1"/>
  <c r="D26" i="8"/>
  <c r="E519" i="8" s="1"/>
  <c r="L21" i="8"/>
  <c r="L514" i="8" s="1"/>
  <c r="K21" i="8"/>
  <c r="K514" i="8" s="1"/>
  <c r="J21" i="8"/>
  <c r="J514" i="8" s="1"/>
  <c r="H21" i="8"/>
  <c r="H514" i="8" s="1"/>
  <c r="G21" i="8"/>
  <c r="G514" i="8" s="1"/>
  <c r="F21" i="8"/>
  <c r="F514" i="8" s="1"/>
  <c r="D21" i="8"/>
  <c r="E514" i="8" s="1"/>
  <c r="L16" i="8"/>
  <c r="L509" i="8" s="1"/>
  <c r="K16" i="8"/>
  <c r="K509" i="8" s="1"/>
  <c r="J16" i="8"/>
  <c r="J509" i="8" s="1"/>
  <c r="F16" i="8"/>
  <c r="F509" i="8" s="1"/>
  <c r="G16" i="8"/>
  <c r="G509" i="8" s="1"/>
  <c r="H16" i="8"/>
  <c r="H509" i="8" s="1"/>
  <c r="D16" i="8"/>
  <c r="E509" i="8" s="1"/>
  <c r="K10" i="8"/>
  <c r="K503" i="8" s="1"/>
  <c r="L10" i="8"/>
  <c r="L503" i="8" s="1"/>
  <c r="J10" i="8"/>
  <c r="J503" i="8" s="1"/>
  <c r="I9" i="8"/>
  <c r="I502" i="8" s="1"/>
  <c r="I11" i="8"/>
  <c r="I504" i="8" s="1"/>
  <c r="I12" i="8"/>
  <c r="I505" i="8" s="1"/>
  <c r="I13" i="8"/>
  <c r="I506" i="8" s="1"/>
  <c r="I14" i="8"/>
  <c r="I507" i="8" s="1"/>
  <c r="I15" i="8"/>
  <c r="I508" i="8" s="1"/>
  <c r="I17" i="8"/>
  <c r="I510" i="8" s="1"/>
  <c r="I18" i="8"/>
  <c r="I511" i="8" s="1"/>
  <c r="I19" i="8"/>
  <c r="I512" i="8" s="1"/>
  <c r="I20" i="8"/>
  <c r="I513" i="8" s="1"/>
  <c r="I22" i="8"/>
  <c r="I515" i="8" s="1"/>
  <c r="I23" i="8"/>
  <c r="I516" i="8" s="1"/>
  <c r="I24" i="8"/>
  <c r="I517" i="8" s="1"/>
  <c r="I25" i="8"/>
  <c r="I518" i="8" s="1"/>
  <c r="I27" i="8"/>
  <c r="I520" i="8" s="1"/>
  <c r="I28" i="8"/>
  <c r="I521" i="8" s="1"/>
  <c r="I29" i="8"/>
  <c r="I522" i="8" s="1"/>
  <c r="I30" i="8"/>
  <c r="I523" i="8" s="1"/>
  <c r="I32" i="8"/>
  <c r="I525" i="8" s="1"/>
  <c r="I33" i="8"/>
  <c r="I526" i="8" s="1"/>
  <c r="I35" i="8"/>
  <c r="I528" i="8" s="1"/>
  <c r="I36" i="8"/>
  <c r="I529" i="8" s="1"/>
  <c r="I37" i="8"/>
  <c r="I530" i="8" s="1"/>
  <c r="I38" i="8"/>
  <c r="I531" i="8" s="1"/>
  <c r="I39" i="8"/>
  <c r="I532" i="8" s="1"/>
  <c r="I40" i="8"/>
  <c r="I533" i="8" s="1"/>
  <c r="I41" i="8"/>
  <c r="I534" i="8" s="1"/>
  <c r="I44" i="8"/>
  <c r="I537" i="8" s="1"/>
  <c r="I45" i="8"/>
  <c r="I538" i="8" s="1"/>
  <c r="I46" i="8"/>
  <c r="I539" i="8" s="1"/>
  <c r="I47" i="8"/>
  <c r="I540" i="8" s="1"/>
  <c r="I48" i="8"/>
  <c r="I541" i="8" s="1"/>
  <c r="I49" i="8"/>
  <c r="I542" i="8" s="1"/>
  <c r="I50" i="8"/>
  <c r="I543" i="8" s="1"/>
  <c r="H10" i="8"/>
  <c r="H503" i="8" s="1"/>
  <c r="W23" i="27"/>
  <c r="V23" i="27"/>
  <c r="U23" i="27"/>
  <c r="T23" i="27"/>
  <c r="S23" i="27"/>
  <c r="R23" i="27"/>
  <c r="P23" i="27"/>
  <c r="O23" i="27"/>
  <c r="N23" i="27"/>
  <c r="M23" i="27"/>
  <c r="L23" i="27"/>
  <c r="K23" i="27"/>
  <c r="I23" i="27"/>
  <c r="H23" i="27"/>
  <c r="G23" i="27"/>
  <c r="F23" i="27"/>
  <c r="F24" i="27" s="1"/>
  <c r="BE223" i="27" s="1"/>
  <c r="E23" i="27"/>
  <c r="D23" i="27"/>
  <c r="D24" i="27" s="1"/>
  <c r="BC223" i="27" s="1"/>
  <c r="N16" i="26"/>
  <c r="O509" i="26" s="1"/>
  <c r="N15" i="26"/>
  <c r="O508" i="26" s="1"/>
  <c r="N14" i="26"/>
  <c r="O507" i="26" s="1"/>
  <c r="N13" i="26"/>
  <c r="O506" i="26" s="1"/>
  <c r="K13" i="26"/>
  <c r="L506" i="26" s="1"/>
  <c r="K14" i="26"/>
  <c r="L507" i="26" s="1"/>
  <c r="K15" i="26"/>
  <c r="L508" i="26" s="1"/>
  <c r="K16" i="26"/>
  <c r="L509" i="26" s="1"/>
  <c r="G13" i="26"/>
  <c r="H506" i="26" s="1"/>
  <c r="G14" i="26"/>
  <c r="H507" i="26" s="1"/>
  <c r="G15" i="26"/>
  <c r="H508" i="26" s="1"/>
  <c r="G16" i="26"/>
  <c r="H509" i="26" s="1"/>
  <c r="Q9" i="25"/>
  <c r="R501" i="25" s="1"/>
  <c r="AQ11" i="24"/>
  <c r="AR502" i="24" s="1"/>
  <c r="AQ12" i="24"/>
  <c r="AR503" i="24" s="1"/>
  <c r="AQ13" i="24"/>
  <c r="AR504" i="24" s="1"/>
  <c r="AQ14" i="24"/>
  <c r="AR505" i="24" s="1"/>
  <c r="AQ15" i="24"/>
  <c r="AR506" i="24" s="1"/>
  <c r="AQ16" i="24"/>
  <c r="AR507" i="24" s="1"/>
  <c r="AQ17" i="24"/>
  <c r="AR508" i="24" s="1"/>
  <c r="AQ18" i="24"/>
  <c r="AR509" i="24" s="1"/>
  <c r="AQ10" i="24"/>
  <c r="AR501" i="24" s="1"/>
  <c r="AM11" i="24"/>
  <c r="AN502" i="24" s="1"/>
  <c r="AM12" i="24"/>
  <c r="AN503" i="24" s="1"/>
  <c r="AM13" i="24"/>
  <c r="AN504" i="24" s="1"/>
  <c r="AM14" i="24"/>
  <c r="AN505" i="24" s="1"/>
  <c r="AM15" i="24"/>
  <c r="AN506" i="24" s="1"/>
  <c r="AM16" i="24"/>
  <c r="AN507" i="24" s="1"/>
  <c r="AM17" i="24"/>
  <c r="AN508" i="24" s="1"/>
  <c r="AM18" i="24"/>
  <c r="AN509" i="24" s="1"/>
  <c r="AM10" i="24"/>
  <c r="AN501" i="24" s="1"/>
  <c r="AI11" i="24"/>
  <c r="AJ502" i="24" s="1"/>
  <c r="AI12" i="24"/>
  <c r="AJ503" i="24" s="1"/>
  <c r="AI13" i="24"/>
  <c r="AJ504" i="24" s="1"/>
  <c r="AI14" i="24"/>
  <c r="AJ505" i="24" s="1"/>
  <c r="AI15" i="24"/>
  <c r="AJ506" i="24" s="1"/>
  <c r="AI16" i="24"/>
  <c r="AJ507" i="24" s="1"/>
  <c r="AI17" i="24"/>
  <c r="AJ508" i="24" s="1"/>
  <c r="AI18" i="24"/>
  <c r="AJ509" i="24" s="1"/>
  <c r="AI10" i="24"/>
  <c r="AJ501" i="24" s="1"/>
  <c r="AE11" i="24"/>
  <c r="AF502" i="24" s="1"/>
  <c r="AE12" i="24"/>
  <c r="AF503" i="24" s="1"/>
  <c r="AE13" i="24"/>
  <c r="AF504" i="24" s="1"/>
  <c r="AE14" i="24"/>
  <c r="AF505" i="24" s="1"/>
  <c r="AE15" i="24"/>
  <c r="AF506" i="24" s="1"/>
  <c r="AE16" i="24"/>
  <c r="AF507" i="24" s="1"/>
  <c r="AE17" i="24"/>
  <c r="AF508" i="24" s="1"/>
  <c r="AE18" i="24"/>
  <c r="AF509" i="24" s="1"/>
  <c r="AE10" i="24"/>
  <c r="AF501" i="24" s="1"/>
  <c r="W11" i="24"/>
  <c r="X502" i="24" s="1"/>
  <c r="W12" i="24"/>
  <c r="X503" i="24" s="1"/>
  <c r="W13" i="24"/>
  <c r="X504" i="24" s="1"/>
  <c r="W14" i="24"/>
  <c r="X505" i="24" s="1"/>
  <c r="W15" i="24"/>
  <c r="X506" i="24" s="1"/>
  <c r="W16" i="24"/>
  <c r="X507" i="24" s="1"/>
  <c r="W17" i="24"/>
  <c r="X508" i="24" s="1"/>
  <c r="W18" i="24"/>
  <c r="X509" i="24" s="1"/>
  <c r="W10" i="24"/>
  <c r="X501" i="24" s="1"/>
  <c r="S11" i="24"/>
  <c r="T502" i="24" s="1"/>
  <c r="S12" i="24"/>
  <c r="T503" i="24" s="1"/>
  <c r="S13" i="24"/>
  <c r="T504" i="24" s="1"/>
  <c r="S14" i="24"/>
  <c r="T505" i="24" s="1"/>
  <c r="S15" i="24"/>
  <c r="T506" i="24" s="1"/>
  <c r="S16" i="24"/>
  <c r="T507" i="24" s="1"/>
  <c r="S17" i="24"/>
  <c r="T508" i="24" s="1"/>
  <c r="S18" i="24"/>
  <c r="T509" i="24" s="1"/>
  <c r="S10" i="24"/>
  <c r="T501" i="24" s="1"/>
  <c r="AQ12" i="23"/>
  <c r="AR502" i="23" s="1"/>
  <c r="AQ13" i="23"/>
  <c r="AR503" i="23" s="1"/>
  <c r="AQ14" i="23"/>
  <c r="AR504" i="23" s="1"/>
  <c r="AQ15" i="23"/>
  <c r="AR505" i="23" s="1"/>
  <c r="AQ16" i="23"/>
  <c r="AR506" i="23" s="1"/>
  <c r="AQ17" i="23"/>
  <c r="AR507" i="23" s="1"/>
  <c r="AQ11" i="23"/>
  <c r="AR501" i="23" s="1"/>
  <c r="AM12" i="23"/>
  <c r="AN502" i="23" s="1"/>
  <c r="AM13" i="23"/>
  <c r="AN503" i="23" s="1"/>
  <c r="AM14" i="23"/>
  <c r="AN504" i="23" s="1"/>
  <c r="AM15" i="23"/>
  <c r="AN505" i="23" s="1"/>
  <c r="AM16" i="23"/>
  <c r="AN506" i="23" s="1"/>
  <c r="AM17" i="23"/>
  <c r="AN507" i="23" s="1"/>
  <c r="AM11" i="23"/>
  <c r="AN501" i="23" s="1"/>
  <c r="AI12" i="23"/>
  <c r="AJ502" i="23" s="1"/>
  <c r="AI13" i="23"/>
  <c r="AJ503" i="23" s="1"/>
  <c r="AI14" i="23"/>
  <c r="AJ504" i="23" s="1"/>
  <c r="AI15" i="23"/>
  <c r="AJ505" i="23" s="1"/>
  <c r="AI16" i="23"/>
  <c r="AJ506" i="23" s="1"/>
  <c r="AI17" i="23"/>
  <c r="AJ507" i="23" s="1"/>
  <c r="AI11" i="23"/>
  <c r="AJ501" i="23" s="1"/>
  <c r="AE17" i="23"/>
  <c r="AF507" i="23" s="1"/>
  <c r="AE12" i="23"/>
  <c r="AF502" i="23" s="1"/>
  <c r="AE13" i="23"/>
  <c r="AF503" i="23" s="1"/>
  <c r="AE14" i="23"/>
  <c r="AF504" i="23" s="1"/>
  <c r="AE15" i="23"/>
  <c r="AF505" i="23" s="1"/>
  <c r="AE16" i="23"/>
  <c r="AF506" i="23" s="1"/>
  <c r="AE11" i="23"/>
  <c r="AF501" i="23" s="1"/>
  <c r="W12" i="23"/>
  <c r="X502" i="23" s="1"/>
  <c r="W13" i="23"/>
  <c r="X503" i="23" s="1"/>
  <c r="W14" i="23"/>
  <c r="X504" i="23" s="1"/>
  <c r="W15" i="23"/>
  <c r="X505" i="23" s="1"/>
  <c r="W16" i="23"/>
  <c r="X506" i="23" s="1"/>
  <c r="W17" i="23"/>
  <c r="X507" i="23" s="1"/>
  <c r="W11" i="23"/>
  <c r="X501" i="23" s="1"/>
  <c r="S12" i="23"/>
  <c r="T502" i="23" s="1"/>
  <c r="S13" i="23"/>
  <c r="T503" i="23" s="1"/>
  <c r="S14" i="23"/>
  <c r="T504" i="23" s="1"/>
  <c r="S15" i="23"/>
  <c r="T505" i="23" s="1"/>
  <c r="S16" i="23"/>
  <c r="T506" i="23" s="1"/>
  <c r="S17" i="23"/>
  <c r="T507" i="23" s="1"/>
  <c r="S11" i="23"/>
  <c r="T501" i="23" s="1"/>
  <c r="O12" i="23"/>
  <c r="P502" i="23" s="1"/>
  <c r="O13" i="23"/>
  <c r="P503" i="23" s="1"/>
  <c r="O14" i="23"/>
  <c r="P504" i="23" s="1"/>
  <c r="O15" i="23"/>
  <c r="P505" i="23" s="1"/>
  <c r="O16" i="23"/>
  <c r="P506" i="23" s="1"/>
  <c r="O17" i="23"/>
  <c r="P507" i="23" s="1"/>
  <c r="O11" i="23"/>
  <c r="P501" i="23" s="1"/>
  <c r="K12" i="23"/>
  <c r="L502" i="23" s="1"/>
  <c r="K13" i="23"/>
  <c r="L503" i="23" s="1"/>
  <c r="K14" i="23"/>
  <c r="L504" i="23" s="1"/>
  <c r="K15" i="23"/>
  <c r="L505" i="23" s="1"/>
  <c r="K16" i="23"/>
  <c r="L506" i="23" s="1"/>
  <c r="K17" i="23"/>
  <c r="L507" i="23" s="1"/>
  <c r="K11" i="23"/>
  <c r="L501" i="23" s="1"/>
  <c r="G12" i="23"/>
  <c r="H502" i="23" s="1"/>
  <c r="G13" i="23"/>
  <c r="H503" i="23" s="1"/>
  <c r="G14" i="23"/>
  <c r="H504" i="23" s="1"/>
  <c r="G15" i="23"/>
  <c r="H505" i="23" s="1"/>
  <c r="G16" i="23"/>
  <c r="H506" i="23" s="1"/>
  <c r="G17" i="23"/>
  <c r="H507" i="23" s="1"/>
  <c r="G11" i="23"/>
  <c r="H501" i="23" s="1"/>
  <c r="AD16" i="20"/>
  <c r="AE509" i="20" s="1"/>
  <c r="AD15" i="20"/>
  <c r="AE508" i="20" s="1"/>
  <c r="AD14" i="20"/>
  <c r="AE507" i="20" s="1"/>
  <c r="AD13" i="20"/>
  <c r="AE506" i="20" s="1"/>
  <c r="AD12" i="20"/>
  <c r="AE505" i="20" s="1"/>
  <c r="AD11" i="20"/>
  <c r="AE504" i="20" s="1"/>
  <c r="AD10" i="20"/>
  <c r="AE503" i="20" s="1"/>
  <c r="AD9" i="20"/>
  <c r="AE502" i="20" s="1"/>
  <c r="AD8" i="20"/>
  <c r="AE501" i="20" s="1"/>
  <c r="AC9" i="20"/>
  <c r="AD502" i="20" s="1"/>
  <c r="AC10" i="20"/>
  <c r="AD503" i="20" s="1"/>
  <c r="AC11" i="20"/>
  <c r="AD504" i="20" s="1"/>
  <c r="AC12" i="20"/>
  <c r="AD505" i="20" s="1"/>
  <c r="AC13" i="20"/>
  <c r="AD506" i="20" s="1"/>
  <c r="AC14" i="20"/>
  <c r="AD507" i="20" s="1"/>
  <c r="AC15" i="20"/>
  <c r="AD508" i="20" s="1"/>
  <c r="AC16" i="20"/>
  <c r="AD509" i="20" s="1"/>
  <c r="AC8" i="20"/>
  <c r="AD501" i="20" s="1"/>
  <c r="AB9" i="20"/>
  <c r="AC502" i="20" s="1"/>
  <c r="AB10" i="20"/>
  <c r="AC503" i="20" s="1"/>
  <c r="AB11" i="20"/>
  <c r="AC504" i="20" s="1"/>
  <c r="AB12" i="20"/>
  <c r="AC505" i="20" s="1"/>
  <c r="AB13" i="20"/>
  <c r="AC506" i="20" s="1"/>
  <c r="AB14" i="20"/>
  <c r="AC507" i="20" s="1"/>
  <c r="AB16" i="20"/>
  <c r="AC509" i="20" s="1"/>
  <c r="AA9" i="20"/>
  <c r="AB502" i="20" s="1"/>
  <c r="AA10" i="20"/>
  <c r="AB503" i="20" s="1"/>
  <c r="AA11" i="20"/>
  <c r="AB504" i="20" s="1"/>
  <c r="AA12" i="20"/>
  <c r="AB505" i="20" s="1"/>
  <c r="AA13" i="20"/>
  <c r="AB506" i="20" s="1"/>
  <c r="AA14" i="20"/>
  <c r="AB507" i="20" s="1"/>
  <c r="AA15" i="20"/>
  <c r="AB508" i="20" s="1"/>
  <c r="AA16" i="20"/>
  <c r="AB509" i="20" s="1"/>
  <c r="AA8" i="20"/>
  <c r="AB501" i="20" s="1"/>
  <c r="W9" i="20"/>
  <c r="X502" i="20" s="1"/>
  <c r="W10" i="20"/>
  <c r="X503" i="20" s="1"/>
  <c r="W11" i="20"/>
  <c r="X504" i="20" s="1"/>
  <c r="W12" i="20"/>
  <c r="X505" i="20" s="1"/>
  <c r="W13" i="20"/>
  <c r="X506" i="20" s="1"/>
  <c r="W14" i="20"/>
  <c r="X507" i="20" s="1"/>
  <c r="W15" i="20"/>
  <c r="X508" i="20" s="1"/>
  <c r="W16" i="20"/>
  <c r="X509" i="20" s="1"/>
  <c r="W8" i="20"/>
  <c r="X501" i="20" s="1"/>
  <c r="S9" i="20"/>
  <c r="T502" i="20" s="1"/>
  <c r="S10" i="20"/>
  <c r="T503" i="20" s="1"/>
  <c r="S11" i="20"/>
  <c r="T504" i="20" s="1"/>
  <c r="S12" i="20"/>
  <c r="T505" i="20" s="1"/>
  <c r="S13" i="20"/>
  <c r="T506" i="20" s="1"/>
  <c r="S14" i="20"/>
  <c r="T507" i="20" s="1"/>
  <c r="S15" i="20"/>
  <c r="T508" i="20" s="1"/>
  <c r="S16" i="20"/>
  <c r="T509" i="20" s="1"/>
  <c r="S8" i="20"/>
  <c r="T501" i="20" s="1"/>
  <c r="O9" i="20"/>
  <c r="P502" i="20" s="1"/>
  <c r="O10" i="20"/>
  <c r="P503" i="20" s="1"/>
  <c r="O11" i="20"/>
  <c r="P504" i="20" s="1"/>
  <c r="O12" i="20"/>
  <c r="P505" i="20" s="1"/>
  <c r="O13" i="20"/>
  <c r="P506" i="20" s="1"/>
  <c r="O14" i="20"/>
  <c r="P507" i="20" s="1"/>
  <c r="O15" i="20"/>
  <c r="P508" i="20" s="1"/>
  <c r="O16" i="20"/>
  <c r="P509" i="20" s="1"/>
  <c r="O8" i="20"/>
  <c r="P501" i="20" s="1"/>
  <c r="K9" i="20"/>
  <c r="L502" i="20" s="1"/>
  <c r="K10" i="20"/>
  <c r="L503" i="20" s="1"/>
  <c r="K11" i="20"/>
  <c r="L504" i="20" s="1"/>
  <c r="K12" i="20"/>
  <c r="L505" i="20" s="1"/>
  <c r="K13" i="20"/>
  <c r="L506" i="20" s="1"/>
  <c r="K14" i="20"/>
  <c r="L507" i="20" s="1"/>
  <c r="K15" i="20"/>
  <c r="L508" i="20" s="1"/>
  <c r="K16" i="20"/>
  <c r="L509" i="20" s="1"/>
  <c r="K8" i="20"/>
  <c r="L501" i="20" s="1"/>
  <c r="G9" i="20"/>
  <c r="H502" i="20" s="1"/>
  <c r="G10" i="20"/>
  <c r="H503" i="20" s="1"/>
  <c r="G11" i="20"/>
  <c r="H504" i="20" s="1"/>
  <c r="G12" i="20"/>
  <c r="H505" i="20" s="1"/>
  <c r="G13" i="20"/>
  <c r="H506" i="20" s="1"/>
  <c r="G14" i="20"/>
  <c r="H507" i="20" s="1"/>
  <c r="G15" i="20"/>
  <c r="H508" i="20" s="1"/>
  <c r="G16" i="20"/>
  <c r="H509" i="20" s="1"/>
  <c r="G8" i="20"/>
  <c r="H501" i="20" s="1"/>
  <c r="I21" i="12"/>
  <c r="I22" i="12"/>
  <c r="I23" i="12"/>
  <c r="I18" i="12"/>
  <c r="I19" i="12"/>
  <c r="I20" i="12"/>
  <c r="I17" i="12"/>
  <c r="I10" i="12"/>
  <c r="I11" i="12"/>
  <c r="I12" i="12"/>
  <c r="I13" i="12"/>
  <c r="I14" i="12"/>
  <c r="I9" i="12"/>
  <c r="I501" i="12" s="1"/>
  <c r="M9" i="11"/>
  <c r="M502" i="11" s="1"/>
  <c r="M10" i="11"/>
  <c r="M503" i="11" s="1"/>
  <c r="M11" i="11"/>
  <c r="M504" i="11" s="1"/>
  <c r="M8" i="11"/>
  <c r="M501" i="11" s="1"/>
  <c r="I9" i="11"/>
  <c r="I502" i="11" s="1"/>
  <c r="I10" i="11"/>
  <c r="I11" i="11"/>
  <c r="I8" i="11"/>
  <c r="I501" i="11" s="1"/>
  <c r="M19" i="10"/>
  <c r="M508" i="10" s="1"/>
  <c r="M20" i="10"/>
  <c r="M509" i="10" s="1"/>
  <c r="M21" i="10"/>
  <c r="M510" i="10" s="1"/>
  <c r="M18" i="10"/>
  <c r="M507" i="10" s="1"/>
  <c r="I19" i="10"/>
  <c r="I20" i="10"/>
  <c r="I21" i="10"/>
  <c r="I510" i="10" s="1"/>
  <c r="I18" i="10"/>
  <c r="I507" i="10" s="1"/>
  <c r="M10" i="10"/>
  <c r="M11" i="10"/>
  <c r="M503" i="10" s="1"/>
  <c r="M12" i="10"/>
  <c r="M504" i="10" s="1"/>
  <c r="M13" i="10"/>
  <c r="M505" i="10" s="1"/>
  <c r="M9" i="10"/>
  <c r="I10" i="10"/>
  <c r="I28" i="10" s="1"/>
  <c r="BH227" i="10" s="1"/>
  <c r="I11" i="10"/>
  <c r="I503" i="10" s="1"/>
  <c r="I12" i="10"/>
  <c r="I504" i="10" s="1"/>
  <c r="I13" i="10"/>
  <c r="I505" i="10" s="1"/>
  <c r="I9" i="10"/>
  <c r="M9" i="3"/>
  <c r="M502" i="3" s="1"/>
  <c r="M10" i="3"/>
  <c r="M503" i="3" s="1"/>
  <c r="M11" i="3"/>
  <c r="M504" i="3" s="1"/>
  <c r="M12" i="3"/>
  <c r="M505" i="3" s="1"/>
  <c r="M13" i="3"/>
  <c r="M506" i="3" s="1"/>
  <c r="M15" i="3"/>
  <c r="M508" i="3" s="1"/>
  <c r="M16" i="3"/>
  <c r="M509" i="3" s="1"/>
  <c r="M17" i="3"/>
  <c r="M510" i="3" s="1"/>
  <c r="M18" i="3"/>
  <c r="M511" i="3" s="1"/>
  <c r="M19" i="3"/>
  <c r="M20" i="3"/>
  <c r="M513" i="3" s="1"/>
  <c r="M21" i="3"/>
  <c r="M514" i="3" s="1"/>
  <c r="M8" i="3"/>
  <c r="M501" i="3" s="1"/>
  <c r="I9" i="3"/>
  <c r="I502" i="3" s="1"/>
  <c r="I10" i="3"/>
  <c r="I503" i="3" s="1"/>
  <c r="I11" i="3"/>
  <c r="I504" i="3" s="1"/>
  <c r="I12" i="3"/>
  <c r="I505" i="3" s="1"/>
  <c r="I13" i="3"/>
  <c r="I506" i="3" s="1"/>
  <c r="I15" i="3"/>
  <c r="I508" i="3" s="1"/>
  <c r="I16" i="3"/>
  <c r="I17" i="3"/>
  <c r="I510" i="3" s="1"/>
  <c r="I18" i="3"/>
  <c r="I511" i="3" s="1"/>
  <c r="I19" i="3"/>
  <c r="I20" i="3"/>
  <c r="I513" i="3" s="1"/>
  <c r="I21" i="3"/>
  <c r="I514" i="3" s="1"/>
  <c r="I8" i="3"/>
  <c r="I501" i="3" s="1"/>
  <c r="M9" i="8"/>
  <c r="M502" i="8" s="1"/>
  <c r="M11" i="8"/>
  <c r="M504" i="8" s="1"/>
  <c r="M12" i="8"/>
  <c r="M505" i="8" s="1"/>
  <c r="M13" i="8"/>
  <c r="M506" i="8" s="1"/>
  <c r="M14" i="8"/>
  <c r="M507" i="8" s="1"/>
  <c r="M15" i="8"/>
  <c r="M508" i="8" s="1"/>
  <c r="M17" i="8"/>
  <c r="M510" i="8" s="1"/>
  <c r="M18" i="8"/>
  <c r="M511" i="8" s="1"/>
  <c r="M19" i="8"/>
  <c r="M512" i="8" s="1"/>
  <c r="M20" i="8"/>
  <c r="M513" i="8" s="1"/>
  <c r="M22" i="8"/>
  <c r="M515" i="8" s="1"/>
  <c r="M23" i="8"/>
  <c r="M516" i="8" s="1"/>
  <c r="M24" i="8"/>
  <c r="M517" i="8" s="1"/>
  <c r="M25" i="8"/>
  <c r="M518" i="8" s="1"/>
  <c r="M27" i="8"/>
  <c r="M520" i="8" s="1"/>
  <c r="M28" i="8"/>
  <c r="M521" i="8" s="1"/>
  <c r="M29" i="8"/>
  <c r="M522" i="8" s="1"/>
  <c r="M30" i="8"/>
  <c r="M523" i="8" s="1"/>
  <c r="M32" i="8"/>
  <c r="M525" i="8" s="1"/>
  <c r="M33" i="8"/>
  <c r="M526" i="8" s="1"/>
  <c r="M35" i="8"/>
  <c r="M528" i="8" s="1"/>
  <c r="M36" i="8"/>
  <c r="M529" i="8" s="1"/>
  <c r="M37" i="8"/>
  <c r="M530" i="8" s="1"/>
  <c r="M38" i="8"/>
  <c r="M531" i="8" s="1"/>
  <c r="M39" i="8"/>
  <c r="M532" i="8" s="1"/>
  <c r="M40" i="8"/>
  <c r="M533" i="8" s="1"/>
  <c r="M41" i="8"/>
  <c r="M534" i="8" s="1"/>
  <c r="M44" i="8"/>
  <c r="M537" i="8" s="1"/>
  <c r="M45" i="8"/>
  <c r="M538" i="8" s="1"/>
  <c r="M46" i="8"/>
  <c r="M539" i="8" s="1"/>
  <c r="M47" i="8"/>
  <c r="M540" i="8" s="1"/>
  <c r="M48" i="8"/>
  <c r="M541" i="8" s="1"/>
  <c r="M49" i="8"/>
  <c r="M542" i="8" s="1"/>
  <c r="M50" i="8"/>
  <c r="M543" i="8" s="1"/>
  <c r="M8" i="8"/>
  <c r="M501" i="8" s="1"/>
  <c r="G8" i="21"/>
  <c r="H502" i="21" s="1"/>
  <c r="G9" i="21"/>
  <c r="H503" i="21" s="1"/>
  <c r="G11" i="21"/>
  <c r="H505" i="21" s="1"/>
  <c r="G12" i="21"/>
  <c r="H506" i="21" s="1"/>
  <c r="G14" i="21"/>
  <c r="H508" i="21" s="1"/>
  <c r="G15" i="21"/>
  <c r="H509" i="21" s="1"/>
  <c r="G17" i="21"/>
  <c r="H511" i="21" s="1"/>
  <c r="G18" i="21"/>
  <c r="H512" i="21" s="1"/>
  <c r="W18" i="25"/>
  <c r="V18" i="25"/>
  <c r="U18" i="25"/>
  <c r="T18" i="25"/>
  <c r="S18" i="25"/>
  <c r="R18" i="25"/>
  <c r="W14" i="25"/>
  <c r="V14" i="25"/>
  <c r="U14" i="25"/>
  <c r="T14" i="25"/>
  <c r="S14" i="25"/>
  <c r="R14" i="25"/>
  <c r="X10" i="25"/>
  <c r="Y502" i="25" s="1"/>
  <c r="X11" i="25"/>
  <c r="Y503" i="25" s="1"/>
  <c r="X12" i="25"/>
  <c r="Y504" i="25" s="1"/>
  <c r="X13" i="25"/>
  <c r="Y505" i="25" s="1"/>
  <c r="X15" i="25"/>
  <c r="Y507" i="25" s="1"/>
  <c r="X16" i="25"/>
  <c r="Y508" i="25" s="1"/>
  <c r="X17" i="25"/>
  <c r="Y509" i="25" s="1"/>
  <c r="X19" i="25"/>
  <c r="Y511" i="25" s="1"/>
  <c r="X20" i="25"/>
  <c r="Y512" i="25" s="1"/>
  <c r="X21" i="25"/>
  <c r="Y513" i="25" s="1"/>
  <c r="X22" i="25"/>
  <c r="Y514" i="25" s="1"/>
  <c r="X23" i="25"/>
  <c r="Y515" i="25" s="1"/>
  <c r="X24" i="25"/>
  <c r="Y516" i="25" s="1"/>
  <c r="X9" i="25"/>
  <c r="Y501" i="25" s="1"/>
  <c r="K29" i="22"/>
  <c r="L29" i="22"/>
  <c r="Q29" i="22"/>
  <c r="N19" i="22"/>
  <c r="P29" i="22"/>
  <c r="O29" i="22"/>
  <c r="N10" i="22"/>
  <c r="R11" i="22"/>
  <c r="S503" i="22" s="1"/>
  <c r="R12" i="22"/>
  <c r="S504" i="22" s="1"/>
  <c r="R13" i="22"/>
  <c r="S505" i="22" s="1"/>
  <c r="R14" i="22"/>
  <c r="S506" i="22" s="1"/>
  <c r="R15" i="22"/>
  <c r="S507" i="22" s="1"/>
  <c r="R16" i="22"/>
  <c r="S508" i="22" s="1"/>
  <c r="R17" i="22"/>
  <c r="S509" i="22" s="1"/>
  <c r="R18" i="22"/>
  <c r="S510" i="22" s="1"/>
  <c r="R20" i="22"/>
  <c r="S512" i="22" s="1"/>
  <c r="R21" i="22"/>
  <c r="S513" i="22" s="1"/>
  <c r="R22" i="22"/>
  <c r="S514" i="22" s="1"/>
  <c r="R23" i="22"/>
  <c r="S515" i="22" s="1"/>
  <c r="R24" i="22"/>
  <c r="S516" i="22" s="1"/>
  <c r="R25" i="22"/>
  <c r="S517" i="22" s="1"/>
  <c r="R26" i="22"/>
  <c r="S518" i="22" s="1"/>
  <c r="R27" i="22"/>
  <c r="S519" i="22" s="1"/>
  <c r="R28" i="22"/>
  <c r="S520" i="22" s="1"/>
  <c r="R9" i="22"/>
  <c r="S501" i="22" s="1"/>
  <c r="X11" i="19"/>
  <c r="Y503" i="19" s="1"/>
  <c r="X36" i="19"/>
  <c r="Y528" i="19" s="1"/>
  <c r="X35" i="19"/>
  <c r="Y527" i="19" s="1"/>
  <c r="X33" i="19"/>
  <c r="Y525" i="19" s="1"/>
  <c r="X32" i="19"/>
  <c r="Y524" i="19" s="1"/>
  <c r="X30" i="19"/>
  <c r="Y522" i="19" s="1"/>
  <c r="X29" i="19"/>
  <c r="Y521" i="19" s="1"/>
  <c r="X28" i="19"/>
  <c r="Y520" i="19" s="1"/>
  <c r="X27" i="19"/>
  <c r="Y519" i="19" s="1"/>
  <c r="X26" i="19"/>
  <c r="Y518" i="19" s="1"/>
  <c r="X25" i="19"/>
  <c r="Y517" i="19" s="1"/>
  <c r="X24" i="19"/>
  <c r="Y516" i="19" s="1"/>
  <c r="X22" i="19"/>
  <c r="Y514" i="19" s="1"/>
  <c r="X21" i="19"/>
  <c r="Y513" i="19" s="1"/>
  <c r="X20" i="19"/>
  <c r="Y512" i="19" s="1"/>
  <c r="X17" i="19"/>
  <c r="Y509" i="19" s="1"/>
  <c r="X16" i="19"/>
  <c r="Y508" i="19" s="1"/>
  <c r="X15" i="19"/>
  <c r="Y507" i="19" s="1"/>
  <c r="X14" i="19"/>
  <c r="Y506" i="19" s="1"/>
  <c r="X13" i="19"/>
  <c r="Y505" i="19" s="1"/>
  <c r="X12" i="19"/>
  <c r="Y504" i="19" s="1"/>
  <c r="X10" i="19"/>
  <c r="Y502" i="19" s="1"/>
  <c r="X9" i="19"/>
  <c r="Y501" i="19" s="1"/>
  <c r="W38" i="18"/>
  <c r="U38" i="18"/>
  <c r="T38" i="18"/>
  <c r="X10" i="18"/>
  <c r="Y503" i="18" s="1"/>
  <c r="X11" i="18"/>
  <c r="Y504" i="18" s="1"/>
  <c r="X12" i="18"/>
  <c r="Y505" i="18" s="1"/>
  <c r="X13" i="18"/>
  <c r="Y506" i="18" s="1"/>
  <c r="X14" i="18"/>
  <c r="Y507" i="18" s="1"/>
  <c r="X15" i="18"/>
  <c r="Y508" i="18" s="1"/>
  <c r="X16" i="18"/>
  <c r="Y509" i="18" s="1"/>
  <c r="X17" i="18"/>
  <c r="Y510" i="18" s="1"/>
  <c r="X19" i="18"/>
  <c r="Y512" i="18" s="1"/>
  <c r="X20" i="18"/>
  <c r="Y513" i="18" s="1"/>
  <c r="X21" i="18"/>
  <c r="Y514" i="18" s="1"/>
  <c r="X22" i="18"/>
  <c r="Y515" i="18" s="1"/>
  <c r="X23" i="18"/>
  <c r="Y516" i="18" s="1"/>
  <c r="X24" i="18"/>
  <c r="Y517" i="18" s="1"/>
  <c r="X25" i="18"/>
  <c r="Y518" i="18" s="1"/>
  <c r="X26" i="18"/>
  <c r="Y519" i="18" s="1"/>
  <c r="X27" i="18"/>
  <c r="Y520" i="18" s="1"/>
  <c r="X28" i="18"/>
  <c r="Y521" i="18" s="1"/>
  <c r="X29" i="18"/>
  <c r="Y522" i="18" s="1"/>
  <c r="X30" i="18"/>
  <c r="Y523" i="18" s="1"/>
  <c r="X31" i="18"/>
  <c r="Y524" i="18" s="1"/>
  <c r="X32" i="18"/>
  <c r="Y525" i="18" s="1"/>
  <c r="X33" i="18"/>
  <c r="Y526" i="18" s="1"/>
  <c r="X34" i="18"/>
  <c r="Y527" i="18" s="1"/>
  <c r="X35" i="18"/>
  <c r="Y528" i="18" s="1"/>
  <c r="X36" i="18"/>
  <c r="Y529" i="18" s="1"/>
  <c r="X37" i="18"/>
  <c r="Y530" i="18" s="1"/>
  <c r="X8" i="18"/>
  <c r="Y501" i="18" s="1"/>
  <c r="Y16" i="17"/>
  <c r="Y508" i="17" s="1"/>
  <c r="Y17" i="17"/>
  <c r="Y509" i="17" s="1"/>
  <c r="Y18" i="17"/>
  <c r="Y510" i="17" s="1"/>
  <c r="Y20" i="17"/>
  <c r="Y512" i="17" s="1"/>
  <c r="Y21" i="17"/>
  <c r="Y513" i="17" s="1"/>
  <c r="Y22" i="17"/>
  <c r="Y514" i="17" s="1"/>
  <c r="Y23" i="17"/>
  <c r="Y515" i="17" s="1"/>
  <c r="Y27" i="17"/>
  <c r="Y519" i="17" s="1"/>
  <c r="Y28" i="17"/>
  <c r="Y520" i="17" s="1"/>
  <c r="Y29" i="17"/>
  <c r="Y521" i="17" s="1"/>
  <c r="Y30" i="17"/>
  <c r="Y522" i="17" s="1"/>
  <c r="Y31" i="17"/>
  <c r="Y523" i="17" s="1"/>
  <c r="Y32" i="17"/>
  <c r="Y524" i="17" s="1"/>
  <c r="Y10" i="17"/>
  <c r="Y502" i="17" s="1"/>
  <c r="Y11" i="17"/>
  <c r="Y503" i="17" s="1"/>
  <c r="Y12" i="17"/>
  <c r="Y504" i="17" s="1"/>
  <c r="Y13" i="17"/>
  <c r="Y505" i="17" s="1"/>
  <c r="Y14" i="17"/>
  <c r="Y506" i="17" s="1"/>
  <c r="Y15" i="17"/>
  <c r="Y507" i="17" s="1"/>
  <c r="Y9" i="17"/>
  <c r="Y501" i="17" s="1"/>
  <c r="R13" i="16"/>
  <c r="S505" i="16" s="1"/>
  <c r="R12" i="16"/>
  <c r="S504" i="16" s="1"/>
  <c r="R11" i="16"/>
  <c r="S503" i="16" s="1"/>
  <c r="R10" i="16"/>
  <c r="S502" i="16" s="1"/>
  <c r="R9" i="16"/>
  <c r="M10" i="16"/>
  <c r="N502" i="16" s="1"/>
  <c r="M11" i="16"/>
  <c r="N503" i="16" s="1"/>
  <c r="M12" i="16"/>
  <c r="N504" i="16" s="1"/>
  <c r="M13" i="16"/>
  <c r="N505" i="16" s="1"/>
  <c r="H10" i="16"/>
  <c r="I502" i="16" s="1"/>
  <c r="H11" i="16"/>
  <c r="I503" i="16" s="1"/>
  <c r="H12" i="16"/>
  <c r="I504" i="16" s="1"/>
  <c r="H13" i="16"/>
  <c r="I505" i="16" s="1"/>
  <c r="AB28" i="5"/>
  <c r="Y520" i="5" s="1"/>
  <c r="AB27" i="5"/>
  <c r="Y519" i="5" s="1"/>
  <c r="AB26" i="5"/>
  <c r="Y518" i="5" s="1"/>
  <c r="AB25" i="5"/>
  <c r="Y517" i="5" s="1"/>
  <c r="AB24" i="5"/>
  <c r="Y516" i="5" s="1"/>
  <c r="AB23" i="5"/>
  <c r="Y515" i="5" s="1"/>
  <c r="AB22" i="5"/>
  <c r="Y514" i="5" s="1"/>
  <c r="AB20" i="5"/>
  <c r="Y512" i="5" s="1"/>
  <c r="AB19" i="5"/>
  <c r="Y511" i="5" s="1"/>
  <c r="AB17" i="5"/>
  <c r="Y509" i="5" s="1"/>
  <c r="AB16" i="5"/>
  <c r="Y508" i="5" s="1"/>
  <c r="AB15" i="5"/>
  <c r="Y507" i="5" s="1"/>
  <c r="AB14" i="5"/>
  <c r="Y506" i="5" s="1"/>
  <c r="AB12" i="5"/>
  <c r="Y504" i="5" s="1"/>
  <c r="AB11" i="5"/>
  <c r="Y503" i="5" s="1"/>
  <c r="AB10" i="5"/>
  <c r="Y502" i="5" s="1"/>
  <c r="S28" i="5"/>
  <c r="R520" i="5" s="1"/>
  <c r="S27" i="5"/>
  <c r="R519" i="5" s="1"/>
  <c r="S26" i="5"/>
  <c r="R518" i="5" s="1"/>
  <c r="S25" i="5"/>
  <c r="R517" i="5" s="1"/>
  <c r="S24" i="5"/>
  <c r="R516" i="5" s="1"/>
  <c r="S23" i="5"/>
  <c r="R515" i="5" s="1"/>
  <c r="S22" i="5"/>
  <c r="R514" i="5" s="1"/>
  <c r="S20" i="5"/>
  <c r="R512" i="5" s="1"/>
  <c r="S19" i="5"/>
  <c r="R511" i="5" s="1"/>
  <c r="S17" i="5"/>
  <c r="R509" i="5" s="1"/>
  <c r="S16" i="5"/>
  <c r="R508" i="5" s="1"/>
  <c r="S15" i="5"/>
  <c r="R507" i="5" s="1"/>
  <c r="S14" i="5"/>
  <c r="R506" i="5" s="1"/>
  <c r="S12" i="5"/>
  <c r="R504" i="5" s="1"/>
  <c r="S11" i="5"/>
  <c r="R503" i="5" s="1"/>
  <c r="S10" i="5"/>
  <c r="R502" i="5" s="1"/>
  <c r="J10" i="5"/>
  <c r="K502" i="5" s="1"/>
  <c r="J11" i="5"/>
  <c r="K503" i="5" s="1"/>
  <c r="J12" i="5"/>
  <c r="K504" i="5" s="1"/>
  <c r="J14" i="5"/>
  <c r="K506" i="5" s="1"/>
  <c r="J15" i="5"/>
  <c r="K507" i="5" s="1"/>
  <c r="J16" i="5"/>
  <c r="K508" i="5" s="1"/>
  <c r="J17" i="5"/>
  <c r="K509" i="5" s="1"/>
  <c r="J19" i="5"/>
  <c r="K511" i="5" s="1"/>
  <c r="J20" i="5"/>
  <c r="K512" i="5" s="1"/>
  <c r="J22" i="5"/>
  <c r="K514" i="5" s="1"/>
  <c r="J23" i="5"/>
  <c r="K515" i="5" s="1"/>
  <c r="J24" i="5"/>
  <c r="K516" i="5" s="1"/>
  <c r="J25" i="5"/>
  <c r="K517" i="5" s="1"/>
  <c r="J26" i="5"/>
  <c r="K518" i="5" s="1"/>
  <c r="J27" i="5"/>
  <c r="K519" i="5" s="1"/>
  <c r="J28" i="5"/>
  <c r="K520" i="5" s="1"/>
  <c r="W21" i="5"/>
  <c r="T513" i="5" s="1"/>
  <c r="X21" i="5"/>
  <c r="U513" i="5" s="1"/>
  <c r="Y21" i="5"/>
  <c r="V513" i="5" s="1"/>
  <c r="Z21" i="5"/>
  <c r="W513" i="5" s="1"/>
  <c r="AA21" i="5"/>
  <c r="X513" i="5" s="1"/>
  <c r="V21" i="5"/>
  <c r="S513" i="5" s="1"/>
  <c r="Y13" i="5"/>
  <c r="V505" i="5" s="1"/>
  <c r="Z13" i="5"/>
  <c r="W505" i="5" s="1"/>
  <c r="AA13" i="5"/>
  <c r="X505" i="5" s="1"/>
  <c r="E13" i="5"/>
  <c r="F505" i="5" s="1"/>
  <c r="F13" i="5"/>
  <c r="G505" i="5" s="1"/>
  <c r="G13" i="5"/>
  <c r="H505" i="5" s="1"/>
  <c r="H13" i="5"/>
  <c r="I505" i="5" s="1"/>
  <c r="I13" i="5"/>
  <c r="J505" i="5" s="1"/>
  <c r="M13" i="5"/>
  <c r="L505" i="5" s="1"/>
  <c r="N13" i="5"/>
  <c r="M505" i="5" s="1"/>
  <c r="O13" i="5"/>
  <c r="N505" i="5" s="1"/>
  <c r="P13" i="5"/>
  <c r="O505" i="5" s="1"/>
  <c r="Q13" i="5"/>
  <c r="P505" i="5" s="1"/>
  <c r="R13" i="5"/>
  <c r="Q505" i="5" s="1"/>
  <c r="V13" i="5"/>
  <c r="S505" i="5" s="1"/>
  <c r="W13" i="5"/>
  <c r="T505" i="5" s="1"/>
  <c r="X13" i="5"/>
  <c r="U505" i="5" s="1"/>
  <c r="D13" i="5"/>
  <c r="E505" i="5" s="1"/>
  <c r="W9" i="5"/>
  <c r="T501" i="5" s="1"/>
  <c r="X9" i="5"/>
  <c r="U501" i="5" s="1"/>
  <c r="Y9" i="5"/>
  <c r="V501" i="5" s="1"/>
  <c r="Z9" i="5"/>
  <c r="W501" i="5" s="1"/>
  <c r="AA9" i="5"/>
  <c r="X501" i="5" s="1"/>
  <c r="V9" i="5"/>
  <c r="S501" i="5" s="1"/>
  <c r="W44" i="6"/>
  <c r="X44" i="6"/>
  <c r="Y44" i="6"/>
  <c r="Z44" i="6"/>
  <c r="AA44" i="6"/>
  <c r="V44" i="6"/>
  <c r="V27" i="6"/>
  <c r="S519" i="6" s="1"/>
  <c r="W22" i="6"/>
  <c r="T514" i="6" s="1"/>
  <c r="X22" i="6"/>
  <c r="U514" i="6" s="1"/>
  <c r="Y22" i="6"/>
  <c r="V514" i="6" s="1"/>
  <c r="Z22" i="6"/>
  <c r="W514" i="6" s="1"/>
  <c r="AA22" i="6"/>
  <c r="X514" i="6" s="1"/>
  <c r="V22" i="6"/>
  <c r="S514" i="6" s="1"/>
  <c r="W17" i="6"/>
  <c r="T509" i="6" s="1"/>
  <c r="X17" i="6"/>
  <c r="U509" i="6" s="1"/>
  <c r="Y17" i="6"/>
  <c r="V509" i="6" s="1"/>
  <c r="Z17" i="6"/>
  <c r="W509" i="6" s="1"/>
  <c r="AA17" i="6"/>
  <c r="X509" i="6" s="1"/>
  <c r="V17" i="6"/>
  <c r="S509" i="6" s="1"/>
  <c r="AA35" i="6"/>
  <c r="X527" i="6" s="1"/>
  <c r="Z35" i="6"/>
  <c r="W527" i="6" s="1"/>
  <c r="Y35" i="6"/>
  <c r="V527" i="6" s="1"/>
  <c r="X35" i="6"/>
  <c r="U527" i="6" s="1"/>
  <c r="W35" i="6"/>
  <c r="T527" i="6" s="1"/>
  <c r="V35" i="6"/>
  <c r="S527" i="6" s="1"/>
  <c r="AA27" i="6"/>
  <c r="X519" i="6" s="1"/>
  <c r="Z27" i="6"/>
  <c r="W519" i="6" s="1"/>
  <c r="Y27" i="6"/>
  <c r="V519" i="6" s="1"/>
  <c r="X27" i="6"/>
  <c r="U519" i="6" s="1"/>
  <c r="W27" i="6"/>
  <c r="T519" i="6" s="1"/>
  <c r="W11" i="6"/>
  <c r="T503" i="6" s="1"/>
  <c r="X11" i="6"/>
  <c r="U503" i="6" s="1"/>
  <c r="Y11" i="6"/>
  <c r="V503" i="6" s="1"/>
  <c r="Z11" i="6"/>
  <c r="W503" i="6" s="1"/>
  <c r="AA11" i="6"/>
  <c r="X503" i="6" s="1"/>
  <c r="V11" i="6"/>
  <c r="S503" i="6" s="1"/>
  <c r="AB51" i="6"/>
  <c r="Y543" i="6" s="1"/>
  <c r="AB10" i="6"/>
  <c r="Y502" i="6" s="1"/>
  <c r="AB12" i="6"/>
  <c r="Y504" i="6" s="1"/>
  <c r="AB13" i="6"/>
  <c r="Y505" i="6" s="1"/>
  <c r="AB14" i="6"/>
  <c r="Y506" i="6" s="1"/>
  <c r="AB15" i="6"/>
  <c r="Y507" i="6" s="1"/>
  <c r="AB16" i="6"/>
  <c r="Y508" i="6" s="1"/>
  <c r="AB18" i="6"/>
  <c r="Y510" i="6" s="1"/>
  <c r="AB19" i="6"/>
  <c r="AB20" i="6"/>
  <c r="Y512" i="6" s="1"/>
  <c r="AB21" i="6"/>
  <c r="Y513" i="6" s="1"/>
  <c r="AB23" i="6"/>
  <c r="Y515" i="6" s="1"/>
  <c r="AB24" i="6"/>
  <c r="Y516" i="6" s="1"/>
  <c r="AB25" i="6"/>
  <c r="Y517" i="6" s="1"/>
  <c r="AB26" i="6"/>
  <c r="Y518" i="6" s="1"/>
  <c r="AB28" i="6"/>
  <c r="Y520" i="6" s="1"/>
  <c r="AB29" i="6"/>
  <c r="Y521" i="6" s="1"/>
  <c r="AB30" i="6"/>
  <c r="Y522" i="6" s="1"/>
  <c r="AB31" i="6"/>
  <c r="Y523" i="6" s="1"/>
  <c r="AB33" i="6"/>
  <c r="Y525" i="6" s="1"/>
  <c r="AB34" i="6"/>
  <c r="Y526" i="6" s="1"/>
  <c r="AB36" i="6"/>
  <c r="Y528" i="6" s="1"/>
  <c r="AB37" i="6"/>
  <c r="Y529" i="6" s="1"/>
  <c r="AB38" i="6"/>
  <c r="Y530" i="6" s="1"/>
  <c r="AB39" i="6"/>
  <c r="Y531" i="6" s="1"/>
  <c r="AB40" i="6"/>
  <c r="Y532" i="6" s="1"/>
  <c r="AB41" i="6"/>
  <c r="Y533" i="6" s="1"/>
  <c r="AB42" i="6"/>
  <c r="Y534" i="6" s="1"/>
  <c r="AB45" i="6"/>
  <c r="Y537" i="6" s="1"/>
  <c r="AB46" i="6"/>
  <c r="Y538" i="6" s="1"/>
  <c r="AB47" i="6"/>
  <c r="Y539" i="6" s="1"/>
  <c r="AB48" i="6"/>
  <c r="Y540" i="6" s="1"/>
  <c r="AB49" i="6"/>
  <c r="Y541" i="6" s="1"/>
  <c r="AB50" i="6"/>
  <c r="Y542" i="6" s="1"/>
  <c r="AB9" i="6"/>
  <c r="Y501" i="6" s="1"/>
  <c r="E17" i="20"/>
  <c r="F17" i="20"/>
  <c r="H17" i="20"/>
  <c r="I17" i="20"/>
  <c r="J17" i="20"/>
  <c r="L17" i="20"/>
  <c r="M17" i="20"/>
  <c r="N17" i="20"/>
  <c r="P17" i="20"/>
  <c r="Q17" i="20"/>
  <c r="R17" i="20"/>
  <c r="T17" i="20"/>
  <c r="U17" i="20"/>
  <c r="V17" i="20"/>
  <c r="X17" i="20"/>
  <c r="Y17" i="20"/>
  <c r="Z17" i="20"/>
  <c r="D17" i="20"/>
  <c r="D18" i="20" s="1"/>
  <c r="BC217" i="20" s="1"/>
  <c r="L23" i="10"/>
  <c r="H23" i="10"/>
  <c r="L14" i="10"/>
  <c r="H14" i="10"/>
  <c r="F12" i="11"/>
  <c r="F505" i="11" s="1"/>
  <c r="G12" i="11"/>
  <c r="G505" i="11" s="1"/>
  <c r="H12" i="11"/>
  <c r="H505" i="11" s="1"/>
  <c r="J12" i="11"/>
  <c r="J505" i="11" s="1"/>
  <c r="K12" i="11"/>
  <c r="K505" i="11" s="1"/>
  <c r="L12" i="11"/>
  <c r="L505" i="11" s="1"/>
  <c r="D12" i="11"/>
  <c r="E505" i="11" s="1"/>
  <c r="L24" i="12"/>
  <c r="L30" i="12" s="1"/>
  <c r="BK229" i="12" s="1"/>
  <c r="K24" i="12"/>
  <c r="K30" i="12" s="1"/>
  <c r="BJ229" i="12" s="1"/>
  <c r="H24" i="12"/>
  <c r="H30" i="12" s="1"/>
  <c r="BG229" i="12" s="1"/>
  <c r="L15" i="12"/>
  <c r="L28" i="12" s="1"/>
  <c r="BK227" i="12" s="1"/>
  <c r="H15" i="12"/>
  <c r="H28" i="12" s="1"/>
  <c r="BG227" i="12" s="1"/>
  <c r="L14" i="3"/>
  <c r="L507" i="3" s="1"/>
  <c r="F14" i="3"/>
  <c r="F507" i="3" s="1"/>
  <c r="G14" i="3"/>
  <c r="G507" i="3" s="1"/>
  <c r="H14" i="3"/>
  <c r="H507" i="3" s="1"/>
  <c r="D14" i="3"/>
  <c r="E507" i="3" s="1"/>
  <c r="J481" i="1"/>
  <c r="K481" i="1"/>
  <c r="I481" i="1"/>
  <c r="F481" i="1"/>
  <c r="G481" i="1"/>
  <c r="E481" i="1"/>
  <c r="E16" i="21"/>
  <c r="F510" i="21" s="1"/>
  <c r="F16" i="21"/>
  <c r="G510" i="21" s="1"/>
  <c r="E13" i="21"/>
  <c r="F507" i="21" s="1"/>
  <c r="F13" i="21"/>
  <c r="G507" i="21" s="1"/>
  <c r="F10" i="21"/>
  <c r="G504" i="21" s="1"/>
  <c r="E10" i="21"/>
  <c r="F504" i="21" s="1"/>
  <c r="D10" i="21"/>
  <c r="E504" i="21" s="1"/>
  <c r="E7" i="21"/>
  <c r="F501" i="21" s="1"/>
  <c r="F7" i="21"/>
  <c r="G501" i="21" s="1"/>
  <c r="AK18" i="23"/>
  <c r="AL18" i="23"/>
  <c r="AN18" i="23"/>
  <c r="AO18" i="23"/>
  <c r="AP18" i="23"/>
  <c r="Z18" i="23"/>
  <c r="AB18" i="23"/>
  <c r="AC18" i="23"/>
  <c r="AD18" i="23"/>
  <c r="AF18" i="23"/>
  <c r="AG18" i="23"/>
  <c r="AH18" i="23"/>
  <c r="AJ18" i="23"/>
  <c r="E18" i="23"/>
  <c r="F18" i="23"/>
  <c r="H18" i="23"/>
  <c r="I18" i="23"/>
  <c r="J18" i="23"/>
  <c r="L18" i="23"/>
  <c r="M18" i="23"/>
  <c r="N18" i="23"/>
  <c r="P18" i="23"/>
  <c r="Q18" i="23"/>
  <c r="R18" i="23"/>
  <c r="T18" i="23"/>
  <c r="U18" i="23"/>
  <c r="V18" i="23"/>
  <c r="Y18" i="23"/>
  <c r="D17" i="26"/>
  <c r="E510" i="26" s="1"/>
  <c r="E17" i="26"/>
  <c r="F510" i="26" s="1"/>
  <c r="F17" i="26"/>
  <c r="G510" i="26" s="1"/>
  <c r="H17" i="26"/>
  <c r="I510" i="26" s="1"/>
  <c r="I17" i="26"/>
  <c r="J510" i="26" s="1"/>
  <c r="J17" i="26"/>
  <c r="K510" i="26" s="1"/>
  <c r="AN19" i="24"/>
  <c r="AN20" i="24" s="1"/>
  <c r="CM219" i="24" s="1"/>
  <c r="AO19" i="24"/>
  <c r="AO20" i="24" s="1"/>
  <c r="CN219" i="24" s="1"/>
  <c r="AP19" i="24"/>
  <c r="AP20" i="24" s="1"/>
  <c r="CO219" i="24" s="1"/>
  <c r="AF19" i="24"/>
  <c r="AG19" i="24"/>
  <c r="AH19" i="24"/>
  <c r="AJ19" i="24"/>
  <c r="AK19" i="24"/>
  <c r="AL19" i="24"/>
  <c r="X19" i="24"/>
  <c r="Y19" i="24"/>
  <c r="Z19" i="24"/>
  <c r="AB19" i="24"/>
  <c r="AB20" i="24" s="1"/>
  <c r="CA219" i="24" s="1"/>
  <c r="AC19" i="24"/>
  <c r="AC20" i="24" s="1"/>
  <c r="CB219" i="24" s="1"/>
  <c r="AD19" i="24"/>
  <c r="AD20" i="24" s="1"/>
  <c r="CC219" i="24" s="1"/>
  <c r="T19" i="24"/>
  <c r="U19" i="24"/>
  <c r="V19" i="24"/>
  <c r="N19" i="24"/>
  <c r="N20" i="24" s="1"/>
  <c r="BM219" i="24" s="1"/>
  <c r="P19" i="24"/>
  <c r="P20" i="24" s="1"/>
  <c r="BO219" i="24" s="1"/>
  <c r="Q19" i="24"/>
  <c r="Q20" i="24" s="1"/>
  <c r="BP219" i="24" s="1"/>
  <c r="R19" i="24"/>
  <c r="R20" i="24" s="1"/>
  <c r="BQ219" i="24" s="1"/>
  <c r="E19" i="24"/>
  <c r="F19" i="24"/>
  <c r="H19" i="24"/>
  <c r="I19" i="24"/>
  <c r="J19" i="24"/>
  <c r="L19" i="24"/>
  <c r="M19" i="24"/>
  <c r="M20" i="24" s="1"/>
  <c r="BL219" i="24" s="1"/>
  <c r="O11" i="24"/>
  <c r="P502" i="24" s="1"/>
  <c r="O12" i="24"/>
  <c r="P503" i="24" s="1"/>
  <c r="O13" i="24"/>
  <c r="P504" i="24" s="1"/>
  <c r="O14" i="24"/>
  <c r="P505" i="24" s="1"/>
  <c r="O15" i="24"/>
  <c r="P506" i="24" s="1"/>
  <c r="O16" i="24"/>
  <c r="P507" i="24" s="1"/>
  <c r="O17" i="24"/>
  <c r="P508" i="24" s="1"/>
  <c r="O18" i="24"/>
  <c r="P509" i="24" s="1"/>
  <c r="O10" i="24"/>
  <c r="P501" i="24" s="1"/>
  <c r="K11" i="24"/>
  <c r="L502" i="24" s="1"/>
  <c r="K12" i="24"/>
  <c r="L503" i="24" s="1"/>
  <c r="K13" i="24"/>
  <c r="L504" i="24" s="1"/>
  <c r="K14" i="24"/>
  <c r="L505" i="24" s="1"/>
  <c r="K15" i="24"/>
  <c r="L506" i="24" s="1"/>
  <c r="K16" i="24"/>
  <c r="L507" i="24" s="1"/>
  <c r="K17" i="24"/>
  <c r="L508" i="24" s="1"/>
  <c r="K18" i="24"/>
  <c r="L509" i="24" s="1"/>
  <c r="K10" i="24"/>
  <c r="L501" i="24" s="1"/>
  <c r="G11" i="24"/>
  <c r="H502" i="24" s="1"/>
  <c r="G12" i="24"/>
  <c r="H503" i="24" s="1"/>
  <c r="G13" i="24"/>
  <c r="H504" i="24" s="1"/>
  <c r="G14" i="24"/>
  <c r="H505" i="24" s="1"/>
  <c r="G15" i="24"/>
  <c r="H506" i="24" s="1"/>
  <c r="G16" i="24"/>
  <c r="H507" i="24" s="1"/>
  <c r="G17" i="24"/>
  <c r="H508" i="24" s="1"/>
  <c r="G18" i="24"/>
  <c r="H509" i="24" s="1"/>
  <c r="G10" i="24"/>
  <c r="H501" i="24" s="1"/>
  <c r="R21" i="5"/>
  <c r="Q513" i="5" s="1"/>
  <c r="Q21" i="5"/>
  <c r="P513" i="5" s="1"/>
  <c r="P21" i="5"/>
  <c r="O513" i="5" s="1"/>
  <c r="O21" i="5"/>
  <c r="N513" i="5" s="1"/>
  <c r="N21" i="5"/>
  <c r="M513" i="5" s="1"/>
  <c r="M21" i="5"/>
  <c r="L513" i="5" s="1"/>
  <c r="E21" i="5"/>
  <c r="F513" i="5" s="1"/>
  <c r="F21" i="5"/>
  <c r="G513" i="5" s="1"/>
  <c r="G21" i="5"/>
  <c r="H513" i="5" s="1"/>
  <c r="H21" i="5"/>
  <c r="I513" i="5" s="1"/>
  <c r="I21" i="5"/>
  <c r="J513" i="5" s="1"/>
  <c r="D21" i="5"/>
  <c r="E513" i="5" s="1"/>
  <c r="R9" i="5"/>
  <c r="Q501" i="5" s="1"/>
  <c r="Q9" i="5"/>
  <c r="P501" i="5" s="1"/>
  <c r="P9" i="5"/>
  <c r="O501" i="5" s="1"/>
  <c r="O9" i="5"/>
  <c r="N501" i="5" s="1"/>
  <c r="N9" i="5"/>
  <c r="M501" i="5" s="1"/>
  <c r="M9" i="5"/>
  <c r="L501" i="5" s="1"/>
  <c r="E9" i="5"/>
  <c r="F501" i="5" s="1"/>
  <c r="F9" i="5"/>
  <c r="G501" i="5" s="1"/>
  <c r="G9" i="5"/>
  <c r="H501" i="5" s="1"/>
  <c r="H9" i="5"/>
  <c r="I501" i="5" s="1"/>
  <c r="I9" i="5"/>
  <c r="J501" i="5" s="1"/>
  <c r="R44" i="6"/>
  <c r="Q44" i="6"/>
  <c r="P44" i="6"/>
  <c r="O44" i="6"/>
  <c r="N44" i="6"/>
  <c r="M44" i="6"/>
  <c r="E44" i="6"/>
  <c r="F44" i="6"/>
  <c r="G44" i="6"/>
  <c r="H44" i="6"/>
  <c r="I44" i="6"/>
  <c r="D44" i="6"/>
  <c r="R35" i="6"/>
  <c r="Q527" i="6" s="1"/>
  <c r="Q35" i="6"/>
  <c r="P527" i="6" s="1"/>
  <c r="P35" i="6"/>
  <c r="O527" i="6" s="1"/>
  <c r="O35" i="6"/>
  <c r="N527" i="6" s="1"/>
  <c r="N35" i="6"/>
  <c r="M527" i="6" s="1"/>
  <c r="M35" i="6"/>
  <c r="L527" i="6" s="1"/>
  <c r="I35" i="6"/>
  <c r="J527" i="6" s="1"/>
  <c r="E35" i="6"/>
  <c r="F527" i="6" s="1"/>
  <c r="F35" i="6"/>
  <c r="G527" i="6" s="1"/>
  <c r="G35" i="6"/>
  <c r="H527" i="6" s="1"/>
  <c r="H35" i="6"/>
  <c r="I527" i="6" s="1"/>
  <c r="D35" i="6"/>
  <c r="E527" i="6" s="1"/>
  <c r="R27" i="6"/>
  <c r="Q519" i="6" s="1"/>
  <c r="Q27" i="6"/>
  <c r="P519" i="6" s="1"/>
  <c r="P27" i="6"/>
  <c r="O519" i="6" s="1"/>
  <c r="O27" i="6"/>
  <c r="N519" i="6" s="1"/>
  <c r="N27" i="6"/>
  <c r="M519" i="6" s="1"/>
  <c r="M27" i="6"/>
  <c r="L519" i="6" s="1"/>
  <c r="E27" i="6"/>
  <c r="F519" i="6" s="1"/>
  <c r="F27" i="6"/>
  <c r="G519" i="6" s="1"/>
  <c r="G27" i="6"/>
  <c r="H519" i="6" s="1"/>
  <c r="H27" i="6"/>
  <c r="I519" i="6" s="1"/>
  <c r="I27" i="6"/>
  <c r="J519" i="6" s="1"/>
  <c r="D27" i="6"/>
  <c r="E519" i="6" s="1"/>
  <c r="R22" i="6"/>
  <c r="Q514" i="6" s="1"/>
  <c r="Q22" i="6"/>
  <c r="P514" i="6" s="1"/>
  <c r="P22" i="6"/>
  <c r="O514" i="6" s="1"/>
  <c r="O22" i="6"/>
  <c r="N514" i="6" s="1"/>
  <c r="N22" i="6"/>
  <c r="M514" i="6" s="1"/>
  <c r="M22" i="6"/>
  <c r="L514" i="6" s="1"/>
  <c r="E22" i="6"/>
  <c r="F514" i="6" s="1"/>
  <c r="F22" i="6"/>
  <c r="G514" i="6" s="1"/>
  <c r="G22" i="6"/>
  <c r="H514" i="6" s="1"/>
  <c r="H22" i="6"/>
  <c r="I514" i="6" s="1"/>
  <c r="I22" i="6"/>
  <c r="J514" i="6" s="1"/>
  <c r="D22" i="6"/>
  <c r="E514" i="6" s="1"/>
  <c r="N17" i="6"/>
  <c r="M509" i="6" s="1"/>
  <c r="O17" i="6"/>
  <c r="N509" i="6" s="1"/>
  <c r="P17" i="6"/>
  <c r="O509" i="6" s="1"/>
  <c r="Q17" i="6"/>
  <c r="P509" i="6" s="1"/>
  <c r="R17" i="6"/>
  <c r="Q509" i="6" s="1"/>
  <c r="M17" i="6"/>
  <c r="L509" i="6" s="1"/>
  <c r="E17" i="6"/>
  <c r="F509" i="6" s="1"/>
  <c r="F17" i="6"/>
  <c r="G509" i="6" s="1"/>
  <c r="G17" i="6"/>
  <c r="H509" i="6" s="1"/>
  <c r="H17" i="6"/>
  <c r="I509" i="6" s="1"/>
  <c r="I17" i="6"/>
  <c r="J509" i="6" s="1"/>
  <c r="D17" i="6"/>
  <c r="E509" i="6" s="1"/>
  <c r="N11" i="6"/>
  <c r="M503" i="6" s="1"/>
  <c r="O11" i="6"/>
  <c r="N503" i="6" s="1"/>
  <c r="P11" i="6"/>
  <c r="O503" i="6" s="1"/>
  <c r="Q11" i="6"/>
  <c r="P503" i="6" s="1"/>
  <c r="R11" i="6"/>
  <c r="Q503" i="6" s="1"/>
  <c r="M11" i="6"/>
  <c r="L503" i="6" s="1"/>
  <c r="H11" i="6"/>
  <c r="I503" i="6" s="1"/>
  <c r="I11" i="6"/>
  <c r="J503" i="6" s="1"/>
  <c r="E11" i="6"/>
  <c r="F503" i="6" s="1"/>
  <c r="F11" i="6"/>
  <c r="G503" i="6" s="1"/>
  <c r="G11" i="6"/>
  <c r="H503" i="6" s="1"/>
  <c r="D11" i="6"/>
  <c r="E503" i="6" s="1"/>
  <c r="M16" i="26"/>
  <c r="N509" i="26" s="1"/>
  <c r="M15" i="26"/>
  <c r="N508" i="26" s="1"/>
  <c r="M14" i="26"/>
  <c r="N507" i="26" s="1"/>
  <c r="M13" i="26"/>
  <c r="N506" i="26" s="1"/>
  <c r="L13" i="26"/>
  <c r="M506" i="26" s="1"/>
  <c r="L14" i="26"/>
  <c r="M507" i="26" s="1"/>
  <c r="L15" i="26"/>
  <c r="M508" i="26" s="1"/>
  <c r="L16" i="26"/>
  <c r="M509" i="26" s="1"/>
  <c r="Q24" i="25"/>
  <c r="R516" i="25" s="1"/>
  <c r="Q23" i="25"/>
  <c r="R515" i="25" s="1"/>
  <c r="Q22" i="25"/>
  <c r="R514" i="25" s="1"/>
  <c r="Q21" i="25"/>
  <c r="R513" i="25" s="1"/>
  <c r="Q20" i="25"/>
  <c r="R512" i="25" s="1"/>
  <c r="Q19" i="25"/>
  <c r="R511" i="25" s="1"/>
  <c r="Q17" i="25"/>
  <c r="R509" i="25" s="1"/>
  <c r="Q16" i="25"/>
  <c r="R508" i="25" s="1"/>
  <c r="Q15" i="25"/>
  <c r="R507" i="25" s="1"/>
  <c r="Q13" i="25"/>
  <c r="R505" i="25" s="1"/>
  <c r="Q12" i="25"/>
  <c r="R504" i="25" s="1"/>
  <c r="Q11" i="25"/>
  <c r="R503" i="25" s="1"/>
  <c r="Q10" i="25"/>
  <c r="R502" i="25" s="1"/>
  <c r="J10" i="25"/>
  <c r="K502" i="25" s="1"/>
  <c r="J11" i="25"/>
  <c r="K503" i="25" s="1"/>
  <c r="J12" i="25"/>
  <c r="K504" i="25" s="1"/>
  <c r="J13" i="25"/>
  <c r="K505" i="25" s="1"/>
  <c r="J15" i="25"/>
  <c r="K507" i="25" s="1"/>
  <c r="J16" i="25"/>
  <c r="K508" i="25" s="1"/>
  <c r="J17" i="25"/>
  <c r="K509" i="25" s="1"/>
  <c r="J19" i="25"/>
  <c r="K511" i="25" s="1"/>
  <c r="J20" i="25"/>
  <c r="J21" i="25"/>
  <c r="K513" i="25" s="1"/>
  <c r="J22" i="25"/>
  <c r="K514" i="25" s="1"/>
  <c r="J23" i="25"/>
  <c r="K515" i="25" s="1"/>
  <c r="J24" i="25"/>
  <c r="K516" i="25" s="1"/>
  <c r="J9" i="25"/>
  <c r="K501" i="25" s="1"/>
  <c r="E18" i="25"/>
  <c r="F18" i="25"/>
  <c r="G18" i="25"/>
  <c r="H18" i="25"/>
  <c r="I18" i="25"/>
  <c r="K18" i="25"/>
  <c r="L18" i="25"/>
  <c r="M18" i="25"/>
  <c r="N18" i="25"/>
  <c r="O18" i="25"/>
  <c r="P18" i="25"/>
  <c r="E14" i="25"/>
  <c r="F14" i="25"/>
  <c r="G14" i="25"/>
  <c r="H14" i="25"/>
  <c r="I14" i="25"/>
  <c r="K14" i="25"/>
  <c r="L14" i="25"/>
  <c r="M14" i="25"/>
  <c r="N14" i="25"/>
  <c r="O14" i="25"/>
  <c r="P14" i="25"/>
  <c r="D18" i="25"/>
  <c r="D29" i="25" s="1"/>
  <c r="BC228" i="25" s="1"/>
  <c r="D14" i="25"/>
  <c r="D28" i="25" s="1"/>
  <c r="BC227" i="25" s="1"/>
  <c r="D19" i="24"/>
  <c r="D18" i="23"/>
  <c r="D20" i="23" s="1"/>
  <c r="BC219" i="23" s="1"/>
  <c r="M11" i="22"/>
  <c r="N503" i="22" s="1"/>
  <c r="M12" i="22"/>
  <c r="N504" i="22" s="1"/>
  <c r="M13" i="22"/>
  <c r="N505" i="22" s="1"/>
  <c r="M14" i="22"/>
  <c r="N506" i="22" s="1"/>
  <c r="M15" i="22"/>
  <c r="N507" i="22" s="1"/>
  <c r="M16" i="22"/>
  <c r="N508" i="22" s="1"/>
  <c r="M17" i="22"/>
  <c r="N509" i="22" s="1"/>
  <c r="M18" i="22"/>
  <c r="N510" i="22" s="1"/>
  <c r="M20" i="22"/>
  <c r="N512" i="22" s="1"/>
  <c r="M21" i="22"/>
  <c r="N513" i="22" s="1"/>
  <c r="M22" i="22"/>
  <c r="N514" i="22" s="1"/>
  <c r="M23" i="22"/>
  <c r="N515" i="22" s="1"/>
  <c r="M24" i="22"/>
  <c r="N516" i="22" s="1"/>
  <c r="M25" i="22"/>
  <c r="N517" i="22" s="1"/>
  <c r="M26" i="22"/>
  <c r="N518" i="22" s="1"/>
  <c r="M27" i="22"/>
  <c r="N519" i="22" s="1"/>
  <c r="M28" i="22"/>
  <c r="N520" i="22" s="1"/>
  <c r="H20" i="22"/>
  <c r="I512" i="22" s="1"/>
  <c r="H21" i="22"/>
  <c r="I513" i="22" s="1"/>
  <c r="H22" i="22"/>
  <c r="I514" i="22" s="1"/>
  <c r="H23" i="22"/>
  <c r="I515" i="22" s="1"/>
  <c r="H24" i="22"/>
  <c r="I516" i="22" s="1"/>
  <c r="H25" i="22"/>
  <c r="I517" i="22" s="1"/>
  <c r="H26" i="22"/>
  <c r="I518" i="22" s="1"/>
  <c r="H27" i="22"/>
  <c r="I519" i="22" s="1"/>
  <c r="H28" i="22"/>
  <c r="I520" i="22" s="1"/>
  <c r="H11" i="22"/>
  <c r="I503" i="22" s="1"/>
  <c r="H12" i="22"/>
  <c r="I504" i="22" s="1"/>
  <c r="H13" i="22"/>
  <c r="I505" i="22" s="1"/>
  <c r="H14" i="22"/>
  <c r="I506" i="22" s="1"/>
  <c r="H15" i="22"/>
  <c r="I507" i="22" s="1"/>
  <c r="H16" i="22"/>
  <c r="I508" i="22" s="1"/>
  <c r="H17" i="22"/>
  <c r="I509" i="22" s="1"/>
  <c r="H18" i="22"/>
  <c r="I510" i="22" s="1"/>
  <c r="M9" i="22"/>
  <c r="N501" i="22" s="1"/>
  <c r="H9" i="22"/>
  <c r="I501" i="22" s="1"/>
  <c r="I19" i="22"/>
  <c r="D19" i="22"/>
  <c r="D33" i="22" s="1"/>
  <c r="BC232" i="22" s="1"/>
  <c r="E29" i="22"/>
  <c r="F29" i="22"/>
  <c r="G29" i="22"/>
  <c r="I10" i="22"/>
  <c r="D10" i="22"/>
  <c r="D32" i="22" s="1"/>
  <c r="BC231" i="22" s="1"/>
  <c r="D16" i="21"/>
  <c r="E510" i="21" s="1"/>
  <c r="D13" i="21"/>
  <c r="E507" i="21" s="1"/>
  <c r="D7" i="21"/>
  <c r="E501" i="21" s="1"/>
  <c r="AB8" i="20"/>
  <c r="AC501" i="20" s="1"/>
  <c r="Q10" i="19"/>
  <c r="R502" i="19" s="1"/>
  <c r="Q12" i="19"/>
  <c r="R504" i="19" s="1"/>
  <c r="Q13" i="19"/>
  <c r="R505" i="19" s="1"/>
  <c r="Q14" i="19"/>
  <c r="R506" i="19" s="1"/>
  <c r="Q15" i="19"/>
  <c r="R507" i="19" s="1"/>
  <c r="Q16" i="19"/>
  <c r="R508" i="19" s="1"/>
  <c r="Q17" i="19"/>
  <c r="R509" i="19" s="1"/>
  <c r="Q20" i="19"/>
  <c r="R512" i="19" s="1"/>
  <c r="Q21" i="19"/>
  <c r="R513" i="19" s="1"/>
  <c r="Q22" i="19"/>
  <c r="R514" i="19" s="1"/>
  <c r="Q24" i="19"/>
  <c r="R516" i="19" s="1"/>
  <c r="Q25" i="19"/>
  <c r="R517" i="19" s="1"/>
  <c r="Q26" i="19"/>
  <c r="R518" i="19" s="1"/>
  <c r="Q27" i="19"/>
  <c r="R519" i="19" s="1"/>
  <c r="Q28" i="19"/>
  <c r="R520" i="19" s="1"/>
  <c r="Q29" i="19"/>
  <c r="R521" i="19" s="1"/>
  <c r="Q30" i="19"/>
  <c r="R522" i="19" s="1"/>
  <c r="Q32" i="19"/>
  <c r="R524" i="19" s="1"/>
  <c r="Q33" i="19"/>
  <c r="R525" i="19" s="1"/>
  <c r="Q35" i="19"/>
  <c r="R527" i="19" s="1"/>
  <c r="Q36" i="19"/>
  <c r="R528" i="19" s="1"/>
  <c r="Q9" i="19"/>
  <c r="R501" i="19" s="1"/>
  <c r="J10" i="19"/>
  <c r="K502" i="19" s="1"/>
  <c r="J12" i="19"/>
  <c r="K504" i="19" s="1"/>
  <c r="J13" i="19"/>
  <c r="K505" i="19" s="1"/>
  <c r="J14" i="19"/>
  <c r="K506" i="19" s="1"/>
  <c r="J15" i="19"/>
  <c r="K507" i="19" s="1"/>
  <c r="J16" i="19"/>
  <c r="K508" i="19" s="1"/>
  <c r="J17" i="19"/>
  <c r="K509" i="19" s="1"/>
  <c r="J20" i="19"/>
  <c r="K512" i="19" s="1"/>
  <c r="J21" i="19"/>
  <c r="K513" i="19" s="1"/>
  <c r="J22" i="19"/>
  <c r="K514" i="19" s="1"/>
  <c r="J24" i="19"/>
  <c r="K516" i="19" s="1"/>
  <c r="J25" i="19"/>
  <c r="K517" i="19" s="1"/>
  <c r="J26" i="19"/>
  <c r="K518" i="19" s="1"/>
  <c r="J27" i="19"/>
  <c r="K519" i="19" s="1"/>
  <c r="J28" i="19"/>
  <c r="K520" i="19" s="1"/>
  <c r="J29" i="19"/>
  <c r="K521" i="19" s="1"/>
  <c r="J30" i="19"/>
  <c r="K522" i="19" s="1"/>
  <c r="J32" i="19"/>
  <c r="K524" i="19" s="1"/>
  <c r="J33" i="19"/>
  <c r="K525" i="19" s="1"/>
  <c r="J35" i="19"/>
  <c r="K527" i="19" s="1"/>
  <c r="J36" i="19"/>
  <c r="K528" i="19" s="1"/>
  <c r="J9" i="19"/>
  <c r="K501" i="19" s="1"/>
  <c r="D23" i="19"/>
  <c r="E515" i="19" s="1"/>
  <c r="M37" i="19"/>
  <c r="N529" i="19" s="1"/>
  <c r="D19" i="19"/>
  <c r="E511" i="19" s="1"/>
  <c r="E37" i="19"/>
  <c r="F529" i="19" s="1"/>
  <c r="K37" i="19"/>
  <c r="L529" i="19" s="1"/>
  <c r="L37" i="19"/>
  <c r="M529" i="19" s="1"/>
  <c r="D11" i="19"/>
  <c r="E503" i="19" s="1"/>
  <c r="Q10" i="18"/>
  <c r="R503" i="18" s="1"/>
  <c r="Q11" i="18"/>
  <c r="R504" i="18" s="1"/>
  <c r="Q12" i="18"/>
  <c r="R505" i="18" s="1"/>
  <c r="Q13" i="18"/>
  <c r="R506" i="18" s="1"/>
  <c r="Q14" i="18"/>
  <c r="R507" i="18" s="1"/>
  <c r="Q15" i="18"/>
  <c r="R508" i="18" s="1"/>
  <c r="Q16" i="18"/>
  <c r="R509" i="18" s="1"/>
  <c r="Q17" i="18"/>
  <c r="R510" i="18" s="1"/>
  <c r="Q19" i="18"/>
  <c r="R512" i="18" s="1"/>
  <c r="Q20" i="18"/>
  <c r="R513" i="18" s="1"/>
  <c r="Q21" i="18"/>
  <c r="R514" i="18" s="1"/>
  <c r="Q22" i="18"/>
  <c r="R515" i="18" s="1"/>
  <c r="Q23" i="18"/>
  <c r="R516" i="18" s="1"/>
  <c r="Q24" i="18"/>
  <c r="R517" i="18" s="1"/>
  <c r="Q25" i="18"/>
  <c r="R518" i="18" s="1"/>
  <c r="Q26" i="18"/>
  <c r="R519" i="18" s="1"/>
  <c r="Q27" i="18"/>
  <c r="R520" i="18" s="1"/>
  <c r="Q28" i="18"/>
  <c r="R521" i="18" s="1"/>
  <c r="Q29" i="18"/>
  <c r="R522" i="18" s="1"/>
  <c r="Q30" i="18"/>
  <c r="R523" i="18" s="1"/>
  <c r="Q31" i="18"/>
  <c r="R524" i="18" s="1"/>
  <c r="Q32" i="18"/>
  <c r="R525" i="18" s="1"/>
  <c r="Q33" i="18"/>
  <c r="R526" i="18" s="1"/>
  <c r="Q34" i="18"/>
  <c r="R527" i="18" s="1"/>
  <c r="Q35" i="18"/>
  <c r="R528" i="18" s="1"/>
  <c r="Q36" i="18"/>
  <c r="R529" i="18" s="1"/>
  <c r="Q37" i="18"/>
  <c r="R530" i="18" s="1"/>
  <c r="Q8" i="18"/>
  <c r="R501" i="18" s="1"/>
  <c r="J10" i="18"/>
  <c r="K503" i="18" s="1"/>
  <c r="J11" i="18"/>
  <c r="K504" i="18" s="1"/>
  <c r="J12" i="18"/>
  <c r="K505" i="18" s="1"/>
  <c r="J13" i="18"/>
  <c r="K506" i="18" s="1"/>
  <c r="J14" i="18"/>
  <c r="K507" i="18" s="1"/>
  <c r="J15" i="18"/>
  <c r="K508" i="18" s="1"/>
  <c r="J16" i="18"/>
  <c r="K509" i="18" s="1"/>
  <c r="J17" i="18"/>
  <c r="K510" i="18" s="1"/>
  <c r="J19" i="18"/>
  <c r="K512" i="18" s="1"/>
  <c r="J20" i="18"/>
  <c r="K513" i="18" s="1"/>
  <c r="J21" i="18"/>
  <c r="K514" i="18" s="1"/>
  <c r="J22" i="18"/>
  <c r="K515" i="18" s="1"/>
  <c r="J23" i="18"/>
  <c r="K516" i="18" s="1"/>
  <c r="J24" i="18"/>
  <c r="K517" i="18" s="1"/>
  <c r="J25" i="18"/>
  <c r="K518" i="18" s="1"/>
  <c r="J26" i="18"/>
  <c r="K519" i="18" s="1"/>
  <c r="J27" i="18"/>
  <c r="K520" i="18" s="1"/>
  <c r="J28" i="18"/>
  <c r="K521" i="18" s="1"/>
  <c r="J29" i="18"/>
  <c r="K522" i="18" s="1"/>
  <c r="J30" i="18"/>
  <c r="K523" i="18" s="1"/>
  <c r="J31" i="18"/>
  <c r="K524" i="18" s="1"/>
  <c r="J32" i="18"/>
  <c r="K525" i="18" s="1"/>
  <c r="J33" i="18"/>
  <c r="K526" i="18" s="1"/>
  <c r="J34" i="18"/>
  <c r="K527" i="18" s="1"/>
  <c r="J35" i="18"/>
  <c r="K528" i="18" s="1"/>
  <c r="J36" i="18"/>
  <c r="K529" i="18" s="1"/>
  <c r="J37" i="18"/>
  <c r="K530" i="18" s="1"/>
  <c r="J8" i="18"/>
  <c r="K501" i="18" s="1"/>
  <c r="D18" i="18"/>
  <c r="D40" i="18" s="1"/>
  <c r="BC239" i="18" s="1"/>
  <c r="L38" i="18"/>
  <c r="M38" i="18"/>
  <c r="D9" i="18"/>
  <c r="R11" i="17"/>
  <c r="R503" i="17" s="1"/>
  <c r="R12" i="17"/>
  <c r="R504" i="17" s="1"/>
  <c r="R13" i="17"/>
  <c r="R505" i="17" s="1"/>
  <c r="R14" i="17"/>
  <c r="R506" i="17" s="1"/>
  <c r="R15" i="17"/>
  <c r="R507" i="17" s="1"/>
  <c r="R16" i="17"/>
  <c r="R508" i="17" s="1"/>
  <c r="R17" i="17"/>
  <c r="R509" i="17" s="1"/>
  <c r="R18" i="17"/>
  <c r="R510" i="17" s="1"/>
  <c r="R20" i="17"/>
  <c r="R512" i="17" s="1"/>
  <c r="R21" i="17"/>
  <c r="R513" i="17" s="1"/>
  <c r="R22" i="17"/>
  <c r="R514" i="17" s="1"/>
  <c r="R23" i="17"/>
  <c r="R515" i="17" s="1"/>
  <c r="R27" i="17"/>
  <c r="R519" i="17" s="1"/>
  <c r="R28" i="17"/>
  <c r="R520" i="17" s="1"/>
  <c r="R29" i="17"/>
  <c r="R521" i="17" s="1"/>
  <c r="R30" i="17"/>
  <c r="R522" i="17" s="1"/>
  <c r="R31" i="17"/>
  <c r="R523" i="17" s="1"/>
  <c r="R32" i="17"/>
  <c r="R524" i="17" s="1"/>
  <c r="R9" i="17"/>
  <c r="R501" i="17" s="1"/>
  <c r="K11" i="17"/>
  <c r="K503" i="17" s="1"/>
  <c r="K12" i="17"/>
  <c r="K504" i="17" s="1"/>
  <c r="K13" i="17"/>
  <c r="K505" i="17" s="1"/>
  <c r="K14" i="17"/>
  <c r="K506" i="17" s="1"/>
  <c r="K15" i="17"/>
  <c r="K507" i="17" s="1"/>
  <c r="K16" i="17"/>
  <c r="K508" i="17" s="1"/>
  <c r="K17" i="17"/>
  <c r="K509" i="17" s="1"/>
  <c r="K18" i="17"/>
  <c r="K510" i="17" s="1"/>
  <c r="K20" i="17"/>
  <c r="K512" i="17" s="1"/>
  <c r="K21" i="17"/>
  <c r="K513" i="17" s="1"/>
  <c r="K22" i="17"/>
  <c r="K514" i="17" s="1"/>
  <c r="K23" i="17"/>
  <c r="K515" i="17" s="1"/>
  <c r="K27" i="17"/>
  <c r="K519" i="17" s="1"/>
  <c r="K28" i="17"/>
  <c r="K520" i="17" s="1"/>
  <c r="K29" i="17"/>
  <c r="K521" i="17" s="1"/>
  <c r="K30" i="17"/>
  <c r="K522" i="17" s="1"/>
  <c r="K31" i="17"/>
  <c r="K523" i="17" s="1"/>
  <c r="K32" i="17"/>
  <c r="K524" i="17" s="1"/>
  <c r="K9" i="17"/>
  <c r="K501" i="17" s="1"/>
  <c r="M9" i="16"/>
  <c r="H9" i="16"/>
  <c r="I501" i="16" s="1"/>
  <c r="F24" i="12"/>
  <c r="F30" i="12" s="1"/>
  <c r="BE229" i="12" s="1"/>
  <c r="G24" i="12"/>
  <c r="G30" i="12" s="1"/>
  <c r="BF229" i="12" s="1"/>
  <c r="J24" i="12"/>
  <c r="J30" i="12" s="1"/>
  <c r="BI229" i="12" s="1"/>
  <c r="D24" i="12"/>
  <c r="D30" i="12" s="1"/>
  <c r="R9" i="15"/>
  <c r="P502" i="15" s="1"/>
  <c r="R10" i="15"/>
  <c r="P503" i="15" s="1"/>
  <c r="R11" i="15"/>
  <c r="P504" i="15" s="1"/>
  <c r="R12" i="15"/>
  <c r="P505" i="15" s="1"/>
  <c r="R13" i="15"/>
  <c r="P506" i="15" s="1"/>
  <c r="R14" i="15"/>
  <c r="P507" i="15" s="1"/>
  <c r="R15" i="15"/>
  <c r="P508" i="15" s="1"/>
  <c r="Q9" i="15"/>
  <c r="O502" i="15" s="1"/>
  <c r="Q10" i="15"/>
  <c r="O503" i="15" s="1"/>
  <c r="Q11" i="15"/>
  <c r="O504" i="15" s="1"/>
  <c r="Q12" i="15"/>
  <c r="O505" i="15" s="1"/>
  <c r="Q13" i="15"/>
  <c r="O506" i="15" s="1"/>
  <c r="Q14" i="15"/>
  <c r="O507" i="15" s="1"/>
  <c r="Q15" i="15"/>
  <c r="O508" i="15" s="1"/>
  <c r="P9" i="15"/>
  <c r="N502" i="15" s="1"/>
  <c r="P10" i="15"/>
  <c r="N503" i="15" s="1"/>
  <c r="P11" i="15"/>
  <c r="N504" i="15" s="1"/>
  <c r="P12" i="15"/>
  <c r="N505" i="15" s="1"/>
  <c r="P13" i="15"/>
  <c r="N506" i="15" s="1"/>
  <c r="P14" i="15"/>
  <c r="N507" i="15" s="1"/>
  <c r="P15" i="15"/>
  <c r="N508" i="15" s="1"/>
  <c r="Q8" i="15"/>
  <c r="O501" i="15" s="1"/>
  <c r="R8" i="15"/>
  <c r="P501" i="15" s="1"/>
  <c r="P8" i="15"/>
  <c r="N501" i="15" s="1"/>
  <c r="F16" i="15"/>
  <c r="F509" i="15" s="1"/>
  <c r="G16" i="15"/>
  <c r="G509" i="15" s="1"/>
  <c r="H16" i="15"/>
  <c r="H509" i="15" s="1"/>
  <c r="J16" i="15"/>
  <c r="I509" i="15" s="1"/>
  <c r="K16" i="15"/>
  <c r="J509" i="15" s="1"/>
  <c r="L16" i="15"/>
  <c r="K509" i="15" s="1"/>
  <c r="N16" i="15"/>
  <c r="L509" i="15" s="1"/>
  <c r="O16" i="15"/>
  <c r="M509" i="15" s="1"/>
  <c r="D16" i="15"/>
  <c r="E509" i="15" s="1"/>
  <c r="R9" i="14"/>
  <c r="P502" i="14" s="1"/>
  <c r="R10" i="14"/>
  <c r="P503" i="14" s="1"/>
  <c r="R11" i="14"/>
  <c r="P504" i="14" s="1"/>
  <c r="R12" i="14"/>
  <c r="P505" i="14" s="1"/>
  <c r="R13" i="14"/>
  <c r="P506" i="14" s="1"/>
  <c r="R14" i="14"/>
  <c r="P507" i="14" s="1"/>
  <c r="R15" i="14"/>
  <c r="P508" i="14" s="1"/>
  <c r="R16" i="14"/>
  <c r="P509" i="14" s="1"/>
  <c r="R17" i="14"/>
  <c r="P510" i="14" s="1"/>
  <c r="R18" i="14"/>
  <c r="P511" i="14" s="1"/>
  <c r="R19" i="14"/>
  <c r="P512" i="14" s="1"/>
  <c r="Q9" i="14"/>
  <c r="O502" i="14" s="1"/>
  <c r="Q10" i="14"/>
  <c r="O503" i="14" s="1"/>
  <c r="Q11" i="14"/>
  <c r="O504" i="14" s="1"/>
  <c r="Q12" i="14"/>
  <c r="O505" i="14" s="1"/>
  <c r="Q13" i="14"/>
  <c r="O506" i="14" s="1"/>
  <c r="Q14" i="14"/>
  <c r="O507" i="14" s="1"/>
  <c r="Q15" i="14"/>
  <c r="O508" i="14" s="1"/>
  <c r="Q16" i="14"/>
  <c r="O509" i="14" s="1"/>
  <c r="Q17" i="14"/>
  <c r="O510" i="14" s="1"/>
  <c r="Q18" i="14"/>
  <c r="O511" i="14" s="1"/>
  <c r="Q19" i="14"/>
  <c r="O512" i="14" s="1"/>
  <c r="Q8" i="14"/>
  <c r="O501" i="14" s="1"/>
  <c r="R8" i="14"/>
  <c r="P501" i="14" s="1"/>
  <c r="P9" i="14"/>
  <c r="N502" i="14" s="1"/>
  <c r="P10" i="14"/>
  <c r="N503" i="14" s="1"/>
  <c r="P11" i="14"/>
  <c r="N504" i="14" s="1"/>
  <c r="P12" i="14"/>
  <c r="N505" i="14" s="1"/>
  <c r="P13" i="14"/>
  <c r="N506" i="14" s="1"/>
  <c r="P14" i="14"/>
  <c r="N507" i="14" s="1"/>
  <c r="P15" i="14"/>
  <c r="N508" i="14" s="1"/>
  <c r="P16" i="14"/>
  <c r="N509" i="14" s="1"/>
  <c r="P17" i="14"/>
  <c r="N510" i="14" s="1"/>
  <c r="P18" i="14"/>
  <c r="N511" i="14" s="1"/>
  <c r="P19" i="14"/>
  <c r="N512" i="14" s="1"/>
  <c r="P8" i="14"/>
  <c r="N501" i="14" s="1"/>
  <c r="F20" i="14"/>
  <c r="F513" i="14" s="1"/>
  <c r="G20" i="14"/>
  <c r="G513" i="14" s="1"/>
  <c r="H20" i="14"/>
  <c r="H513" i="14" s="1"/>
  <c r="J20" i="14"/>
  <c r="I513" i="14" s="1"/>
  <c r="K20" i="14"/>
  <c r="J513" i="14" s="1"/>
  <c r="L20" i="14"/>
  <c r="K513" i="14" s="1"/>
  <c r="N20" i="14"/>
  <c r="L513" i="14" s="1"/>
  <c r="O20" i="14"/>
  <c r="M513" i="14" s="1"/>
  <c r="D20" i="14"/>
  <c r="E513" i="14" s="1"/>
  <c r="F15" i="12"/>
  <c r="F28" i="12" s="1"/>
  <c r="BE227" i="12" s="1"/>
  <c r="G15" i="12"/>
  <c r="G28" i="12" s="1"/>
  <c r="BF227" i="12" s="1"/>
  <c r="J15" i="12"/>
  <c r="J28" i="12" s="1"/>
  <c r="BI227" i="12" s="1"/>
  <c r="K15" i="12"/>
  <c r="K28" i="12" s="1"/>
  <c r="BJ227" i="12" s="1"/>
  <c r="D15" i="12"/>
  <c r="D28" i="12" s="1"/>
  <c r="BC227" i="12" s="1"/>
  <c r="F23" i="10"/>
  <c r="G23" i="10"/>
  <c r="J23" i="10"/>
  <c r="K23" i="10"/>
  <c r="D23" i="10"/>
  <c r="J14" i="10"/>
  <c r="K14" i="10"/>
  <c r="F14" i="10"/>
  <c r="G14" i="10"/>
  <c r="D14" i="10"/>
  <c r="K14" i="3"/>
  <c r="K507" i="3" s="1"/>
  <c r="J14" i="3"/>
  <c r="J507" i="3" s="1"/>
  <c r="E25" i="1"/>
  <c r="E516" i="1" s="1"/>
  <c r="F25" i="1"/>
  <c r="F516" i="1" s="1"/>
  <c r="I25" i="1"/>
  <c r="I516" i="1" s="1"/>
  <c r="J25" i="1"/>
  <c r="J516" i="1" s="1"/>
  <c r="S51" i="6"/>
  <c r="R543" i="6" s="1"/>
  <c r="S50" i="6"/>
  <c r="R542" i="6" s="1"/>
  <c r="S49" i="6"/>
  <c r="R541" i="6" s="1"/>
  <c r="S48" i="6"/>
  <c r="R540" i="6" s="1"/>
  <c r="S47" i="6"/>
  <c r="R539" i="6" s="1"/>
  <c r="S46" i="6"/>
  <c r="R538" i="6" s="1"/>
  <c r="S45" i="6"/>
  <c r="R537" i="6" s="1"/>
  <c r="S42" i="6"/>
  <c r="R534" i="6" s="1"/>
  <c r="S41" i="6"/>
  <c r="R533" i="6" s="1"/>
  <c r="S40" i="6"/>
  <c r="R532" i="6" s="1"/>
  <c r="S39" i="6"/>
  <c r="R531" i="6" s="1"/>
  <c r="S38" i="6"/>
  <c r="R530" i="6" s="1"/>
  <c r="S37" i="6"/>
  <c r="R529" i="6" s="1"/>
  <c r="S36" i="6"/>
  <c r="R528" i="6" s="1"/>
  <c r="S34" i="6"/>
  <c r="R526" i="6" s="1"/>
  <c r="S33" i="6"/>
  <c r="R525" i="6" s="1"/>
  <c r="S31" i="6"/>
  <c r="R523" i="6" s="1"/>
  <c r="S30" i="6"/>
  <c r="R522" i="6" s="1"/>
  <c r="S29" i="6"/>
  <c r="R521" i="6" s="1"/>
  <c r="S28" i="6"/>
  <c r="R520" i="6" s="1"/>
  <c r="S26" i="6"/>
  <c r="R518" i="6" s="1"/>
  <c r="S25" i="6"/>
  <c r="R517" i="6" s="1"/>
  <c r="S24" i="6"/>
  <c r="R516" i="6" s="1"/>
  <c r="S23" i="6"/>
  <c r="R515" i="6" s="1"/>
  <c r="S21" i="6"/>
  <c r="R513" i="6" s="1"/>
  <c r="S20" i="6"/>
  <c r="R512" i="6" s="1"/>
  <c r="S19" i="6"/>
  <c r="R511" i="6" s="1"/>
  <c r="S18" i="6"/>
  <c r="R510" i="6" s="1"/>
  <c r="S16" i="6"/>
  <c r="R508" i="6" s="1"/>
  <c r="S15" i="6"/>
  <c r="R507" i="6" s="1"/>
  <c r="S14" i="6"/>
  <c r="R506" i="6" s="1"/>
  <c r="S13" i="6"/>
  <c r="R505" i="6" s="1"/>
  <c r="S12" i="6"/>
  <c r="R504" i="6" s="1"/>
  <c r="S10" i="6"/>
  <c r="R502" i="6" s="1"/>
  <c r="S9" i="6"/>
  <c r="R501" i="6" s="1"/>
  <c r="J10" i="6"/>
  <c r="K502" i="6" s="1"/>
  <c r="J12" i="6"/>
  <c r="K504" i="6" s="1"/>
  <c r="J13" i="6"/>
  <c r="K505" i="6" s="1"/>
  <c r="J14" i="6"/>
  <c r="K506" i="6" s="1"/>
  <c r="J15" i="6"/>
  <c r="K507" i="6" s="1"/>
  <c r="J16" i="6"/>
  <c r="K508" i="6" s="1"/>
  <c r="J18" i="6"/>
  <c r="K510" i="6" s="1"/>
  <c r="J19" i="6"/>
  <c r="K511" i="6" s="1"/>
  <c r="J20" i="6"/>
  <c r="K512" i="6" s="1"/>
  <c r="J21" i="6"/>
  <c r="K513" i="6" s="1"/>
  <c r="J23" i="6"/>
  <c r="K515" i="6" s="1"/>
  <c r="J24" i="6"/>
  <c r="K516" i="6" s="1"/>
  <c r="J25" i="6"/>
  <c r="K517" i="6" s="1"/>
  <c r="J26" i="6"/>
  <c r="K518" i="6" s="1"/>
  <c r="J28" i="6"/>
  <c r="K520" i="6" s="1"/>
  <c r="J29" i="6"/>
  <c r="K521" i="6" s="1"/>
  <c r="J30" i="6"/>
  <c r="K522" i="6" s="1"/>
  <c r="J31" i="6"/>
  <c r="K523" i="6" s="1"/>
  <c r="J33" i="6"/>
  <c r="K525" i="6" s="1"/>
  <c r="J34" i="6"/>
  <c r="K526" i="6" s="1"/>
  <c r="J36" i="6"/>
  <c r="K528" i="6" s="1"/>
  <c r="J37" i="6"/>
  <c r="K529" i="6" s="1"/>
  <c r="J38" i="6"/>
  <c r="K530" i="6" s="1"/>
  <c r="J39" i="6"/>
  <c r="K531" i="6" s="1"/>
  <c r="J40" i="6"/>
  <c r="K532" i="6" s="1"/>
  <c r="J41" i="6"/>
  <c r="K533" i="6" s="1"/>
  <c r="J42" i="6"/>
  <c r="K534" i="6" s="1"/>
  <c r="J45" i="6"/>
  <c r="K537" i="6" s="1"/>
  <c r="J46" i="6"/>
  <c r="K538" i="6" s="1"/>
  <c r="J47" i="6"/>
  <c r="K539" i="6" s="1"/>
  <c r="J48" i="6"/>
  <c r="K540" i="6" s="1"/>
  <c r="J49" i="6"/>
  <c r="K541" i="6" s="1"/>
  <c r="J50" i="6"/>
  <c r="K542" i="6" s="1"/>
  <c r="J51" i="6"/>
  <c r="K543" i="6" s="1"/>
  <c r="J9" i="6"/>
  <c r="K501" i="6" s="1"/>
  <c r="K485" i="1" l="1"/>
  <c r="K19" i="1"/>
  <c r="K510" i="1" s="1"/>
  <c r="J485" i="1"/>
  <c r="J19" i="1"/>
  <c r="J510" i="1" s="1"/>
  <c r="I485" i="1"/>
  <c r="I19" i="1"/>
  <c r="I510" i="1" s="1"/>
  <c r="G485" i="1"/>
  <c r="G19" i="1"/>
  <c r="F485" i="1"/>
  <c r="F19" i="1"/>
  <c r="F510" i="1" s="1"/>
  <c r="E485" i="1"/>
  <c r="E19" i="1"/>
  <c r="E510" i="1" s="1"/>
  <c r="K488" i="1"/>
  <c r="I29" i="12"/>
  <c r="BH228" i="12" s="1"/>
  <c r="BC229" i="12"/>
  <c r="M502" i="10"/>
  <c r="M28" i="10"/>
  <c r="BL227" i="10" s="1"/>
  <c r="D28" i="10"/>
  <c r="BC227" i="10" s="1"/>
  <c r="I501" i="10"/>
  <c r="I27" i="10"/>
  <c r="BH226" i="10" s="1"/>
  <c r="D27" i="10"/>
  <c r="BC226" i="10" s="1"/>
  <c r="M27" i="10"/>
  <c r="BL226" i="10" s="1"/>
  <c r="M501" i="10"/>
  <c r="J33" i="1"/>
  <c r="AS212" i="1" s="1"/>
  <c r="I33" i="1"/>
  <c r="AR212" i="1" s="1"/>
  <c r="M512" i="3"/>
  <c r="M26" i="3"/>
  <c r="BL225" i="3" s="1"/>
  <c r="I512" i="3"/>
  <c r="I26" i="3"/>
  <c r="BH225" i="3" s="1"/>
  <c r="K510" i="24"/>
  <c r="J20" i="24"/>
  <c r="BI219" i="24" s="1"/>
  <c r="Z510" i="24"/>
  <c r="Y20" i="24"/>
  <c r="BX219" i="24" s="1"/>
  <c r="J510" i="24"/>
  <c r="I20" i="24"/>
  <c r="BH219" i="24" s="1"/>
  <c r="W510" i="24"/>
  <c r="V20" i="24"/>
  <c r="BU219" i="24" s="1"/>
  <c r="I510" i="24"/>
  <c r="H20" i="24"/>
  <c r="BG219" i="24" s="1"/>
  <c r="V510" i="24"/>
  <c r="U20" i="24"/>
  <c r="BT219" i="24" s="1"/>
  <c r="AM510" i="24"/>
  <c r="AL20" i="24"/>
  <c r="CK219" i="24" s="1"/>
  <c r="G510" i="24"/>
  <c r="F20" i="24"/>
  <c r="BE219" i="24" s="1"/>
  <c r="U510" i="24"/>
  <c r="T20" i="24"/>
  <c r="BS219" i="24" s="1"/>
  <c r="AL510" i="24"/>
  <c r="AK20" i="24"/>
  <c r="CJ219" i="24" s="1"/>
  <c r="F510" i="24"/>
  <c r="E20" i="24"/>
  <c r="BD219" i="24" s="1"/>
  <c r="AK510" i="24"/>
  <c r="AJ20" i="24"/>
  <c r="CI219" i="24" s="1"/>
  <c r="AI510" i="24"/>
  <c r="AH20" i="24"/>
  <c r="CG219" i="24" s="1"/>
  <c r="AH510" i="24"/>
  <c r="AG20" i="24"/>
  <c r="CF219" i="24" s="1"/>
  <c r="M510" i="24"/>
  <c r="L20" i="24"/>
  <c r="BK219" i="24" s="1"/>
  <c r="AA510" i="24"/>
  <c r="Z20" i="24"/>
  <c r="BY219" i="24" s="1"/>
  <c r="AG510" i="24"/>
  <c r="AF20" i="24"/>
  <c r="CE219" i="24" s="1"/>
  <c r="J23" i="33"/>
  <c r="BI222" i="33" s="1"/>
  <c r="J24" i="33"/>
  <c r="BI223" i="33" s="1"/>
  <c r="Y36" i="17"/>
  <c r="BX235" i="17" s="1"/>
  <c r="X23" i="33"/>
  <c r="BW222" i="33" s="1"/>
  <c r="X24" i="33"/>
  <c r="BW223" i="33" s="1"/>
  <c r="R36" i="17"/>
  <c r="BQ235" i="17" s="1"/>
  <c r="Q23" i="33"/>
  <c r="BP222" i="33" s="1"/>
  <c r="Q24" i="33"/>
  <c r="BP223" i="33" s="1"/>
  <c r="T25" i="33"/>
  <c r="BS224" i="33" s="1"/>
  <c r="T26" i="33"/>
  <c r="BS225" i="33" s="1"/>
  <c r="U25" i="33"/>
  <c r="BT224" i="33" s="1"/>
  <c r="U26" i="33"/>
  <c r="BT225" i="33" s="1"/>
  <c r="W25" i="33"/>
  <c r="BV224" i="33" s="1"/>
  <c r="W26" i="33"/>
  <c r="BV225" i="33" s="1"/>
  <c r="L25" i="33"/>
  <c r="BK224" i="33" s="1"/>
  <c r="L26" i="33"/>
  <c r="BK225" i="33" s="1"/>
  <c r="M25" i="33"/>
  <c r="BL224" i="33" s="1"/>
  <c r="M26" i="33"/>
  <c r="BL225" i="33" s="1"/>
  <c r="S501" i="16"/>
  <c r="R15" i="16"/>
  <c r="N501" i="16"/>
  <c r="M15" i="16"/>
  <c r="E19" i="10"/>
  <c r="BD218" i="10" s="1"/>
  <c r="I508" i="10"/>
  <c r="E18" i="12"/>
  <c r="BD217" i="12" s="1"/>
  <c r="I509" i="12"/>
  <c r="E13" i="12"/>
  <c r="BD212" i="12" s="1"/>
  <c r="I505" i="12"/>
  <c r="E12" i="12"/>
  <c r="BD211" i="12" s="1"/>
  <c r="I504" i="12"/>
  <c r="E22" i="12"/>
  <c r="BD221" i="12" s="1"/>
  <c r="I513" i="12"/>
  <c r="E21" i="12"/>
  <c r="BD220" i="12" s="1"/>
  <c r="I512" i="12"/>
  <c r="E17" i="12"/>
  <c r="BD216" i="12" s="1"/>
  <c r="I508" i="12"/>
  <c r="E19" i="12"/>
  <c r="BD218" i="12" s="1"/>
  <c r="I510" i="12"/>
  <c r="E11" i="11"/>
  <c r="BD210" i="11" s="1"/>
  <c r="I504" i="11"/>
  <c r="E10" i="11"/>
  <c r="BD209" i="11" s="1"/>
  <c r="I503" i="11"/>
  <c r="E496" i="1"/>
  <c r="E33" i="1"/>
  <c r="AN212" i="1" s="1"/>
  <c r="F496" i="1"/>
  <c r="F33" i="1"/>
  <c r="AO212" i="1" s="1"/>
  <c r="AD19" i="6"/>
  <c r="Y511" i="6"/>
  <c r="M43" i="19"/>
  <c r="BL242" i="19" s="1"/>
  <c r="M42" i="19"/>
  <c r="BL241" i="19" s="1"/>
  <c r="L43" i="19"/>
  <c r="BK242" i="19" s="1"/>
  <c r="L42" i="19"/>
  <c r="BK241" i="19" s="1"/>
  <c r="K43" i="19"/>
  <c r="BJ242" i="19" s="1"/>
  <c r="K42" i="19"/>
  <c r="BJ241" i="19" s="1"/>
  <c r="E43" i="19"/>
  <c r="BD242" i="19" s="1"/>
  <c r="E42" i="19"/>
  <c r="BD241" i="19" s="1"/>
  <c r="N32" i="22"/>
  <c r="BM231" i="22" s="1"/>
  <c r="O502" i="22"/>
  <c r="I32" i="22"/>
  <c r="BH231" i="22" s="1"/>
  <c r="J502" i="22"/>
  <c r="Q35" i="22"/>
  <c r="BP234" i="22" s="1"/>
  <c r="Q34" i="22"/>
  <c r="BP233" i="22" s="1"/>
  <c r="R521" i="22"/>
  <c r="P35" i="22"/>
  <c r="BO234" i="22" s="1"/>
  <c r="P34" i="22"/>
  <c r="BO233" i="22" s="1"/>
  <c r="Q521" i="22"/>
  <c r="P521" i="22"/>
  <c r="O35" i="22"/>
  <c r="BN234" i="22" s="1"/>
  <c r="O34" i="22"/>
  <c r="BN233" i="22" s="1"/>
  <c r="N33" i="22"/>
  <c r="BM232" i="22" s="1"/>
  <c r="O511" i="22"/>
  <c r="L35" i="22"/>
  <c r="BK234" i="22" s="1"/>
  <c r="L34" i="22"/>
  <c r="BK233" i="22" s="1"/>
  <c r="M521" i="22"/>
  <c r="K35" i="22"/>
  <c r="BJ234" i="22" s="1"/>
  <c r="K34" i="22"/>
  <c r="BJ233" i="22" s="1"/>
  <c r="L521" i="22"/>
  <c r="I33" i="22"/>
  <c r="BH232" i="22" s="1"/>
  <c r="J511" i="22"/>
  <c r="G35" i="22"/>
  <c r="BF234" i="22" s="1"/>
  <c r="G34" i="22"/>
  <c r="BF233" i="22" s="1"/>
  <c r="H521" i="22"/>
  <c r="F34" i="22"/>
  <c r="BE233" i="22" s="1"/>
  <c r="F35" i="22"/>
  <c r="BE234" i="22" s="1"/>
  <c r="G521" i="22"/>
  <c r="E35" i="22"/>
  <c r="BD234" i="22" s="1"/>
  <c r="E34" i="22"/>
  <c r="BD233" i="22" s="1"/>
  <c r="F521" i="22"/>
  <c r="E511" i="22"/>
  <c r="E502" i="22"/>
  <c r="AA510" i="20"/>
  <c r="Z18" i="20"/>
  <c r="BY217" i="20" s="1"/>
  <c r="Z510" i="20"/>
  <c r="Y18" i="20"/>
  <c r="BX217" i="20" s="1"/>
  <c r="Y510" i="20"/>
  <c r="X18" i="20"/>
  <c r="BW217" i="20" s="1"/>
  <c r="W510" i="20"/>
  <c r="V18" i="20"/>
  <c r="BU217" i="20" s="1"/>
  <c r="V510" i="20"/>
  <c r="U18" i="20"/>
  <c r="BT217" i="20" s="1"/>
  <c r="U510" i="20"/>
  <c r="T18" i="20"/>
  <c r="BS217" i="20" s="1"/>
  <c r="S510" i="20"/>
  <c r="R18" i="20"/>
  <c r="BQ217" i="20" s="1"/>
  <c r="R510" i="20"/>
  <c r="Q18" i="20"/>
  <c r="BP217" i="20" s="1"/>
  <c r="Q510" i="20"/>
  <c r="P18" i="20"/>
  <c r="BO217" i="20" s="1"/>
  <c r="O510" i="20"/>
  <c r="N18" i="20"/>
  <c r="BM217" i="20" s="1"/>
  <c r="N510" i="20"/>
  <c r="M18" i="20"/>
  <c r="BL217" i="20" s="1"/>
  <c r="M510" i="20"/>
  <c r="L18" i="20"/>
  <c r="BK217" i="20" s="1"/>
  <c r="K510" i="20"/>
  <c r="J18" i="20"/>
  <c r="BI217" i="20" s="1"/>
  <c r="J510" i="20"/>
  <c r="I18" i="20"/>
  <c r="BH217" i="20" s="1"/>
  <c r="I510" i="20"/>
  <c r="H18" i="20"/>
  <c r="BG217" i="20" s="1"/>
  <c r="G510" i="20"/>
  <c r="F18" i="20"/>
  <c r="BE217" i="20" s="1"/>
  <c r="F510" i="20"/>
  <c r="E18" i="20"/>
  <c r="BD217" i="20" s="1"/>
  <c r="E510" i="20"/>
  <c r="X510" i="25"/>
  <c r="W29" i="25"/>
  <c r="BV228" i="25" s="1"/>
  <c r="W510" i="25"/>
  <c r="V29" i="25"/>
  <c r="BU228" i="25" s="1"/>
  <c r="V510" i="25"/>
  <c r="U29" i="25"/>
  <c r="BT228" i="25" s="1"/>
  <c r="U510" i="25"/>
  <c r="T29" i="25"/>
  <c r="BS228" i="25" s="1"/>
  <c r="T510" i="25"/>
  <c r="S29" i="25"/>
  <c r="BR228" i="25" s="1"/>
  <c r="S510" i="25"/>
  <c r="R29" i="25"/>
  <c r="BQ228" i="25" s="1"/>
  <c r="Q510" i="25"/>
  <c r="P29" i="25"/>
  <c r="BO228" i="25" s="1"/>
  <c r="P510" i="25"/>
  <c r="O29" i="25"/>
  <c r="BN228" i="25" s="1"/>
  <c r="O510" i="25"/>
  <c r="N29" i="25"/>
  <c r="BM228" i="25" s="1"/>
  <c r="N510" i="25"/>
  <c r="M29" i="25"/>
  <c r="BL228" i="25" s="1"/>
  <c r="M510" i="25"/>
  <c r="L29" i="25"/>
  <c r="BK228" i="25" s="1"/>
  <c r="L510" i="25"/>
  <c r="K29" i="25"/>
  <c r="BJ228" i="25" s="1"/>
  <c r="J510" i="25"/>
  <c r="I29" i="25"/>
  <c r="BH228" i="25" s="1"/>
  <c r="I510" i="25"/>
  <c r="H29" i="25"/>
  <c r="BG228" i="25" s="1"/>
  <c r="H510" i="25"/>
  <c r="G29" i="25"/>
  <c r="BF228" i="25" s="1"/>
  <c r="G510" i="25"/>
  <c r="F29" i="25"/>
  <c r="BE228" i="25" s="1"/>
  <c r="F510" i="25"/>
  <c r="E29" i="25"/>
  <c r="BD228" i="25" s="1"/>
  <c r="X506" i="25"/>
  <c r="W28" i="25"/>
  <c r="BV227" i="25" s="1"/>
  <c r="W506" i="25"/>
  <c r="V28" i="25"/>
  <c r="BU227" i="25" s="1"/>
  <c r="V506" i="25"/>
  <c r="U28" i="25"/>
  <c r="BT227" i="25" s="1"/>
  <c r="U506" i="25"/>
  <c r="T28" i="25"/>
  <c r="BS227" i="25" s="1"/>
  <c r="T506" i="25"/>
  <c r="S28" i="25"/>
  <c r="BR227" i="25" s="1"/>
  <c r="S506" i="25"/>
  <c r="R28" i="25"/>
  <c r="BQ227" i="25" s="1"/>
  <c r="Q506" i="25"/>
  <c r="P28" i="25"/>
  <c r="BO227" i="25" s="1"/>
  <c r="P506" i="25"/>
  <c r="O28" i="25"/>
  <c r="BN227" i="25" s="1"/>
  <c r="O506" i="25"/>
  <c r="N28" i="25"/>
  <c r="BM227" i="25" s="1"/>
  <c r="N506" i="25"/>
  <c r="M28" i="25"/>
  <c r="BL227" i="25" s="1"/>
  <c r="M506" i="25"/>
  <c r="L28" i="25"/>
  <c r="BK227" i="25" s="1"/>
  <c r="L506" i="25"/>
  <c r="K28" i="25"/>
  <c r="BJ227" i="25" s="1"/>
  <c r="J506" i="25"/>
  <c r="I28" i="25"/>
  <c r="BH227" i="25" s="1"/>
  <c r="I506" i="25"/>
  <c r="H28" i="25"/>
  <c r="BG227" i="25" s="1"/>
  <c r="H506" i="25"/>
  <c r="G28" i="25"/>
  <c r="BF227" i="25" s="1"/>
  <c r="G506" i="25"/>
  <c r="F28" i="25"/>
  <c r="BE227" i="25" s="1"/>
  <c r="F506" i="25"/>
  <c r="E28" i="25"/>
  <c r="BD227" i="25" s="1"/>
  <c r="K512" i="25"/>
  <c r="E510" i="25"/>
  <c r="E506" i="25"/>
  <c r="Y510" i="24"/>
  <c r="X20" i="24"/>
  <c r="BW219" i="24" s="1"/>
  <c r="AO22" i="24"/>
  <c r="CN221" i="24" s="1"/>
  <c r="AP510" i="24"/>
  <c r="AN22" i="24"/>
  <c r="CM221" i="24" s="1"/>
  <c r="AO510" i="24"/>
  <c r="AD22" i="24"/>
  <c r="CC221" i="24" s="1"/>
  <c r="AE510" i="24"/>
  <c r="AC22" i="24"/>
  <c r="CB221" i="24" s="1"/>
  <c r="AD510" i="24"/>
  <c r="AB22" i="24"/>
  <c r="CA221" i="24" s="1"/>
  <c r="AC510" i="24"/>
  <c r="R22" i="24"/>
  <c r="BQ221" i="24" s="1"/>
  <c r="S510" i="24"/>
  <c r="Q22" i="24"/>
  <c r="BP221" i="24" s="1"/>
  <c r="R510" i="24"/>
  <c r="P22" i="24"/>
  <c r="BO221" i="24" s="1"/>
  <c r="Q510" i="24"/>
  <c r="N22" i="24"/>
  <c r="BM221" i="24" s="1"/>
  <c r="O510" i="24"/>
  <c r="M22" i="24"/>
  <c r="BL221" i="24" s="1"/>
  <c r="N510" i="24"/>
  <c r="D20" i="24"/>
  <c r="BC219" i="24" s="1"/>
  <c r="E510" i="24"/>
  <c r="AP21" i="24"/>
  <c r="CO220" i="24" s="1"/>
  <c r="AP20" i="23"/>
  <c r="CO219" i="23" s="1"/>
  <c r="AP19" i="23"/>
  <c r="CO218" i="23" s="1"/>
  <c r="AQ508" i="23"/>
  <c r="AO19" i="23"/>
  <c r="CN218" i="23" s="1"/>
  <c r="AO20" i="23"/>
  <c r="CN219" i="23" s="1"/>
  <c r="AN21" i="24"/>
  <c r="CM220" i="24" s="1"/>
  <c r="AN19" i="23"/>
  <c r="CM218" i="23" s="1"/>
  <c r="AN20" i="23"/>
  <c r="CM219" i="23" s="1"/>
  <c r="AO508" i="23"/>
  <c r="AJ21" i="24"/>
  <c r="CI220" i="24" s="1"/>
  <c r="AJ19" i="23"/>
  <c r="CI218" i="23" s="1"/>
  <c r="AJ20" i="23"/>
  <c r="CI219" i="23" s="1"/>
  <c r="AK508" i="23"/>
  <c r="AL21" i="24"/>
  <c r="CK220" i="24" s="1"/>
  <c r="AL19" i="23"/>
  <c r="CK218" i="23" s="1"/>
  <c r="AL20" i="23"/>
  <c r="CK219" i="23" s="1"/>
  <c r="AM508" i="23"/>
  <c r="AK21" i="24"/>
  <c r="CJ220" i="24" s="1"/>
  <c r="AK20" i="23"/>
  <c r="CJ219" i="23" s="1"/>
  <c r="AK19" i="23"/>
  <c r="CJ218" i="23" s="1"/>
  <c r="AL508" i="23"/>
  <c r="AH21" i="24"/>
  <c r="CG220" i="24" s="1"/>
  <c r="AH20" i="23"/>
  <c r="CG219" i="23" s="1"/>
  <c r="AH19" i="23"/>
  <c r="CG218" i="23" s="1"/>
  <c r="AI508" i="23"/>
  <c r="AG21" i="24"/>
  <c r="CF220" i="24" s="1"/>
  <c r="AG20" i="23"/>
  <c r="CF219" i="23" s="1"/>
  <c r="AG19" i="23"/>
  <c r="CF218" i="23" s="1"/>
  <c r="AH508" i="23"/>
  <c r="AF21" i="24"/>
  <c r="CE220" i="24" s="1"/>
  <c r="AF20" i="23"/>
  <c r="CE219" i="23" s="1"/>
  <c r="AF19" i="23"/>
  <c r="CE218" i="23" s="1"/>
  <c r="AG508" i="23"/>
  <c r="AC21" i="24"/>
  <c r="CB220" i="24" s="1"/>
  <c r="AC20" i="23"/>
  <c r="CB219" i="23" s="1"/>
  <c r="AC19" i="23"/>
  <c r="CB218" i="23" s="1"/>
  <c r="AD508" i="23"/>
  <c r="AB21" i="24"/>
  <c r="CA220" i="24" s="1"/>
  <c r="AB20" i="23"/>
  <c r="CA219" i="23" s="1"/>
  <c r="AB19" i="23"/>
  <c r="CA218" i="23" s="1"/>
  <c r="AC508" i="23"/>
  <c r="AD21" i="24"/>
  <c r="CC220" i="24" s="1"/>
  <c r="AD20" i="23"/>
  <c r="CC219" i="23" s="1"/>
  <c r="AD19" i="23"/>
  <c r="CC218" i="23" s="1"/>
  <c r="AE508" i="23"/>
  <c r="V21" i="24"/>
  <c r="BU220" i="24" s="1"/>
  <c r="V19" i="23"/>
  <c r="BU218" i="23" s="1"/>
  <c r="V20" i="23"/>
  <c r="BU219" i="23" s="1"/>
  <c r="W508" i="23"/>
  <c r="U19" i="23"/>
  <c r="BT218" i="23" s="1"/>
  <c r="U20" i="23"/>
  <c r="BT219" i="23" s="1"/>
  <c r="T21" i="24"/>
  <c r="BS220" i="24" s="1"/>
  <c r="T20" i="23"/>
  <c r="BS219" i="23" s="1"/>
  <c r="T19" i="23"/>
  <c r="BS218" i="23" s="1"/>
  <c r="U508" i="23"/>
  <c r="R21" i="24"/>
  <c r="BQ220" i="24" s="1"/>
  <c r="R20" i="23"/>
  <c r="BQ219" i="23" s="1"/>
  <c r="R19" i="23"/>
  <c r="BQ218" i="23" s="1"/>
  <c r="S508" i="23"/>
  <c r="Q21" i="24"/>
  <c r="BP220" i="24" s="1"/>
  <c r="Q19" i="23"/>
  <c r="BP218" i="23" s="1"/>
  <c r="Q20" i="23"/>
  <c r="BP219" i="23" s="1"/>
  <c r="R508" i="23"/>
  <c r="P21" i="24"/>
  <c r="BO220" i="24" s="1"/>
  <c r="P20" i="23"/>
  <c r="BO219" i="23" s="1"/>
  <c r="P19" i="23"/>
  <c r="BO218" i="23" s="1"/>
  <c r="Q508" i="23"/>
  <c r="N21" i="24"/>
  <c r="BM220" i="24" s="1"/>
  <c r="N19" i="23"/>
  <c r="BM218" i="23" s="1"/>
  <c r="N20" i="23"/>
  <c r="BM219" i="23" s="1"/>
  <c r="O508" i="23"/>
  <c r="M21" i="24"/>
  <c r="BL220" i="24" s="1"/>
  <c r="M20" i="23"/>
  <c r="BL219" i="23" s="1"/>
  <c r="M19" i="23"/>
  <c r="BL218" i="23" s="1"/>
  <c r="N508" i="23"/>
  <c r="L21" i="24"/>
  <c r="BK220" i="24" s="1"/>
  <c r="L20" i="23"/>
  <c r="BK219" i="23" s="1"/>
  <c r="L19" i="23"/>
  <c r="BK218" i="23" s="1"/>
  <c r="M508" i="23"/>
  <c r="H21" i="24"/>
  <c r="BG220" i="24" s="1"/>
  <c r="H20" i="23"/>
  <c r="BG219" i="23" s="1"/>
  <c r="H19" i="23"/>
  <c r="BG218" i="23" s="1"/>
  <c r="I508" i="23"/>
  <c r="J21" i="24"/>
  <c r="BI220" i="24" s="1"/>
  <c r="J20" i="23"/>
  <c r="BI219" i="23" s="1"/>
  <c r="J19" i="23"/>
  <c r="BI218" i="23" s="1"/>
  <c r="K508" i="23"/>
  <c r="I21" i="24"/>
  <c r="BH220" i="24" s="1"/>
  <c r="I20" i="23"/>
  <c r="BH219" i="23" s="1"/>
  <c r="I19" i="23"/>
  <c r="BH218" i="23" s="1"/>
  <c r="J508" i="23"/>
  <c r="F21" i="24"/>
  <c r="BE220" i="24" s="1"/>
  <c r="F20" i="23"/>
  <c r="BE219" i="23" s="1"/>
  <c r="F19" i="23"/>
  <c r="BE218" i="23" s="1"/>
  <c r="G508" i="23"/>
  <c r="E20" i="23"/>
  <c r="BD219" i="23" s="1"/>
  <c r="E19" i="23"/>
  <c r="BD218" i="23" s="1"/>
  <c r="AA508" i="23"/>
  <c r="Z19" i="23"/>
  <c r="BY218" i="23" s="1"/>
  <c r="Z20" i="23"/>
  <c r="BY219" i="23" s="1"/>
  <c r="Y20" i="23"/>
  <c r="BX219" i="23" s="1"/>
  <c r="Y19" i="23"/>
  <c r="BX218" i="23" s="1"/>
  <c r="D21" i="24"/>
  <c r="BC220" i="24" s="1"/>
  <c r="D19" i="23"/>
  <c r="BC218" i="23" s="1"/>
  <c r="E508" i="23"/>
  <c r="K36" i="17"/>
  <c r="BJ235" i="17" s="1"/>
  <c r="Q30" i="22"/>
  <c r="BP229" i="22" s="1"/>
  <c r="W41" i="18"/>
  <c r="BV240" i="18" s="1"/>
  <c r="W42" i="18"/>
  <c r="BV241" i="18" s="1"/>
  <c r="X531" i="18"/>
  <c r="U42" i="18"/>
  <c r="BT241" i="18" s="1"/>
  <c r="U41" i="18"/>
  <c r="BT240" i="18" s="1"/>
  <c r="V531" i="18"/>
  <c r="T42" i="18"/>
  <c r="BS241" i="18" s="1"/>
  <c r="T41" i="18"/>
  <c r="BS240" i="18" s="1"/>
  <c r="U531" i="18"/>
  <c r="M42" i="18"/>
  <c r="BL241" i="18" s="1"/>
  <c r="M41" i="18"/>
  <c r="BL240" i="18" s="1"/>
  <c r="N531" i="18"/>
  <c r="L42" i="18"/>
  <c r="BK241" i="18" s="1"/>
  <c r="L41" i="18"/>
  <c r="BK240" i="18" s="1"/>
  <c r="M531" i="18"/>
  <c r="D39" i="18"/>
  <c r="BC238" i="18" s="1"/>
  <c r="E502" i="18"/>
  <c r="E511" i="18"/>
  <c r="H15" i="16"/>
  <c r="L29" i="10"/>
  <c r="BK228" i="10" s="1"/>
  <c r="L506" i="10"/>
  <c r="K29" i="10"/>
  <c r="BJ228" i="10" s="1"/>
  <c r="K506" i="10"/>
  <c r="J29" i="10"/>
  <c r="BI228" i="10" s="1"/>
  <c r="J506" i="10"/>
  <c r="H29" i="10"/>
  <c r="BG228" i="10" s="1"/>
  <c r="H506" i="10"/>
  <c r="G506" i="10"/>
  <c r="G29" i="10"/>
  <c r="BF228" i="10" s="1"/>
  <c r="F29" i="10"/>
  <c r="BE228" i="10" s="1"/>
  <c r="F506" i="10"/>
  <c r="L30" i="10"/>
  <c r="BK229" i="10" s="1"/>
  <c r="L512" i="10"/>
  <c r="K30" i="10"/>
  <c r="BJ229" i="10" s="1"/>
  <c r="K512" i="10"/>
  <c r="J30" i="10"/>
  <c r="BI229" i="10" s="1"/>
  <c r="J512" i="10"/>
  <c r="H30" i="10"/>
  <c r="BG229" i="10" s="1"/>
  <c r="H512" i="10"/>
  <c r="G30" i="10"/>
  <c r="BF229" i="10" s="1"/>
  <c r="G512" i="10"/>
  <c r="F512" i="10"/>
  <c r="F30" i="10"/>
  <c r="BE229" i="10" s="1"/>
  <c r="D30" i="10"/>
  <c r="BC229" i="10" s="1"/>
  <c r="E512" i="10"/>
  <c r="D29" i="10"/>
  <c r="E506" i="10"/>
  <c r="E16" i="3"/>
  <c r="BD215" i="3" s="1"/>
  <c r="I509" i="3"/>
  <c r="E10" i="12"/>
  <c r="BD209" i="12" s="1"/>
  <c r="I502" i="12"/>
  <c r="L507" i="12"/>
  <c r="K507" i="12"/>
  <c r="J507" i="12"/>
  <c r="H507" i="12"/>
  <c r="G507" i="12"/>
  <c r="E14" i="12"/>
  <c r="BD213" i="12" s="1"/>
  <c r="I506" i="12"/>
  <c r="F507" i="12"/>
  <c r="L515" i="12"/>
  <c r="K515" i="12"/>
  <c r="J515" i="12"/>
  <c r="H515" i="12"/>
  <c r="F515" i="12"/>
  <c r="E23" i="12"/>
  <c r="BD222" i="12" s="1"/>
  <c r="I514" i="12"/>
  <c r="G515" i="12"/>
  <c r="E515" i="12"/>
  <c r="E507" i="12"/>
  <c r="J496" i="1"/>
  <c r="I496" i="1"/>
  <c r="AA53" i="6"/>
  <c r="BZ252" i="6" s="1"/>
  <c r="X536" i="6"/>
  <c r="Z53" i="6"/>
  <c r="BY252" i="6" s="1"/>
  <c r="W536" i="6"/>
  <c r="Y53" i="6"/>
  <c r="BX252" i="6" s="1"/>
  <c r="V536" i="6"/>
  <c r="X53" i="6"/>
  <c r="BW252" i="6" s="1"/>
  <c r="U536" i="6"/>
  <c r="W53" i="6"/>
  <c r="BV252" i="6" s="1"/>
  <c r="T536" i="6"/>
  <c r="V53" i="6"/>
  <c r="BU252" i="6" s="1"/>
  <c r="S536" i="6"/>
  <c r="R53" i="6"/>
  <c r="BQ252" i="6" s="1"/>
  <c r="Q536" i="6"/>
  <c r="Q53" i="6"/>
  <c r="BP252" i="6" s="1"/>
  <c r="P536" i="6"/>
  <c r="P53" i="6"/>
  <c r="BO252" i="6" s="1"/>
  <c r="O536" i="6"/>
  <c r="O53" i="6"/>
  <c r="BN252" i="6" s="1"/>
  <c r="N536" i="6"/>
  <c r="N53" i="6"/>
  <c r="BM252" i="6" s="1"/>
  <c r="M536" i="6"/>
  <c r="M53" i="6"/>
  <c r="BL252" i="6" s="1"/>
  <c r="L536" i="6"/>
  <c r="I53" i="6"/>
  <c r="BH252" i="6" s="1"/>
  <c r="J536" i="6"/>
  <c r="H53" i="6"/>
  <c r="BG252" i="6" s="1"/>
  <c r="I536" i="6"/>
  <c r="G53" i="6"/>
  <c r="BF252" i="6" s="1"/>
  <c r="H536" i="6"/>
  <c r="F53" i="6"/>
  <c r="BE252" i="6" s="1"/>
  <c r="G536" i="6"/>
  <c r="E53" i="6"/>
  <c r="BD252" i="6" s="1"/>
  <c r="F536" i="6"/>
  <c r="D53" i="6"/>
  <c r="BC252" i="6" s="1"/>
  <c r="E536" i="6"/>
  <c r="L536" i="8"/>
  <c r="L52" i="8"/>
  <c r="BK251" i="8" s="1"/>
  <c r="K536" i="8"/>
  <c r="K52" i="8"/>
  <c r="BJ251" i="8" s="1"/>
  <c r="J536" i="8"/>
  <c r="J52" i="8"/>
  <c r="BI251" i="8" s="1"/>
  <c r="H536" i="8"/>
  <c r="H52" i="8"/>
  <c r="BG251" i="8" s="1"/>
  <c r="G536" i="8"/>
  <c r="G52" i="8"/>
  <c r="BF251" i="8" s="1"/>
  <c r="F536" i="8"/>
  <c r="F52" i="8"/>
  <c r="BE251" i="8" s="1"/>
  <c r="E536" i="8"/>
  <c r="X516" i="27"/>
  <c r="W24" i="27"/>
  <c r="BV223" i="27" s="1"/>
  <c r="W516" i="27"/>
  <c r="V24" i="27"/>
  <c r="BU223" i="27" s="1"/>
  <c r="U24" i="27"/>
  <c r="BT223" i="27" s="1"/>
  <c r="V516" i="27"/>
  <c r="U516" i="27"/>
  <c r="T24" i="27"/>
  <c r="BS223" i="27" s="1"/>
  <c r="S24" i="27"/>
  <c r="BR223" i="27" s="1"/>
  <c r="T516" i="27"/>
  <c r="R24" i="27"/>
  <c r="BQ223" i="27" s="1"/>
  <c r="S516" i="27"/>
  <c r="P24" i="27"/>
  <c r="BO223" i="27" s="1"/>
  <c r="Q516" i="27"/>
  <c r="O24" i="27"/>
  <c r="BN223" i="27" s="1"/>
  <c r="P516" i="27"/>
  <c r="N24" i="27"/>
  <c r="BM223" i="27" s="1"/>
  <c r="O516" i="27"/>
  <c r="M516" i="27"/>
  <c r="L24" i="27"/>
  <c r="BK223" i="27" s="1"/>
  <c r="M24" i="27"/>
  <c r="BL223" i="27" s="1"/>
  <c r="N516" i="27"/>
  <c r="L516" i="27"/>
  <c r="K24" i="27"/>
  <c r="BJ223" i="27" s="1"/>
  <c r="J516" i="27"/>
  <c r="I24" i="27"/>
  <c r="BH223" i="27" s="1"/>
  <c r="H516" i="27"/>
  <c r="G24" i="27"/>
  <c r="BF223" i="27" s="1"/>
  <c r="I516" i="27"/>
  <c r="H24" i="27"/>
  <c r="BG223" i="27" s="1"/>
  <c r="E24" i="27"/>
  <c r="BD223" i="27" s="1"/>
  <c r="F516" i="27"/>
  <c r="G516" i="27"/>
  <c r="E516" i="27"/>
  <c r="N18" i="5"/>
  <c r="M510" i="5" s="1"/>
  <c r="AP22" i="24"/>
  <c r="CO221" i="24" s="1"/>
  <c r="AQ510" i="24"/>
  <c r="E21" i="24"/>
  <c r="BD220" i="24" s="1"/>
  <c r="F508" i="23"/>
  <c r="U21" i="24"/>
  <c r="BT220" i="24" s="1"/>
  <c r="V508" i="23"/>
  <c r="Y21" i="24"/>
  <c r="BX220" i="24" s="1"/>
  <c r="Z508" i="23"/>
  <c r="AO21" i="24"/>
  <c r="CN220" i="24" s="1"/>
  <c r="AP508" i="23"/>
  <c r="E20" i="10"/>
  <c r="BD219" i="10" s="1"/>
  <c r="I509" i="10"/>
  <c r="E10" i="10"/>
  <c r="BD209" i="10" s="1"/>
  <c r="I502" i="10"/>
  <c r="E20" i="12"/>
  <c r="BD219" i="12" s="1"/>
  <c r="I511" i="12"/>
  <c r="T22" i="24"/>
  <c r="BS221" i="24" s="1"/>
  <c r="AK22" i="24"/>
  <c r="CJ221" i="24" s="1"/>
  <c r="AJ22" i="24"/>
  <c r="CI221" i="24" s="1"/>
  <c r="AH22" i="24"/>
  <c r="CG221" i="24" s="1"/>
  <c r="E11" i="10"/>
  <c r="BD210" i="10" s="1"/>
  <c r="E11" i="3"/>
  <c r="BD210" i="3" s="1"/>
  <c r="E11" i="12"/>
  <c r="BD210" i="12" s="1"/>
  <c r="I503" i="12"/>
  <c r="AG22" i="24"/>
  <c r="CF221" i="24" s="1"/>
  <c r="Q31" i="22"/>
  <c r="BP230" i="22" s="1"/>
  <c r="E8" i="3"/>
  <c r="BD207" i="3" s="1"/>
  <c r="M24" i="12"/>
  <c r="M30" i="12" s="1"/>
  <c r="BL229" i="12" s="1"/>
  <c r="L22" i="24"/>
  <c r="BK221" i="24" s="1"/>
  <c r="E18" i="3"/>
  <c r="BD217" i="3" s="1"/>
  <c r="I22" i="24"/>
  <c r="BH221" i="24" s="1"/>
  <c r="V22" i="24"/>
  <c r="BU221" i="24" s="1"/>
  <c r="F22" i="24"/>
  <c r="BE221" i="24" s="1"/>
  <c r="E22" i="24"/>
  <c r="J22" i="24"/>
  <c r="BI221" i="24" s="1"/>
  <c r="E17" i="3"/>
  <c r="BD216" i="3" s="1"/>
  <c r="AF22" i="24"/>
  <c r="CE221" i="24" s="1"/>
  <c r="H22" i="24"/>
  <c r="BG221" i="24" s="1"/>
  <c r="U22" i="24"/>
  <c r="BT221" i="24" s="1"/>
  <c r="AL22" i="24"/>
  <c r="CK221" i="24" s="1"/>
  <c r="I20" i="14"/>
  <c r="BH219" i="14" s="1"/>
  <c r="E9" i="3"/>
  <c r="BD208" i="3" s="1"/>
  <c r="T40" i="19"/>
  <c r="BS239" i="19" s="1"/>
  <c r="N30" i="22"/>
  <c r="BM229" i="22" s="1"/>
  <c r="O31" i="22"/>
  <c r="BN230" i="22" s="1"/>
  <c r="U40" i="19"/>
  <c r="BT239" i="19" s="1"/>
  <c r="O30" i="22"/>
  <c r="BN229" i="22" s="1"/>
  <c r="M40" i="19"/>
  <c r="BL239" i="19" s="1"/>
  <c r="I30" i="22"/>
  <c r="BH229" i="22" s="1"/>
  <c r="D22" i="24"/>
  <c r="BC221" i="24" s="1"/>
  <c r="Z22" i="24"/>
  <c r="BY221" i="24" s="1"/>
  <c r="Z25" i="24"/>
  <c r="BY224" i="24" s="1"/>
  <c r="Y22" i="24"/>
  <c r="BX221" i="24" s="1"/>
  <c r="Y25" i="24"/>
  <c r="BX224" i="24" s="1"/>
  <c r="X22" i="24"/>
  <c r="BW221" i="24" s="1"/>
  <c r="X25" i="24"/>
  <c r="BW224" i="24" s="1"/>
  <c r="Z21" i="24"/>
  <c r="BY220" i="24" s="1"/>
  <c r="Z23" i="23"/>
  <c r="BY222" i="23" s="1"/>
  <c r="Y23" i="23"/>
  <c r="BX222" i="23" s="1"/>
  <c r="E21" i="10"/>
  <c r="BD220" i="10" s="1"/>
  <c r="E18" i="10"/>
  <c r="BD217" i="10" s="1"/>
  <c r="E13" i="10"/>
  <c r="BD212" i="10" s="1"/>
  <c r="E12" i="10"/>
  <c r="BD211" i="10" s="1"/>
  <c r="E9" i="10"/>
  <c r="BD208" i="10" s="1"/>
  <c r="E16" i="15"/>
  <c r="BD215" i="15" s="1"/>
  <c r="M16" i="15"/>
  <c r="BL215" i="15" s="1"/>
  <c r="I16" i="15"/>
  <c r="BH215" i="15" s="1"/>
  <c r="E20" i="14"/>
  <c r="BD219" i="14" s="1"/>
  <c r="M20" i="14"/>
  <c r="BL219" i="14" s="1"/>
  <c r="E20" i="3"/>
  <c r="BD219" i="3" s="1"/>
  <c r="E15" i="3"/>
  <c r="BD214" i="3" s="1"/>
  <c r="E13" i="3"/>
  <c r="BD212" i="3" s="1"/>
  <c r="E21" i="3"/>
  <c r="BD220" i="3" s="1"/>
  <c r="E19" i="3"/>
  <c r="BD218" i="3" s="1"/>
  <c r="E12" i="3"/>
  <c r="BD211" i="3" s="1"/>
  <c r="E10" i="3"/>
  <c r="BD209" i="3" s="1"/>
  <c r="M15" i="12"/>
  <c r="M28" i="12" s="1"/>
  <c r="BL227" i="12" s="1"/>
  <c r="E9" i="12"/>
  <c r="BD208" i="12" s="1"/>
  <c r="E9" i="11"/>
  <c r="BD208" i="11" s="1"/>
  <c r="E8" i="11"/>
  <c r="BD207" i="11" s="1"/>
  <c r="M41" i="19"/>
  <c r="BL240" i="19" s="1"/>
  <c r="E8" i="8"/>
  <c r="BD207" i="8" s="1"/>
  <c r="E48" i="8"/>
  <c r="BD247" i="8" s="1"/>
  <c r="E47" i="8"/>
  <c r="BD246" i="8" s="1"/>
  <c r="E46" i="8"/>
  <c r="BD245" i="8" s="1"/>
  <c r="E44" i="8"/>
  <c r="BD243" i="8" s="1"/>
  <c r="E41" i="8"/>
  <c r="BD240" i="8" s="1"/>
  <c r="E40" i="8"/>
  <c r="BD239" i="8" s="1"/>
  <c r="E39" i="8"/>
  <c r="BD238" i="8" s="1"/>
  <c r="E38" i="8"/>
  <c r="BD237" i="8" s="1"/>
  <c r="E37" i="8"/>
  <c r="BD236" i="8" s="1"/>
  <c r="E36" i="8"/>
  <c r="BD235" i="8" s="1"/>
  <c r="F22" i="29"/>
  <c r="BE221" i="29" s="1"/>
  <c r="E35" i="8"/>
  <c r="BD234" i="8" s="1"/>
  <c r="E33" i="8"/>
  <c r="BD232" i="8" s="1"/>
  <c r="E32" i="8"/>
  <c r="BD231" i="8" s="1"/>
  <c r="E30" i="8"/>
  <c r="BD229" i="8" s="1"/>
  <c r="E29" i="8"/>
  <c r="BD228" i="8" s="1"/>
  <c r="E28" i="8"/>
  <c r="BD227" i="8" s="1"/>
  <c r="E23" i="8"/>
  <c r="BD222" i="8" s="1"/>
  <c r="E27" i="8"/>
  <c r="BD226" i="8" s="1"/>
  <c r="E25" i="8"/>
  <c r="BD224" i="8" s="1"/>
  <c r="E24" i="8"/>
  <c r="BD223" i="8" s="1"/>
  <c r="E22" i="8"/>
  <c r="BD221" i="8" s="1"/>
  <c r="E12" i="8"/>
  <c r="BD211" i="8" s="1"/>
  <c r="E11" i="8"/>
  <c r="BD210" i="8" s="1"/>
  <c r="E9" i="8"/>
  <c r="BD208" i="8" s="1"/>
  <c r="E20" i="8"/>
  <c r="BD219" i="8" s="1"/>
  <c r="E19" i="8"/>
  <c r="BD218" i="8" s="1"/>
  <c r="E18" i="8"/>
  <c r="BD217" i="8" s="1"/>
  <c r="E17" i="8"/>
  <c r="BD216" i="8" s="1"/>
  <c r="E15" i="8"/>
  <c r="BD214" i="8" s="1"/>
  <c r="E14" i="8"/>
  <c r="BD213" i="8" s="1"/>
  <c r="E49" i="8"/>
  <c r="BD248" i="8" s="1"/>
  <c r="E45" i="8"/>
  <c r="BD244" i="8" s="1"/>
  <c r="L40" i="19"/>
  <c r="BK239" i="19" s="1"/>
  <c r="L41" i="19"/>
  <c r="BK240" i="19" s="1"/>
  <c r="BL208" i="22"/>
  <c r="BL221" i="22"/>
  <c r="BL220" i="22"/>
  <c r="BQ223" i="22"/>
  <c r="BL227" i="22"/>
  <c r="BQ213" i="22"/>
  <c r="BL217" i="22"/>
  <c r="BG214" i="22"/>
  <c r="BG224" i="22"/>
  <c r="BL225" i="22"/>
  <c r="BQ208" i="22"/>
  <c r="BQ220" i="22"/>
  <c r="BQ211" i="22"/>
  <c r="BG217" i="22"/>
  <c r="BL211" i="22"/>
  <c r="BQ214" i="22"/>
  <c r="BG216" i="22"/>
  <c r="BL219" i="22"/>
  <c r="BQ212" i="22"/>
  <c r="BC218" i="22"/>
  <c r="BG213" i="22"/>
  <c r="BL224" i="22"/>
  <c r="BL215" i="22"/>
  <c r="BQ227" i="22"/>
  <c r="BQ219" i="22"/>
  <c r="BQ210" i="22"/>
  <c r="BG210" i="22"/>
  <c r="BL212" i="22"/>
  <c r="BG227" i="22"/>
  <c r="BQ222" i="22"/>
  <c r="BG215" i="22"/>
  <c r="BL226" i="22"/>
  <c r="BQ221" i="22"/>
  <c r="BH218" i="22"/>
  <c r="BG222" i="22"/>
  <c r="BL223" i="22"/>
  <c r="BL214" i="22"/>
  <c r="BQ226" i="22"/>
  <c r="BQ217" i="22"/>
  <c r="BM209" i="22"/>
  <c r="BQ215" i="22"/>
  <c r="BG219" i="22"/>
  <c r="BL210" i="22"/>
  <c r="BP228" i="22"/>
  <c r="BK228" i="22"/>
  <c r="BG208" i="22"/>
  <c r="BG211" i="22"/>
  <c r="BG221" i="22"/>
  <c r="BL222" i="22"/>
  <c r="BL213" i="22"/>
  <c r="BQ225" i="22"/>
  <c r="BQ216" i="22"/>
  <c r="BN228" i="22"/>
  <c r="BD215" i="21"/>
  <c r="BF214" i="21"/>
  <c r="BD206" i="21"/>
  <c r="BC206" i="21"/>
  <c r="BD209" i="21"/>
  <c r="BE215" i="21"/>
  <c r="BC212" i="21"/>
  <c r="BF208" i="21"/>
  <c r="BC209" i="21"/>
  <c r="BE212" i="21"/>
  <c r="BF207" i="21"/>
  <c r="BE206" i="21"/>
  <c r="BF211" i="21"/>
  <c r="BF217" i="21"/>
  <c r="BT216" i="20"/>
  <c r="BN210" i="20"/>
  <c r="BJ207" i="20"/>
  <c r="BJ215" i="20"/>
  <c r="BY216" i="20"/>
  <c r="BO216" i="20"/>
  <c r="BJ213" i="20"/>
  <c r="BN214" i="20"/>
  <c r="BR215" i="20"/>
  <c r="BV207" i="20"/>
  <c r="BV208" i="20"/>
  <c r="BZ209" i="20"/>
  <c r="BV212" i="20"/>
  <c r="BZ213" i="20"/>
  <c r="BF215" i="20"/>
  <c r="BR210" i="20"/>
  <c r="BV211" i="20"/>
  <c r="BZ212" i="20"/>
  <c r="BQ216" i="20"/>
  <c r="BN207" i="20"/>
  <c r="BP216" i="20"/>
  <c r="BR207" i="20"/>
  <c r="BX216" i="20"/>
  <c r="BM216" i="20"/>
  <c r="BJ212" i="20"/>
  <c r="BN213" i="20"/>
  <c r="BR214" i="20"/>
  <c r="BV215" i="20"/>
  <c r="BZ207" i="20"/>
  <c r="BZ208" i="20"/>
  <c r="BR211" i="20"/>
  <c r="BS216" i="20"/>
  <c r="BJ208" i="20"/>
  <c r="BN208" i="20"/>
  <c r="BJ214" i="20"/>
  <c r="BW216" i="20"/>
  <c r="BL216" i="20"/>
  <c r="BJ211" i="20"/>
  <c r="BN212" i="20"/>
  <c r="BR213" i="20"/>
  <c r="BV214" i="20"/>
  <c r="BZ215" i="20"/>
  <c r="CB215" i="20"/>
  <c r="CC215" i="20"/>
  <c r="BH216" i="20"/>
  <c r="BN209" i="20"/>
  <c r="BG216" i="20"/>
  <c r="BR209" i="20"/>
  <c r="BV210" i="20"/>
  <c r="BZ211" i="20"/>
  <c r="BN215" i="20"/>
  <c r="BR208" i="20"/>
  <c r="BV209" i="20"/>
  <c r="BZ210" i="20"/>
  <c r="BU216" i="20"/>
  <c r="BK216" i="20"/>
  <c r="BJ210" i="20"/>
  <c r="BN211" i="20"/>
  <c r="BR212" i="20"/>
  <c r="BV213" i="20"/>
  <c r="BZ214" i="20"/>
  <c r="W40" i="19"/>
  <c r="BV239" i="19" s="1"/>
  <c r="BI231" i="19"/>
  <c r="BP221" i="19"/>
  <c r="BW214" i="19"/>
  <c r="BI209" i="19"/>
  <c r="BI208" i="19"/>
  <c r="BP228" i="19"/>
  <c r="BW227" i="19"/>
  <c r="BI227" i="19"/>
  <c r="BP227" i="19"/>
  <c r="BW228" i="19"/>
  <c r="BJ236" i="19"/>
  <c r="BP234" i="19"/>
  <c r="BP226" i="19"/>
  <c r="BP215" i="19"/>
  <c r="BW209" i="19"/>
  <c r="BW220" i="19"/>
  <c r="BW229" i="19"/>
  <c r="BP211" i="19"/>
  <c r="BP209" i="19"/>
  <c r="BW226" i="19"/>
  <c r="BC210" i="19"/>
  <c r="BP208" i="19"/>
  <c r="BW235" i="19"/>
  <c r="BI235" i="19"/>
  <c r="BP216" i="19"/>
  <c r="BW210" i="19"/>
  <c r="BD236" i="19"/>
  <c r="BP225" i="19"/>
  <c r="BP214" i="19"/>
  <c r="BW211" i="19"/>
  <c r="BW221" i="19"/>
  <c r="BW231" i="19"/>
  <c r="BW225" i="19"/>
  <c r="BP229" i="19"/>
  <c r="BW215" i="19"/>
  <c r="BI228" i="19"/>
  <c r="BK236" i="19"/>
  <c r="BP235" i="19"/>
  <c r="BW219" i="19"/>
  <c r="BI224" i="19"/>
  <c r="BI213" i="19"/>
  <c r="BP224" i="19"/>
  <c r="BP213" i="19"/>
  <c r="BW212" i="19"/>
  <c r="BW223" i="19"/>
  <c r="BW232" i="19"/>
  <c r="BC222" i="19"/>
  <c r="BP231" i="19"/>
  <c r="BI229" i="19"/>
  <c r="BP220" i="19"/>
  <c r="BW234" i="19"/>
  <c r="BI219" i="19"/>
  <c r="BP219" i="19"/>
  <c r="BW216" i="19"/>
  <c r="BI216" i="19"/>
  <c r="BW208" i="19"/>
  <c r="BL236" i="19"/>
  <c r="BI232" i="19"/>
  <c r="BI223" i="19"/>
  <c r="BP232" i="19"/>
  <c r="BP223" i="19"/>
  <c r="BP212" i="19"/>
  <c r="BW213" i="19"/>
  <c r="BW224" i="19"/>
  <c r="W26" i="25"/>
  <c r="BV225" i="25" s="1"/>
  <c r="X34" i="17"/>
  <c r="BW233" i="17" s="1"/>
  <c r="X35" i="17"/>
  <c r="BW234" i="17" s="1"/>
  <c r="U26" i="25"/>
  <c r="BT225" i="25" s="1"/>
  <c r="V34" i="17"/>
  <c r="BU233" i="17" s="1"/>
  <c r="V35" i="17"/>
  <c r="BU234" i="17" s="1"/>
  <c r="T26" i="25"/>
  <c r="BS225" i="25" s="1"/>
  <c r="U34" i="17"/>
  <c r="BT233" i="17" s="1"/>
  <c r="U35" i="17"/>
  <c r="BT234" i="17" s="1"/>
  <c r="M26" i="25"/>
  <c r="BL225" i="25" s="1"/>
  <c r="N34" i="17"/>
  <c r="BM233" i="17" s="1"/>
  <c r="N35" i="17"/>
  <c r="BM234" i="17" s="1"/>
  <c r="M35" i="17"/>
  <c r="BL234" i="17" s="1"/>
  <c r="L26" i="25"/>
  <c r="BK225" i="25" s="1"/>
  <c r="BL213" i="25"/>
  <c r="BP218" i="25"/>
  <c r="BW220" i="25"/>
  <c r="BV213" i="25"/>
  <c r="BE217" i="25"/>
  <c r="BP209" i="25"/>
  <c r="BW209" i="25"/>
  <c r="BD217" i="25"/>
  <c r="BI216" i="25"/>
  <c r="BW218" i="25"/>
  <c r="BH213" i="25"/>
  <c r="BL217" i="25"/>
  <c r="BI208" i="25"/>
  <c r="BP211" i="25"/>
  <c r="BP221" i="25"/>
  <c r="BW216" i="25"/>
  <c r="BQ213" i="25"/>
  <c r="BS217" i="25"/>
  <c r="BC217" i="25"/>
  <c r="BG213" i="25"/>
  <c r="BK217" i="25"/>
  <c r="BP212" i="25"/>
  <c r="BP222" i="25"/>
  <c r="BW208" i="25"/>
  <c r="BW215" i="25"/>
  <c r="BR213" i="25"/>
  <c r="BT217" i="25"/>
  <c r="BP208" i="25"/>
  <c r="BW223" i="25"/>
  <c r="BN213" i="25"/>
  <c r="BE213" i="25"/>
  <c r="BH217" i="25"/>
  <c r="BI221" i="25"/>
  <c r="BI211" i="25"/>
  <c r="BP215" i="25"/>
  <c r="BW222" i="25"/>
  <c r="BW212" i="25"/>
  <c r="BV217" i="25"/>
  <c r="BO217" i="25"/>
  <c r="BF217" i="25"/>
  <c r="BI209" i="25"/>
  <c r="BW210" i="25"/>
  <c r="BN217" i="25"/>
  <c r="BI218" i="25"/>
  <c r="BP219" i="25"/>
  <c r="BW219" i="25"/>
  <c r="BQ217" i="25"/>
  <c r="BP210" i="25"/>
  <c r="R25" i="25"/>
  <c r="BJ217" i="25"/>
  <c r="BI222" i="25"/>
  <c r="BI212" i="25"/>
  <c r="BP214" i="25"/>
  <c r="BP223" i="25"/>
  <c r="BW214" i="25"/>
  <c r="BS213" i="25"/>
  <c r="BU217" i="25"/>
  <c r="BM213" i="25"/>
  <c r="BD213" i="25"/>
  <c r="BG217" i="25"/>
  <c r="BI220" i="25"/>
  <c r="BP216" i="25"/>
  <c r="BW221" i="25"/>
  <c r="BW211" i="25"/>
  <c r="BU213" i="25"/>
  <c r="BN217" i="24"/>
  <c r="CF218" i="24"/>
  <c r="BR216" i="24"/>
  <c r="CH211" i="24"/>
  <c r="BJ215" i="24"/>
  <c r="BO218" i="24"/>
  <c r="CH209" i="24"/>
  <c r="BN215" i="24"/>
  <c r="CO218" i="24"/>
  <c r="CD216" i="24"/>
  <c r="CP211" i="24"/>
  <c r="BJ213" i="24"/>
  <c r="BH218" i="24"/>
  <c r="CN218" i="24"/>
  <c r="BV214" i="24"/>
  <c r="CL217" i="24"/>
  <c r="BF211" i="24"/>
  <c r="BJ212" i="24"/>
  <c r="BN213" i="24"/>
  <c r="BG218" i="24"/>
  <c r="BT218" i="24"/>
  <c r="CK218" i="24"/>
  <c r="CM218" i="24"/>
  <c r="BR212" i="24"/>
  <c r="BV213" i="24"/>
  <c r="CD214" i="24"/>
  <c r="CH215" i="24"/>
  <c r="CL216" i="24"/>
  <c r="CP217" i="24"/>
  <c r="BF215" i="24"/>
  <c r="BP218" i="24"/>
  <c r="CD210" i="24"/>
  <c r="BY218" i="24"/>
  <c r="BR215" i="24"/>
  <c r="CL211" i="24"/>
  <c r="BJ214" i="24"/>
  <c r="BI218" i="24"/>
  <c r="BR214" i="24"/>
  <c r="CL209" i="24"/>
  <c r="BF212" i="24"/>
  <c r="BN214" i="24"/>
  <c r="BU218" i="24"/>
  <c r="CH216" i="24"/>
  <c r="CP209" i="24"/>
  <c r="BF209" i="24"/>
  <c r="BJ211" i="24"/>
  <c r="BN212" i="24"/>
  <c r="BE218" i="24"/>
  <c r="BS218" i="24"/>
  <c r="CJ218" i="24"/>
  <c r="BR211" i="24"/>
  <c r="BV212" i="24"/>
  <c r="CD213" i="24"/>
  <c r="CH214" i="24"/>
  <c r="CL215" i="24"/>
  <c r="CP216" i="24"/>
  <c r="BL218" i="24"/>
  <c r="BV217" i="24"/>
  <c r="CL212" i="24"/>
  <c r="BN216" i="24"/>
  <c r="CE218" i="24"/>
  <c r="CD217" i="24"/>
  <c r="CP212" i="24"/>
  <c r="BM218" i="24"/>
  <c r="CH217" i="24"/>
  <c r="BF217" i="24"/>
  <c r="BJ209" i="24"/>
  <c r="BJ210" i="24"/>
  <c r="BN211" i="24"/>
  <c r="BD218" i="24"/>
  <c r="CC218" i="24"/>
  <c r="CI218" i="24"/>
  <c r="BR209" i="24"/>
  <c r="BR210" i="24"/>
  <c r="BV211" i="24"/>
  <c r="CD212" i="24"/>
  <c r="CH213" i="24"/>
  <c r="CL214" i="24"/>
  <c r="CP215" i="24"/>
  <c r="BJ216" i="24"/>
  <c r="CA218" i="24"/>
  <c r="CD209" i="24"/>
  <c r="CP213" i="24"/>
  <c r="BF214" i="24"/>
  <c r="BK218" i="24"/>
  <c r="BV216" i="24"/>
  <c r="CH210" i="24"/>
  <c r="BF213" i="24"/>
  <c r="BX218" i="24"/>
  <c r="BV215" i="24"/>
  <c r="CL210" i="24"/>
  <c r="BR213" i="24"/>
  <c r="CD215" i="24"/>
  <c r="CP210" i="24"/>
  <c r="BF216" i="24"/>
  <c r="BJ217" i="24"/>
  <c r="BN209" i="24"/>
  <c r="BN210" i="24"/>
  <c r="BQ218" i="24"/>
  <c r="CB218" i="24"/>
  <c r="CG218" i="24"/>
  <c r="BR217" i="24"/>
  <c r="BV209" i="24"/>
  <c r="BV210" i="24"/>
  <c r="CD211" i="24"/>
  <c r="CH212" i="24"/>
  <c r="CL213" i="24"/>
  <c r="CP214" i="24"/>
  <c r="AA459" i="23"/>
  <c r="Z459" i="23"/>
  <c r="BC217" i="23"/>
  <c r="E459" i="23"/>
  <c r="BR212" i="23"/>
  <c r="T454" i="23"/>
  <c r="CP215" i="23"/>
  <c r="AR457" i="23"/>
  <c r="CI217" i="23"/>
  <c r="AK459" i="23"/>
  <c r="BN212" i="23"/>
  <c r="P454" i="23"/>
  <c r="CH216" i="23"/>
  <c r="AJ458" i="23"/>
  <c r="BF213" i="23"/>
  <c r="H455" i="23"/>
  <c r="CD215" i="23"/>
  <c r="AF457" i="23"/>
  <c r="CM217" i="23"/>
  <c r="AO459" i="23"/>
  <c r="BJ211" i="23"/>
  <c r="L453" i="23"/>
  <c r="CH214" i="23"/>
  <c r="AJ456" i="23"/>
  <c r="BP217" i="23"/>
  <c r="R459" i="23"/>
  <c r="BE217" i="23"/>
  <c r="G459" i="23"/>
  <c r="CA217" i="23"/>
  <c r="AC459" i="23"/>
  <c r="BF216" i="23"/>
  <c r="H458" i="23"/>
  <c r="BJ215" i="23"/>
  <c r="L457" i="23"/>
  <c r="BN214" i="23"/>
  <c r="P456" i="23"/>
  <c r="BR213" i="23"/>
  <c r="T455" i="23"/>
  <c r="BV212" i="23"/>
  <c r="X454" i="23"/>
  <c r="CD216" i="23"/>
  <c r="AF458" i="23"/>
  <c r="CL210" i="23"/>
  <c r="AN452" i="23"/>
  <c r="CP216" i="23"/>
  <c r="AR458" i="23"/>
  <c r="BF215" i="23"/>
  <c r="H457" i="23"/>
  <c r="BV211" i="23"/>
  <c r="X453" i="23"/>
  <c r="BJ213" i="23"/>
  <c r="L455" i="23"/>
  <c r="CL215" i="23"/>
  <c r="AN457" i="23"/>
  <c r="BL217" i="23"/>
  <c r="N459" i="23"/>
  <c r="BV210" i="23"/>
  <c r="X452" i="23"/>
  <c r="CP213" i="23"/>
  <c r="AR455" i="23"/>
  <c r="BK217" i="23"/>
  <c r="M459" i="23"/>
  <c r="BR210" i="23"/>
  <c r="T452" i="23"/>
  <c r="CL213" i="23"/>
  <c r="AN455" i="23"/>
  <c r="BT217" i="23"/>
  <c r="V459" i="23"/>
  <c r="BI217" i="23"/>
  <c r="K459" i="23"/>
  <c r="CE217" i="23"/>
  <c r="AG459" i="23"/>
  <c r="CK217" i="23"/>
  <c r="AM459" i="23"/>
  <c r="BF211" i="23"/>
  <c r="H453" i="23"/>
  <c r="BN210" i="23"/>
  <c r="P452" i="23"/>
  <c r="BR216" i="23"/>
  <c r="T458" i="23"/>
  <c r="BV215" i="23"/>
  <c r="X457" i="23"/>
  <c r="CD213" i="23"/>
  <c r="AF455" i="23"/>
  <c r="CH213" i="23"/>
  <c r="AJ455" i="23"/>
  <c r="CL212" i="23"/>
  <c r="AN454" i="23"/>
  <c r="CP211" i="23"/>
  <c r="AR453" i="23"/>
  <c r="BN213" i="23"/>
  <c r="P455" i="23"/>
  <c r="CL216" i="23"/>
  <c r="AN458" i="23"/>
  <c r="BM217" i="23"/>
  <c r="O459" i="23"/>
  <c r="BF214" i="23"/>
  <c r="H456" i="23"/>
  <c r="CD210" i="23"/>
  <c r="AF452" i="23"/>
  <c r="CG217" i="23"/>
  <c r="AI459" i="23"/>
  <c r="BJ212" i="23"/>
  <c r="L454" i="23"/>
  <c r="CL214" i="23"/>
  <c r="AN456" i="23"/>
  <c r="BU217" i="23"/>
  <c r="W459" i="23"/>
  <c r="BV216" i="23"/>
  <c r="X458" i="23"/>
  <c r="CP212" i="23"/>
  <c r="AR454" i="23"/>
  <c r="BS217" i="23"/>
  <c r="U459" i="23"/>
  <c r="BH217" i="23"/>
  <c r="J459" i="23"/>
  <c r="CC217" i="23"/>
  <c r="AE459" i="23"/>
  <c r="CJ217" i="23"/>
  <c r="AL459" i="23"/>
  <c r="BJ210" i="23"/>
  <c r="L452" i="23"/>
  <c r="BN216" i="23"/>
  <c r="P458" i="23"/>
  <c r="BR215" i="23"/>
  <c r="T457" i="23"/>
  <c r="BV214" i="23"/>
  <c r="X456" i="23"/>
  <c r="CD212" i="23"/>
  <c r="AF454" i="23"/>
  <c r="CH212" i="23"/>
  <c r="AJ454" i="23"/>
  <c r="CL211" i="23"/>
  <c r="AN453" i="23"/>
  <c r="BO217" i="23"/>
  <c r="Q459" i="23"/>
  <c r="BJ214" i="23"/>
  <c r="L456" i="23"/>
  <c r="CH210" i="23"/>
  <c r="AJ452" i="23"/>
  <c r="CO217" i="23"/>
  <c r="AQ459" i="23"/>
  <c r="BR211" i="23"/>
  <c r="T453" i="23"/>
  <c r="CP214" i="23"/>
  <c r="AR456" i="23"/>
  <c r="CN217" i="23"/>
  <c r="AP459" i="23"/>
  <c r="BN211" i="23"/>
  <c r="P453" i="23"/>
  <c r="CH215" i="23"/>
  <c r="AJ457" i="23"/>
  <c r="CF217" i="23"/>
  <c r="AH459" i="23"/>
  <c r="CD214" i="23"/>
  <c r="AF456" i="23"/>
  <c r="BQ217" i="23"/>
  <c r="S459" i="23"/>
  <c r="BG217" i="23"/>
  <c r="I459" i="23"/>
  <c r="CB217" i="23"/>
  <c r="AD459" i="23"/>
  <c r="BF210" i="23"/>
  <c r="H452" i="23"/>
  <c r="BJ216" i="23"/>
  <c r="L458" i="23"/>
  <c r="BN215" i="23"/>
  <c r="P457" i="23"/>
  <c r="BR214" i="23"/>
  <c r="T456" i="23"/>
  <c r="BV213" i="23"/>
  <c r="X455" i="23"/>
  <c r="CD211" i="23"/>
  <c r="AF453" i="23"/>
  <c r="CH211" i="23"/>
  <c r="AJ453" i="23"/>
  <c r="CP210" i="23"/>
  <c r="AR452" i="23"/>
  <c r="M34" i="17"/>
  <c r="BL233" i="17" s="1"/>
  <c r="BQ208" i="17"/>
  <c r="BJ229" i="17"/>
  <c r="BQ214" i="17"/>
  <c r="BX228" i="17"/>
  <c r="BQ213" i="17"/>
  <c r="BQ212" i="17"/>
  <c r="BQ229" i="17"/>
  <c r="BQ219" i="17"/>
  <c r="BQ210" i="17"/>
  <c r="BX222" i="17"/>
  <c r="BX217" i="17"/>
  <c r="BX216" i="17"/>
  <c r="BQ231" i="17"/>
  <c r="BX226" i="17"/>
  <c r="BJ226" i="17"/>
  <c r="BQ220" i="17"/>
  <c r="BJ222" i="17"/>
  <c r="BQ228" i="17"/>
  <c r="BQ217" i="17"/>
  <c r="BX231" i="17"/>
  <c r="BX221" i="17"/>
  <c r="BJ217" i="17"/>
  <c r="BX227" i="17"/>
  <c r="BQ221" i="17"/>
  <c r="BQ211" i="17"/>
  <c r="BJ231" i="17"/>
  <c r="BQ227" i="17"/>
  <c r="BQ216" i="17"/>
  <c r="BX230" i="17"/>
  <c r="BX220" i="17"/>
  <c r="BQ222" i="17"/>
  <c r="BJ216" i="17"/>
  <c r="BQ230" i="17"/>
  <c r="BJ230" i="17"/>
  <c r="BJ220" i="17"/>
  <c r="BQ226" i="17"/>
  <c r="BX229" i="17"/>
  <c r="BX219" i="17"/>
  <c r="BC217" i="18"/>
  <c r="BP226" i="18"/>
  <c r="BP218" i="18"/>
  <c r="BW224" i="18"/>
  <c r="BW215" i="18"/>
  <c r="BP225" i="18"/>
  <c r="BW214" i="18"/>
  <c r="BI219" i="18"/>
  <c r="BI234" i="18"/>
  <c r="BI226" i="18"/>
  <c r="BI218" i="18"/>
  <c r="BI209" i="18"/>
  <c r="BP230" i="18"/>
  <c r="BP222" i="18"/>
  <c r="BW236" i="18"/>
  <c r="BW228" i="18"/>
  <c r="BW220" i="18"/>
  <c r="BW211" i="18"/>
  <c r="BI230" i="18"/>
  <c r="BI213" i="18"/>
  <c r="BI207" i="18"/>
  <c r="BI229" i="18"/>
  <c r="BI221" i="18"/>
  <c r="BI212" i="18"/>
  <c r="BP233" i="18"/>
  <c r="BP216" i="18"/>
  <c r="BW231" i="18"/>
  <c r="BW223" i="18"/>
  <c r="BI236" i="18"/>
  <c r="BI220" i="18"/>
  <c r="BI211" i="18"/>
  <c r="BP232" i="18"/>
  <c r="BP224" i="18"/>
  <c r="BP215" i="18"/>
  <c r="BW230" i="18"/>
  <c r="BW222" i="18"/>
  <c r="BW213" i="18"/>
  <c r="BI235" i="18"/>
  <c r="BI227" i="18"/>
  <c r="BI210" i="18"/>
  <c r="BP231" i="18"/>
  <c r="BP223" i="18"/>
  <c r="BP214" i="18"/>
  <c r="BW207" i="18"/>
  <c r="BW229" i="18"/>
  <c r="BW221" i="18"/>
  <c r="BW212" i="18"/>
  <c r="BC208" i="18"/>
  <c r="BI233" i="18"/>
  <c r="BI225" i="18"/>
  <c r="BI216" i="18"/>
  <c r="BP207" i="18"/>
  <c r="BP229" i="18"/>
  <c r="BP221" i="18"/>
  <c r="BW235" i="18"/>
  <c r="BW227" i="18"/>
  <c r="BW219" i="18"/>
  <c r="BW210" i="18"/>
  <c r="BI228" i="18"/>
  <c r="BP236" i="18"/>
  <c r="BP228" i="18"/>
  <c r="BP220" i="18"/>
  <c r="BW234" i="18"/>
  <c r="BW226" i="18"/>
  <c r="BW218" i="18"/>
  <c r="BW209" i="18"/>
  <c r="BP234" i="18"/>
  <c r="BI231" i="18"/>
  <c r="BI214" i="18"/>
  <c r="BP235" i="18"/>
  <c r="BP227" i="18"/>
  <c r="BP219" i="18"/>
  <c r="BW233" i="18"/>
  <c r="BW225" i="18"/>
  <c r="BW216" i="18"/>
  <c r="BF215" i="15"/>
  <c r="BE215" i="15"/>
  <c r="BI215" i="15"/>
  <c r="BO213" i="15"/>
  <c r="BP212" i="15"/>
  <c r="BQ211" i="15"/>
  <c r="BO212" i="15"/>
  <c r="BP211" i="15"/>
  <c r="BQ210" i="15"/>
  <c r="BQ209" i="15"/>
  <c r="BP209" i="15"/>
  <c r="BO207" i="15"/>
  <c r="BM215" i="15"/>
  <c r="BQ207" i="15"/>
  <c r="BO208" i="15"/>
  <c r="BQ214" i="15"/>
  <c r="BO211" i="15"/>
  <c r="BC215" i="15"/>
  <c r="BQ208" i="15"/>
  <c r="BO209" i="15"/>
  <c r="BP207" i="15"/>
  <c r="BP214" i="15"/>
  <c r="BQ213" i="15"/>
  <c r="BP210" i="15"/>
  <c r="BO210" i="15"/>
  <c r="BN215" i="15"/>
  <c r="BP208" i="15"/>
  <c r="BJ215" i="15"/>
  <c r="BO214" i="15"/>
  <c r="BP213" i="15"/>
  <c r="BQ212" i="15"/>
  <c r="BH215" i="3"/>
  <c r="BL219" i="3"/>
  <c r="BH207" i="3"/>
  <c r="BH212" i="3"/>
  <c r="BL218" i="3"/>
  <c r="BL209" i="3"/>
  <c r="BH220" i="3"/>
  <c r="BH211" i="3"/>
  <c r="BL217" i="3"/>
  <c r="BL208" i="3"/>
  <c r="BH218" i="3"/>
  <c r="BH209" i="3"/>
  <c r="BL220" i="3"/>
  <c r="BH214" i="3"/>
  <c r="BH210" i="3"/>
  <c r="BH217" i="3"/>
  <c r="BH208" i="3"/>
  <c r="BL214" i="3"/>
  <c r="BL211" i="3"/>
  <c r="BL210" i="3"/>
  <c r="BH219" i="3"/>
  <c r="BL216" i="3"/>
  <c r="BH216" i="3"/>
  <c r="BL207" i="3"/>
  <c r="BL212" i="3"/>
  <c r="BE211" i="11"/>
  <c r="BH209" i="11"/>
  <c r="BH208" i="11"/>
  <c r="BL207" i="11"/>
  <c r="BK211" i="11"/>
  <c r="BI211" i="11"/>
  <c r="BL208" i="11"/>
  <c r="BL210" i="11"/>
  <c r="BG211" i="11"/>
  <c r="BF211" i="11"/>
  <c r="BH210" i="11"/>
  <c r="AN189" i="1"/>
  <c r="AO196" i="1"/>
  <c r="AN204" i="1"/>
  <c r="AR190" i="1"/>
  <c r="AN191" i="1"/>
  <c r="AT192" i="1"/>
  <c r="AR196" i="1"/>
  <c r="AP190" i="1"/>
  <c r="AS192" i="1"/>
  <c r="AT193" i="1"/>
  <c r="AP196" i="1"/>
  <c r="AO190" i="1"/>
  <c r="AT191" i="1"/>
  <c r="AN196" i="1"/>
  <c r="AO192" i="1"/>
  <c r="AS204" i="1"/>
  <c r="AR191" i="1"/>
  <c r="AN192" i="1"/>
  <c r="AO193" i="1"/>
  <c r="AR192" i="1"/>
  <c r="AP189" i="1"/>
  <c r="AN190" i="1"/>
  <c r="AO189" i="1"/>
  <c r="AS191" i="1"/>
  <c r="AR204" i="1"/>
  <c r="AT190" i="1"/>
  <c r="AP191" i="1"/>
  <c r="AN193" i="1"/>
  <c r="AT196" i="1"/>
  <c r="AS193" i="1"/>
  <c r="AP192" i="1"/>
  <c r="AR193" i="1"/>
  <c r="AP193" i="1"/>
  <c r="AO204" i="1"/>
  <c r="AS189" i="1"/>
  <c r="AS190" i="1"/>
  <c r="AO191" i="1"/>
  <c r="AS196" i="1"/>
  <c r="E13" i="8"/>
  <c r="BD212" i="8" s="1"/>
  <c r="E50" i="8"/>
  <c r="BD249" i="8" s="1"/>
  <c r="D22" i="29"/>
  <c r="BC221" i="29" s="1"/>
  <c r="BJ211" i="11"/>
  <c r="BL209" i="11"/>
  <c r="AR189" i="1"/>
  <c r="BW232" i="18"/>
  <c r="BX208" i="17"/>
  <c r="BJ208" i="17"/>
  <c r="BX215" i="17"/>
  <c r="BX214" i="17"/>
  <c r="BX213" i="17"/>
  <c r="BX212" i="17"/>
  <c r="BX211" i="17"/>
  <c r="BX209" i="17"/>
  <c r="BX210" i="17"/>
  <c r="BQ215" i="17"/>
  <c r="BM217" i="25"/>
  <c r="BP220" i="25"/>
  <c r="BC213" i="25"/>
  <c r="BI215" i="25"/>
  <c r="BC218" i="24"/>
  <c r="BF210" i="24"/>
  <c r="BW218" i="24"/>
  <c r="BF212" i="23"/>
  <c r="H454" i="23"/>
  <c r="BD217" i="23"/>
  <c r="F459" i="23"/>
  <c r="BO228" i="22"/>
  <c r="BQ224" i="22"/>
  <c r="BJ228" i="22"/>
  <c r="BL216" i="22"/>
  <c r="BE228" i="22"/>
  <c r="BG223" i="22"/>
  <c r="BF228" i="22"/>
  <c r="BD228" i="22"/>
  <c r="BG212" i="22"/>
  <c r="BC215" i="21"/>
  <c r="BF216" i="21"/>
  <c r="BD212" i="21"/>
  <c r="BF213" i="21"/>
  <c r="BF210" i="21"/>
  <c r="BE209" i="21"/>
  <c r="BI216" i="20"/>
  <c r="BJ209" i="20"/>
  <c r="CC211" i="20"/>
  <c r="BF213" i="20"/>
  <c r="CC213" i="20"/>
  <c r="CB208" i="20"/>
  <c r="BC216" i="20"/>
  <c r="BE216" i="20"/>
  <c r="BF210" i="20"/>
  <c r="CC207" i="20"/>
  <c r="BF214" i="20"/>
  <c r="CC212" i="20"/>
  <c r="CA207" i="20"/>
  <c r="CC214" i="20"/>
  <c r="BD216" i="20"/>
  <c r="BF209" i="20"/>
  <c r="CA213" i="20"/>
  <c r="CB214" i="20"/>
  <c r="CC208" i="20"/>
  <c r="CB211" i="20"/>
  <c r="BF212" i="20"/>
  <c r="CB207" i="20"/>
  <c r="BF207" i="20"/>
  <c r="BF208" i="20"/>
  <c r="CA212" i="20"/>
  <c r="CB213" i="20"/>
  <c r="CC209" i="20"/>
  <c r="CA210" i="20"/>
  <c r="CB209" i="20"/>
  <c r="BF211" i="20"/>
  <c r="CA211" i="20"/>
  <c r="CB212" i="20"/>
  <c r="CC210" i="20"/>
  <c r="BC230" i="19"/>
  <c r="BI220" i="19"/>
  <c r="BI222" i="18"/>
  <c r="BP210" i="18"/>
  <c r="BP211" i="18"/>
  <c r="BK237" i="18"/>
  <c r="BP213" i="18"/>
  <c r="BP209" i="18"/>
  <c r="BP212" i="18"/>
  <c r="BJ228" i="17"/>
  <c r="BJ227" i="17"/>
  <c r="BJ219" i="17"/>
  <c r="BJ211" i="17"/>
  <c r="BJ212" i="17"/>
  <c r="BJ215" i="17"/>
  <c r="BJ210" i="17"/>
  <c r="BJ214" i="17"/>
  <c r="BJ213" i="17"/>
  <c r="BO214" i="16"/>
  <c r="BQ208" i="16"/>
  <c r="BN214" i="16"/>
  <c r="BQ209" i="16"/>
  <c r="BQ210" i="16"/>
  <c r="BP214" i="16"/>
  <c r="BM214" i="16"/>
  <c r="BQ211" i="16"/>
  <c r="BQ212" i="16"/>
  <c r="BL211" i="16"/>
  <c r="BL210" i="16"/>
  <c r="BL209" i="16"/>
  <c r="BK214" i="16"/>
  <c r="BH214" i="16"/>
  <c r="BL208" i="16"/>
  <c r="BJ214" i="16"/>
  <c r="BL212" i="16"/>
  <c r="BI214" i="16"/>
  <c r="BE214" i="16"/>
  <c r="BC214" i="16"/>
  <c r="BG211" i="16"/>
  <c r="BD214" i="16"/>
  <c r="BG208" i="16"/>
  <c r="BG209" i="16"/>
  <c r="BG210" i="16"/>
  <c r="BF214" i="16"/>
  <c r="BQ207" i="14"/>
  <c r="BO214" i="14"/>
  <c r="BP207" i="14"/>
  <c r="BP211" i="14"/>
  <c r="BQ214" i="14"/>
  <c r="BF219" i="14"/>
  <c r="BO213" i="14"/>
  <c r="BP218" i="14"/>
  <c r="BP210" i="14"/>
  <c r="BQ213" i="14"/>
  <c r="BO215" i="14"/>
  <c r="BC219" i="14"/>
  <c r="BE219" i="14"/>
  <c r="BO212" i="14"/>
  <c r="BP217" i="14"/>
  <c r="BP209" i="14"/>
  <c r="BQ212" i="14"/>
  <c r="BN219" i="14"/>
  <c r="BO207" i="14"/>
  <c r="BO211" i="14"/>
  <c r="BP216" i="14"/>
  <c r="BP208" i="14"/>
  <c r="BQ211" i="14"/>
  <c r="BQ215" i="14"/>
  <c r="BO210" i="14"/>
  <c r="BQ218" i="14"/>
  <c r="BO217" i="14"/>
  <c r="BO209" i="14"/>
  <c r="BP214" i="14"/>
  <c r="BQ217" i="14"/>
  <c r="BQ209" i="14"/>
  <c r="BI219" i="14"/>
  <c r="BP212" i="14"/>
  <c r="BO218" i="14"/>
  <c r="BP215" i="14"/>
  <c r="BQ210" i="14"/>
  <c r="BJ219" i="14"/>
  <c r="BO216" i="14"/>
  <c r="BO208" i="14"/>
  <c r="BP213" i="14"/>
  <c r="BQ216" i="14"/>
  <c r="BQ208" i="14"/>
  <c r="BL215" i="3"/>
  <c r="BJ213" i="3"/>
  <c r="AT189" i="1"/>
  <c r="CA222" i="5"/>
  <c r="CA223" i="5"/>
  <c r="CA224" i="5"/>
  <c r="CA226" i="5"/>
  <c r="CA221" i="5"/>
  <c r="BW220" i="5"/>
  <c r="CA225" i="5"/>
  <c r="CA227" i="5"/>
  <c r="CA218" i="5"/>
  <c r="CA219" i="5"/>
  <c r="CA213" i="5"/>
  <c r="BW212" i="5"/>
  <c r="BX212" i="5"/>
  <c r="CA215" i="5"/>
  <c r="CA214" i="5"/>
  <c r="BV212" i="5"/>
  <c r="CA216" i="5"/>
  <c r="BZ212" i="5"/>
  <c r="BU212" i="5"/>
  <c r="BY212" i="5"/>
  <c r="BX208" i="5"/>
  <c r="CA210" i="5"/>
  <c r="BW208" i="5"/>
  <c r="CA211" i="5"/>
  <c r="BV208" i="5"/>
  <c r="BU208" i="5"/>
  <c r="BZ208" i="5"/>
  <c r="BY208" i="5"/>
  <c r="CA209" i="5"/>
  <c r="BM220" i="5"/>
  <c r="BL212" i="5"/>
  <c r="BP212" i="5"/>
  <c r="BO212" i="5"/>
  <c r="BN212" i="5"/>
  <c r="BM212" i="5"/>
  <c r="BQ212" i="5"/>
  <c r="BO208" i="5"/>
  <c r="BP208" i="5"/>
  <c r="BQ208" i="5"/>
  <c r="BN208" i="5"/>
  <c r="BL208" i="5"/>
  <c r="BM208" i="5"/>
  <c r="BE212" i="5"/>
  <c r="BD212" i="5"/>
  <c r="BC212" i="5"/>
  <c r="BH212" i="5"/>
  <c r="BG212" i="5"/>
  <c r="BF212" i="5"/>
  <c r="BH208" i="5"/>
  <c r="BF208" i="5"/>
  <c r="BG208" i="5"/>
  <c r="BE208" i="5"/>
  <c r="BC208" i="5"/>
  <c r="BD208" i="5"/>
  <c r="CA208" i="6"/>
  <c r="CA209" i="6"/>
  <c r="BU210" i="6"/>
  <c r="BZ210" i="6"/>
  <c r="CA214" i="6"/>
  <c r="CA213" i="6"/>
  <c r="BX210" i="6"/>
  <c r="CA215" i="6"/>
  <c r="CA212" i="6"/>
  <c r="BW210" i="6"/>
  <c r="BY210" i="6"/>
  <c r="CA211" i="6"/>
  <c r="BV210" i="6"/>
  <c r="BY216" i="6"/>
  <c r="BX216" i="6"/>
  <c r="CA218" i="6"/>
  <c r="CA217" i="6"/>
  <c r="BU216" i="6"/>
  <c r="BZ216" i="6"/>
  <c r="CA220" i="6"/>
  <c r="BW216" i="6"/>
  <c r="CA219" i="6"/>
  <c r="BV216" i="6"/>
  <c r="BZ221" i="6"/>
  <c r="BY221" i="6"/>
  <c r="BX221" i="6"/>
  <c r="CA223" i="6"/>
  <c r="BW221" i="6"/>
  <c r="CA222" i="6"/>
  <c r="BV221" i="6"/>
  <c r="CA225" i="6"/>
  <c r="BU221" i="6"/>
  <c r="CA224" i="6"/>
  <c r="CA228" i="6"/>
  <c r="BX226" i="6"/>
  <c r="CA233" i="6"/>
  <c r="BY226" i="6"/>
  <c r="CA232" i="6"/>
  <c r="BZ226" i="6"/>
  <c r="CA230" i="6"/>
  <c r="BU226" i="6"/>
  <c r="BW226" i="6"/>
  <c r="CA227" i="6"/>
  <c r="CA229" i="6"/>
  <c r="BV226" i="6"/>
  <c r="CA238" i="6"/>
  <c r="BZ234" i="6"/>
  <c r="CA235" i="6"/>
  <c r="BU234" i="6"/>
  <c r="CA237" i="6"/>
  <c r="BV234" i="6"/>
  <c r="CA240" i="6"/>
  <c r="BW234" i="6"/>
  <c r="BY234" i="6"/>
  <c r="CA236" i="6"/>
  <c r="CA241" i="6"/>
  <c r="CA239" i="6"/>
  <c r="BX234" i="6"/>
  <c r="BZ243" i="6"/>
  <c r="CA246" i="6"/>
  <c r="BX243" i="6"/>
  <c r="CA245" i="6"/>
  <c r="BW243" i="6"/>
  <c r="CA248" i="6"/>
  <c r="BY243" i="6"/>
  <c r="BV243" i="6"/>
  <c r="CA247" i="6"/>
  <c r="CA250" i="6"/>
  <c r="CA244" i="6"/>
  <c r="CA249" i="6"/>
  <c r="BU243" i="6"/>
  <c r="BR244" i="6"/>
  <c r="BR245" i="6"/>
  <c r="BL243" i="6"/>
  <c r="BM243" i="6"/>
  <c r="BO243" i="6"/>
  <c r="BP243" i="6"/>
  <c r="BN243" i="6"/>
  <c r="BQ243" i="6"/>
  <c r="BR236" i="6"/>
  <c r="BP234" i="6"/>
  <c r="BR237" i="6"/>
  <c r="BQ234" i="6"/>
  <c r="BR239" i="6"/>
  <c r="BN234" i="6"/>
  <c r="BO234" i="6"/>
  <c r="BR238" i="6"/>
  <c r="BR240" i="6"/>
  <c r="BL234" i="6"/>
  <c r="BR235" i="6"/>
  <c r="BR241" i="6"/>
  <c r="BM234" i="6"/>
  <c r="BR233" i="6"/>
  <c r="BL226" i="6"/>
  <c r="BM226" i="6"/>
  <c r="BR229" i="6"/>
  <c r="BO226" i="6"/>
  <c r="BR227" i="6"/>
  <c r="BN226" i="6"/>
  <c r="BR230" i="6"/>
  <c r="BP226" i="6"/>
  <c r="BR228" i="6"/>
  <c r="BR232" i="6"/>
  <c r="BQ226" i="6"/>
  <c r="BR224" i="6"/>
  <c r="BR225" i="6"/>
  <c r="BP221" i="6"/>
  <c r="BQ221" i="6"/>
  <c r="BR223" i="6"/>
  <c r="BO221" i="6"/>
  <c r="BL221" i="6"/>
  <c r="BN221" i="6"/>
  <c r="BR222" i="6"/>
  <c r="BM221" i="6"/>
  <c r="BL216" i="6"/>
  <c r="BR217" i="6"/>
  <c r="BQ216" i="6"/>
  <c r="BR218" i="6"/>
  <c r="BP216" i="6"/>
  <c r="BO216" i="6"/>
  <c r="BR220" i="6"/>
  <c r="BN216" i="6"/>
  <c r="BR219" i="6"/>
  <c r="BM216" i="6"/>
  <c r="BP210" i="6"/>
  <c r="BR214" i="6"/>
  <c r="BO210" i="6"/>
  <c r="BN210" i="6"/>
  <c r="BM210" i="6"/>
  <c r="BR213" i="6"/>
  <c r="BR215" i="6"/>
  <c r="BR211" i="6"/>
  <c r="BL210" i="6"/>
  <c r="BR212" i="6"/>
  <c r="BQ210" i="6"/>
  <c r="BR208" i="6"/>
  <c r="BR209" i="6"/>
  <c r="BE243" i="6"/>
  <c r="BD243" i="6"/>
  <c r="BI250" i="6"/>
  <c r="BI248" i="6"/>
  <c r="BC243" i="6"/>
  <c r="BH243" i="6"/>
  <c r="BI249" i="6"/>
  <c r="BI247" i="6"/>
  <c r="BI246" i="6"/>
  <c r="BG243" i="6"/>
  <c r="BI244" i="6"/>
  <c r="BI245" i="6"/>
  <c r="BF243" i="6"/>
  <c r="BI241" i="6"/>
  <c r="BI240" i="6"/>
  <c r="BF234" i="6"/>
  <c r="BI239" i="6"/>
  <c r="BE234" i="6"/>
  <c r="BG234" i="6"/>
  <c r="BD234" i="6"/>
  <c r="BI237" i="6"/>
  <c r="BH234" i="6"/>
  <c r="BC234" i="6"/>
  <c r="BI238" i="6"/>
  <c r="BI236" i="6"/>
  <c r="BI235" i="6"/>
  <c r="BE226" i="6"/>
  <c r="BI229" i="6"/>
  <c r="BI233" i="6"/>
  <c r="BC226" i="6"/>
  <c r="BI227" i="6"/>
  <c r="BH226" i="6"/>
  <c r="BI230" i="6"/>
  <c r="BI228" i="6"/>
  <c r="BG226" i="6"/>
  <c r="BI232" i="6"/>
  <c r="BD226" i="6"/>
  <c r="BF226" i="6"/>
  <c r="BI223" i="6"/>
  <c r="BG221" i="6"/>
  <c r="BF221" i="6"/>
  <c r="BC221" i="6"/>
  <c r="BH221" i="6"/>
  <c r="BD221" i="6"/>
  <c r="BE221" i="6"/>
  <c r="BI225" i="6"/>
  <c r="BI222" i="6"/>
  <c r="BI224" i="6"/>
  <c r="BI218" i="6"/>
  <c r="BC216" i="6"/>
  <c r="BE216" i="6"/>
  <c r="BI220" i="6"/>
  <c r="BH216" i="6"/>
  <c r="BG216" i="6"/>
  <c r="BD216" i="6"/>
  <c r="BI219" i="6"/>
  <c r="BI217" i="6"/>
  <c r="BF216" i="6"/>
  <c r="BI213" i="6"/>
  <c r="BI212" i="6"/>
  <c r="BG210" i="6"/>
  <c r="BC210" i="6"/>
  <c r="BI211" i="6"/>
  <c r="BD210" i="6"/>
  <c r="BH210" i="6"/>
  <c r="BI215" i="6"/>
  <c r="BF210" i="6"/>
  <c r="BE210" i="6"/>
  <c r="BI214" i="6"/>
  <c r="BI208" i="6"/>
  <c r="BI209" i="6"/>
  <c r="BH248" i="8"/>
  <c r="BH243" i="8"/>
  <c r="BH247" i="8"/>
  <c r="BH249" i="8"/>
  <c r="BH244" i="8"/>
  <c r="BH239" i="8"/>
  <c r="BH238" i="8"/>
  <c r="BH237" i="8"/>
  <c r="BC233" i="8"/>
  <c r="BH236" i="8"/>
  <c r="BE233" i="8"/>
  <c r="BH240" i="8"/>
  <c r="BH235" i="8"/>
  <c r="BF233" i="8"/>
  <c r="BH234" i="8"/>
  <c r="BG233" i="8"/>
  <c r="BH227" i="8"/>
  <c r="BH232" i="8"/>
  <c r="BH229" i="8"/>
  <c r="BH228" i="8"/>
  <c r="BH226" i="8"/>
  <c r="BC225" i="8"/>
  <c r="BE225" i="8"/>
  <c r="BG225" i="8"/>
  <c r="BH231" i="8"/>
  <c r="BF225" i="8"/>
  <c r="BF220" i="8"/>
  <c r="BG220" i="8"/>
  <c r="BH222" i="8"/>
  <c r="BH221" i="8"/>
  <c r="BH224" i="8"/>
  <c r="BC220" i="8"/>
  <c r="BH223" i="8"/>
  <c r="BE220" i="8"/>
  <c r="BH218" i="8"/>
  <c r="BH217" i="8"/>
  <c r="BE215" i="8"/>
  <c r="BH216" i="8"/>
  <c r="BG215" i="8"/>
  <c r="BF215" i="8"/>
  <c r="BH219" i="8"/>
  <c r="BC215" i="8"/>
  <c r="BH210" i="8"/>
  <c r="BH212" i="8"/>
  <c r="BH211" i="8"/>
  <c r="BH213" i="8"/>
  <c r="BG209" i="8"/>
  <c r="BH214" i="8"/>
  <c r="BH208" i="8"/>
  <c r="BV222" i="27"/>
  <c r="BU222" i="27"/>
  <c r="BT222" i="27"/>
  <c r="BS222" i="27"/>
  <c r="BR222" i="27"/>
  <c r="BQ222" i="27"/>
  <c r="BO222" i="27"/>
  <c r="BN222" i="27"/>
  <c r="BM222" i="27"/>
  <c r="BL222" i="27"/>
  <c r="BK222" i="27"/>
  <c r="BJ222" i="27"/>
  <c r="BH222" i="27"/>
  <c r="BG222" i="27"/>
  <c r="BE222" i="27"/>
  <c r="BD222" i="27"/>
  <c r="BC222" i="27"/>
  <c r="BE216" i="26"/>
  <c r="BD216" i="26"/>
  <c r="BF214" i="26"/>
  <c r="BL213" i="26"/>
  <c r="BF213" i="26"/>
  <c r="BM214" i="26"/>
  <c r="BL214" i="26"/>
  <c r="BF212" i="26"/>
  <c r="BM215" i="26"/>
  <c r="BL215" i="26"/>
  <c r="BJ215" i="26"/>
  <c r="BK212" i="26"/>
  <c r="BF215" i="26"/>
  <c r="BK215" i="26"/>
  <c r="BI216" i="26"/>
  <c r="BJ214" i="26"/>
  <c r="BK213" i="26"/>
  <c r="BG216" i="26"/>
  <c r="BJ212" i="26"/>
  <c r="BM212" i="26"/>
  <c r="BL212" i="26"/>
  <c r="BM213" i="26"/>
  <c r="BC216" i="26"/>
  <c r="BK214" i="26"/>
  <c r="BH216" i="26"/>
  <c r="BJ213" i="26"/>
  <c r="BL218" i="12"/>
  <c r="BE214" i="12"/>
  <c r="BI223" i="12"/>
  <c r="BL208" i="12"/>
  <c r="BH218" i="12"/>
  <c r="BL220" i="12"/>
  <c r="BF223" i="12"/>
  <c r="BG214" i="12"/>
  <c r="BL213" i="12"/>
  <c r="BH217" i="12"/>
  <c r="BL219" i="12"/>
  <c r="BE223" i="12"/>
  <c r="BK214" i="12"/>
  <c r="BL212" i="12"/>
  <c r="BH221" i="12"/>
  <c r="BL210" i="12"/>
  <c r="BK223" i="12"/>
  <c r="BH211" i="12"/>
  <c r="BL209" i="12"/>
  <c r="BL216" i="12"/>
  <c r="BH222" i="12"/>
  <c r="BG223" i="12"/>
  <c r="BH213" i="12"/>
  <c r="BL217" i="12"/>
  <c r="BC214" i="12"/>
  <c r="BH220" i="12"/>
  <c r="BI214" i="12"/>
  <c r="BH210" i="12"/>
  <c r="BH216" i="12"/>
  <c r="BL222" i="12"/>
  <c r="BH208" i="12"/>
  <c r="BL211" i="12"/>
  <c r="BJ223" i="12"/>
  <c r="BH212" i="12"/>
  <c r="BF214" i="12"/>
  <c r="BH209" i="12"/>
  <c r="BH219" i="12"/>
  <c r="BL221" i="12"/>
  <c r="BH211" i="10"/>
  <c r="BJ222" i="10"/>
  <c r="BK222" i="10"/>
  <c r="BH208" i="10"/>
  <c r="BL210" i="10"/>
  <c r="BL219" i="10"/>
  <c r="BI222" i="10"/>
  <c r="BH212" i="10"/>
  <c r="BL209" i="10"/>
  <c r="BL218" i="10"/>
  <c r="BH217" i="10"/>
  <c r="BE222" i="10"/>
  <c r="BH220" i="10"/>
  <c r="BH209" i="10"/>
  <c r="BJ213" i="10"/>
  <c r="BG213" i="10"/>
  <c r="BL208" i="10"/>
  <c r="BH218" i="10"/>
  <c r="BF213" i="10"/>
  <c r="BH219" i="10"/>
  <c r="BI213" i="10"/>
  <c r="BK213" i="10"/>
  <c r="BL212" i="10"/>
  <c r="BL217" i="10"/>
  <c r="BF222" i="10"/>
  <c r="BH210" i="10"/>
  <c r="BC222" i="10"/>
  <c r="BG222" i="10"/>
  <c r="BL211" i="10"/>
  <c r="BL220" i="10"/>
  <c r="BF222" i="27"/>
  <c r="S25" i="25"/>
  <c r="BR217" i="25"/>
  <c r="Y20" i="25"/>
  <c r="Z512" i="25" s="1"/>
  <c r="BI219" i="25"/>
  <c r="K25" i="25"/>
  <c r="BJ213" i="25"/>
  <c r="U25" i="25"/>
  <c r="BT213" i="25"/>
  <c r="L25" i="25"/>
  <c r="BK213" i="25"/>
  <c r="Y11" i="25"/>
  <c r="Z503" i="25" s="1"/>
  <c r="BI210" i="25"/>
  <c r="Y24" i="25"/>
  <c r="Z516" i="25" s="1"/>
  <c r="BI223" i="25"/>
  <c r="Y15" i="25"/>
  <c r="Z507" i="25" s="1"/>
  <c r="BI214" i="25"/>
  <c r="P25" i="25"/>
  <c r="BO213" i="25"/>
  <c r="G25" i="25"/>
  <c r="BF213" i="25"/>
  <c r="BX217" i="23"/>
  <c r="BY217" i="23"/>
  <c r="BI228" i="22"/>
  <c r="S21" i="22"/>
  <c r="T513" i="22" s="1"/>
  <c r="BG220" i="22"/>
  <c r="I29" i="22"/>
  <c r="BH209" i="22"/>
  <c r="S27" i="22"/>
  <c r="T519" i="22" s="1"/>
  <c r="BG226" i="22"/>
  <c r="R19" i="22"/>
  <c r="BM218" i="22"/>
  <c r="S26" i="22"/>
  <c r="T518" i="22" s="1"/>
  <c r="BG225" i="22"/>
  <c r="D29" i="22"/>
  <c r="BC209" i="22"/>
  <c r="AE10" i="20"/>
  <c r="AF503" i="20" s="1"/>
  <c r="CA209" i="20"/>
  <c r="AE16" i="20"/>
  <c r="AF509" i="20" s="1"/>
  <c r="CA215" i="20"/>
  <c r="AC17" i="20"/>
  <c r="CB210" i="20"/>
  <c r="AE9" i="20"/>
  <c r="AF502" i="20" s="1"/>
  <c r="CA208" i="20"/>
  <c r="Y22" i="19"/>
  <c r="Z514" i="19" s="1"/>
  <c r="BI221" i="19"/>
  <c r="Y12" i="19"/>
  <c r="Z504" i="19" s="1"/>
  <c r="BI211" i="19"/>
  <c r="Y14" i="19"/>
  <c r="Z506" i="19" s="1"/>
  <c r="Y27" i="19"/>
  <c r="Z519" i="19" s="1"/>
  <c r="BI226" i="19"/>
  <c r="Y26" i="19"/>
  <c r="Z518" i="19" s="1"/>
  <c r="BI225" i="19"/>
  <c r="Y15" i="19"/>
  <c r="Z507" i="19" s="1"/>
  <c r="BI214" i="19"/>
  <c r="Y35" i="19"/>
  <c r="Z527" i="19" s="1"/>
  <c r="BI234" i="19"/>
  <c r="D18" i="19"/>
  <c r="E510" i="19" s="1"/>
  <c r="BC218" i="19"/>
  <c r="Y16" i="19"/>
  <c r="Z508" i="19" s="1"/>
  <c r="BI215" i="19"/>
  <c r="Y13" i="19"/>
  <c r="Z505" i="19" s="1"/>
  <c r="BI212" i="19"/>
  <c r="BT237" i="18"/>
  <c r="BV237" i="18"/>
  <c r="Y16" i="18"/>
  <c r="Z509" i="18" s="1"/>
  <c r="BI215" i="18"/>
  <c r="BS237" i="18"/>
  <c r="BL237" i="18"/>
  <c r="Y33" i="18"/>
  <c r="Z526" i="18" s="1"/>
  <c r="BI232" i="18"/>
  <c r="Y25" i="18"/>
  <c r="Z518" i="18" s="1"/>
  <c r="BI224" i="18"/>
  <c r="Y17" i="18"/>
  <c r="Z510" i="18" s="1"/>
  <c r="Y24" i="18"/>
  <c r="Z517" i="18" s="1"/>
  <c r="BI223" i="18"/>
  <c r="Z22" i="17"/>
  <c r="Z514" i="17" s="1"/>
  <c r="BJ221" i="17"/>
  <c r="S13" i="16"/>
  <c r="T505" i="16" s="1"/>
  <c r="BG212" i="16"/>
  <c r="L18" i="15"/>
  <c r="BK217" i="15" s="1"/>
  <c r="BK215" i="15"/>
  <c r="H18" i="15"/>
  <c r="BG217" i="15" s="1"/>
  <c r="BG215" i="15"/>
  <c r="N22" i="14"/>
  <c r="BM221" i="14" s="1"/>
  <c r="BM219" i="14"/>
  <c r="L22" i="14"/>
  <c r="BK221" i="14" s="1"/>
  <c r="BK219" i="14"/>
  <c r="H22" i="14"/>
  <c r="BG221" i="14" s="1"/>
  <c r="BG219" i="14"/>
  <c r="K25" i="12"/>
  <c r="BJ214" i="12"/>
  <c r="D25" i="12"/>
  <c r="BC223" i="12"/>
  <c r="D14" i="11"/>
  <c r="BC211" i="11"/>
  <c r="I12" i="11"/>
  <c r="I505" i="11" s="1"/>
  <c r="BH207" i="11"/>
  <c r="D16" i="10"/>
  <c r="BC215" i="10" s="1"/>
  <c r="BC213" i="10"/>
  <c r="F16" i="10"/>
  <c r="BE213" i="10"/>
  <c r="G26" i="10"/>
  <c r="BF225" i="10" s="1"/>
  <c r="G24" i="10"/>
  <c r="BF223" i="10" s="1"/>
  <c r="F26" i="10"/>
  <c r="BE225" i="10" s="1"/>
  <c r="F24" i="10"/>
  <c r="BE223" i="10" s="1"/>
  <c r="D26" i="10"/>
  <c r="D24" i="10"/>
  <c r="BC223" i="10" s="1"/>
  <c r="H24" i="10"/>
  <c r="BG223" i="10" s="1"/>
  <c r="L24" i="10"/>
  <c r="BK223" i="10" s="1"/>
  <c r="K24" i="10"/>
  <c r="BJ223" i="10" s="1"/>
  <c r="J24" i="10"/>
  <c r="BI223" i="10" s="1"/>
  <c r="D22" i="3"/>
  <c r="BC213" i="3"/>
  <c r="H22" i="3"/>
  <c r="H27" i="3" s="1"/>
  <c r="BG226" i="3" s="1"/>
  <c r="BG213" i="3"/>
  <c r="F22" i="3"/>
  <c r="BE213" i="3"/>
  <c r="J22" i="3"/>
  <c r="J27" i="3" s="1"/>
  <c r="BI226" i="3" s="1"/>
  <c r="BI213" i="3"/>
  <c r="L22" i="3"/>
  <c r="L27" i="3" s="1"/>
  <c r="BK226" i="3" s="1"/>
  <c r="BK213" i="3"/>
  <c r="G22" i="3"/>
  <c r="G27" i="3" s="1"/>
  <c r="BF226" i="3" s="1"/>
  <c r="BF213" i="3"/>
  <c r="F18" i="5"/>
  <c r="G510" i="5" s="1"/>
  <c r="BE220" i="5"/>
  <c r="L25" i="5"/>
  <c r="BK224" i="5" s="1"/>
  <c r="BI224" i="5"/>
  <c r="L14" i="5"/>
  <c r="BK213" i="5" s="1"/>
  <c r="BI213" i="5"/>
  <c r="M18" i="5"/>
  <c r="L510" i="5" s="1"/>
  <c r="BL220" i="5"/>
  <c r="D18" i="5"/>
  <c r="E510" i="5" s="1"/>
  <c r="BC220" i="5"/>
  <c r="O18" i="5"/>
  <c r="N510" i="5" s="1"/>
  <c r="BN220" i="5"/>
  <c r="L20" i="5"/>
  <c r="BK219" i="5" s="1"/>
  <c r="BI219" i="5"/>
  <c r="L10" i="5"/>
  <c r="BK209" i="5" s="1"/>
  <c r="BI209" i="5"/>
  <c r="U19" i="5"/>
  <c r="BT218" i="5" s="1"/>
  <c r="BR218" i="5"/>
  <c r="U28" i="5"/>
  <c r="BT227" i="5" s="1"/>
  <c r="BR227" i="5"/>
  <c r="Y18" i="5"/>
  <c r="V510" i="5" s="1"/>
  <c r="BX220" i="5"/>
  <c r="U24" i="5"/>
  <c r="BT223" i="5" s="1"/>
  <c r="BR223" i="5"/>
  <c r="U15" i="5"/>
  <c r="BT214" i="5" s="1"/>
  <c r="BR214" i="5"/>
  <c r="I18" i="5"/>
  <c r="J510" i="5" s="1"/>
  <c r="BH220" i="5"/>
  <c r="P18" i="5"/>
  <c r="O510" i="5" s="1"/>
  <c r="BO220" i="5"/>
  <c r="V18" i="5"/>
  <c r="S510" i="5" s="1"/>
  <c r="BU220" i="5"/>
  <c r="L28" i="5"/>
  <c r="BK227" i="5" s="1"/>
  <c r="BI227" i="5"/>
  <c r="L19" i="5"/>
  <c r="BK218" i="5" s="1"/>
  <c r="BI218" i="5"/>
  <c r="U10" i="5"/>
  <c r="BT209" i="5" s="1"/>
  <c r="BR209" i="5"/>
  <c r="U20" i="5"/>
  <c r="BT219" i="5" s="1"/>
  <c r="BR219" i="5"/>
  <c r="U14" i="5"/>
  <c r="BT213" i="5" s="1"/>
  <c r="BR213" i="5"/>
  <c r="H18" i="5"/>
  <c r="I510" i="5" s="1"/>
  <c r="BG220" i="5"/>
  <c r="Q18" i="5"/>
  <c r="P510" i="5" s="1"/>
  <c r="BP220" i="5"/>
  <c r="AA18" i="5"/>
  <c r="X510" i="5" s="1"/>
  <c r="BZ220" i="5"/>
  <c r="L27" i="5"/>
  <c r="BK226" i="5" s="1"/>
  <c r="BI226" i="5"/>
  <c r="L17" i="5"/>
  <c r="BK216" i="5" s="1"/>
  <c r="BI216" i="5"/>
  <c r="U11" i="5"/>
  <c r="BT210" i="5" s="1"/>
  <c r="BR210" i="5"/>
  <c r="U22" i="5"/>
  <c r="BT221" i="5" s="1"/>
  <c r="BR221" i="5"/>
  <c r="G18" i="5"/>
  <c r="H510" i="5" s="1"/>
  <c r="BF220" i="5"/>
  <c r="R18" i="5"/>
  <c r="Q510" i="5" s="1"/>
  <c r="BQ220" i="5"/>
  <c r="Z18" i="5"/>
  <c r="W510" i="5" s="1"/>
  <c r="BY220" i="5"/>
  <c r="L26" i="5"/>
  <c r="BK225" i="5" s="1"/>
  <c r="BI225" i="5"/>
  <c r="L16" i="5"/>
  <c r="BK215" i="5" s="1"/>
  <c r="BI215" i="5"/>
  <c r="U12" i="5"/>
  <c r="BT211" i="5" s="1"/>
  <c r="BR211" i="5"/>
  <c r="U23" i="5"/>
  <c r="BT222" i="5" s="1"/>
  <c r="BR222" i="5"/>
  <c r="L15" i="5"/>
  <c r="BK214" i="5" s="1"/>
  <c r="BI214" i="5"/>
  <c r="E18" i="5"/>
  <c r="F510" i="5" s="1"/>
  <c r="BD220" i="5"/>
  <c r="L24" i="5"/>
  <c r="BK223" i="5" s="1"/>
  <c r="BI223" i="5"/>
  <c r="U25" i="5"/>
  <c r="BT224" i="5" s="1"/>
  <c r="BR224" i="5"/>
  <c r="W18" i="5"/>
  <c r="T510" i="5" s="1"/>
  <c r="BV220" i="5"/>
  <c r="L23" i="5"/>
  <c r="BK222" i="5" s="1"/>
  <c r="BI222" i="5"/>
  <c r="L12" i="5"/>
  <c r="BK211" i="5" s="1"/>
  <c r="BI211" i="5"/>
  <c r="U16" i="5"/>
  <c r="BT215" i="5" s="1"/>
  <c r="BR215" i="5"/>
  <c r="U26" i="5"/>
  <c r="BT225" i="5" s="1"/>
  <c r="BR225" i="5"/>
  <c r="L22" i="5"/>
  <c r="BK221" i="5" s="1"/>
  <c r="BI221" i="5"/>
  <c r="L11" i="5"/>
  <c r="BK210" i="5" s="1"/>
  <c r="BI210" i="5"/>
  <c r="U17" i="5"/>
  <c r="BT216" i="5" s="1"/>
  <c r="BR216" i="5"/>
  <c r="U27" i="5"/>
  <c r="BT226" i="5" s="1"/>
  <c r="BR226" i="5"/>
  <c r="U50" i="6"/>
  <c r="BT249" i="6" s="1"/>
  <c r="BR249" i="6"/>
  <c r="U49" i="6"/>
  <c r="BT248" i="6" s="1"/>
  <c r="BR248" i="6"/>
  <c r="U51" i="6"/>
  <c r="BT250" i="6" s="1"/>
  <c r="BR250" i="6"/>
  <c r="U47" i="6"/>
  <c r="BT246" i="6" s="1"/>
  <c r="BR246" i="6"/>
  <c r="U48" i="6"/>
  <c r="BT247" i="6" s="1"/>
  <c r="BR247" i="6"/>
  <c r="U45" i="6"/>
  <c r="BT244" i="6" s="1"/>
  <c r="M39" i="19"/>
  <c r="BL238" i="19" s="1"/>
  <c r="F43" i="6"/>
  <c r="G535" i="6" s="1"/>
  <c r="U36" i="6"/>
  <c r="BT235" i="6" s="1"/>
  <c r="Z12" i="17"/>
  <c r="Z504" i="17" s="1"/>
  <c r="U26" i="6"/>
  <c r="BT225" i="6" s="1"/>
  <c r="S28" i="22"/>
  <c r="T520" i="22" s="1"/>
  <c r="F19" i="21"/>
  <c r="G513" i="21" s="1"/>
  <c r="Y20" i="19"/>
  <c r="Z512" i="19" s="1"/>
  <c r="U39" i="6"/>
  <c r="BT238" i="6" s="1"/>
  <c r="U12" i="6"/>
  <c r="BT211" i="6" s="1"/>
  <c r="L36" i="6"/>
  <c r="BK235" i="6" s="1"/>
  <c r="L25" i="6"/>
  <c r="BK224" i="6" s="1"/>
  <c r="L15" i="6"/>
  <c r="BK214" i="6" s="1"/>
  <c r="U13" i="6"/>
  <c r="BT212" i="6" s="1"/>
  <c r="U23" i="6"/>
  <c r="BT222" i="6" s="1"/>
  <c r="U33" i="6"/>
  <c r="BT232" i="6" s="1"/>
  <c r="U42" i="6"/>
  <c r="BT241" i="6" s="1"/>
  <c r="Z9" i="17"/>
  <c r="Z501" i="17" s="1"/>
  <c r="Z23" i="17"/>
  <c r="Z515" i="17" s="1"/>
  <c r="Y34" i="18"/>
  <c r="Z527" i="18" s="1"/>
  <c r="Y26" i="18"/>
  <c r="Z519" i="18" s="1"/>
  <c r="S9" i="22"/>
  <c r="T501" i="22" s="1"/>
  <c r="S12" i="22"/>
  <c r="T504" i="22" s="1"/>
  <c r="S22" i="22"/>
  <c r="T514" i="22" s="1"/>
  <c r="G43" i="6"/>
  <c r="H535" i="6" s="1"/>
  <c r="R43" i="6"/>
  <c r="Q535" i="6" s="1"/>
  <c r="V43" i="6"/>
  <c r="S535" i="6" s="1"/>
  <c r="U14" i="6"/>
  <c r="BT213" i="6" s="1"/>
  <c r="E43" i="6"/>
  <c r="F535" i="6" s="1"/>
  <c r="Z43" i="6"/>
  <c r="W535" i="6" s="1"/>
  <c r="W18" i="23"/>
  <c r="U18" i="6"/>
  <c r="BT217" i="6" s="1"/>
  <c r="Y9" i="19"/>
  <c r="Z501" i="19" s="1"/>
  <c r="L39" i="6"/>
  <c r="BK238" i="6" s="1"/>
  <c r="U19" i="6"/>
  <c r="BT218" i="6" s="1"/>
  <c r="F25" i="12"/>
  <c r="F516" i="12" s="1"/>
  <c r="Z17" i="17"/>
  <c r="Z509" i="17" s="1"/>
  <c r="L39" i="19"/>
  <c r="BK238" i="19" s="1"/>
  <c r="Y36" i="19"/>
  <c r="Z528" i="19" s="1"/>
  <c r="Y28" i="19"/>
  <c r="Z520" i="19" s="1"/>
  <c r="Y17" i="19"/>
  <c r="Z509" i="19" s="1"/>
  <c r="G7" i="21"/>
  <c r="H501" i="21" s="1"/>
  <c r="S15" i="22"/>
  <c r="T507" i="22" s="1"/>
  <c r="Y17" i="25"/>
  <c r="Z509" i="25" s="1"/>
  <c r="Y21" i="25"/>
  <c r="Z513" i="25" s="1"/>
  <c r="D43" i="6"/>
  <c r="E535" i="6" s="1"/>
  <c r="O43" i="6"/>
  <c r="N535" i="6" s="1"/>
  <c r="W43" i="6"/>
  <c r="T535" i="6" s="1"/>
  <c r="X18" i="25"/>
  <c r="AE15" i="20"/>
  <c r="AF508" i="20" s="1"/>
  <c r="U24" i="6"/>
  <c r="BT223" i="6" s="1"/>
  <c r="AA43" i="6"/>
  <c r="X535" i="6" s="1"/>
  <c r="U15" i="6"/>
  <c r="BT214" i="6" s="1"/>
  <c r="M43" i="6"/>
  <c r="L535" i="6" s="1"/>
  <c r="U38" i="6"/>
  <c r="BT237" i="6" s="1"/>
  <c r="G25" i="12"/>
  <c r="G516" i="12" s="1"/>
  <c r="AE8" i="20"/>
  <c r="AF501" i="20" s="1"/>
  <c r="E19" i="21"/>
  <c r="F513" i="21" s="1"/>
  <c r="W25" i="25"/>
  <c r="AM18" i="23"/>
  <c r="U9" i="6"/>
  <c r="BT208" i="6" s="1"/>
  <c r="U10" i="6"/>
  <c r="BT209" i="6" s="1"/>
  <c r="U20" i="6"/>
  <c r="BT219" i="6" s="1"/>
  <c r="U30" i="6"/>
  <c r="BT229" i="6" s="1"/>
  <c r="U40" i="6"/>
  <c r="BT239" i="6" s="1"/>
  <c r="K39" i="19"/>
  <c r="BJ238" i="19" s="1"/>
  <c r="S14" i="22"/>
  <c r="T506" i="22" s="1"/>
  <c r="Y9" i="25"/>
  <c r="Z501" i="25" s="1"/>
  <c r="Y16" i="25"/>
  <c r="Z508" i="25" s="1"/>
  <c r="I43" i="6"/>
  <c r="P43" i="6"/>
  <c r="O535" i="6" s="1"/>
  <c r="AE13" i="20"/>
  <c r="AF506" i="20" s="1"/>
  <c r="AE14" i="20"/>
  <c r="AF507" i="20" s="1"/>
  <c r="L14" i="6"/>
  <c r="BK213" i="6" s="1"/>
  <c r="U34" i="6"/>
  <c r="BT233" i="6" s="1"/>
  <c r="L33" i="6"/>
  <c r="BK232" i="6" s="1"/>
  <c r="U25" i="6"/>
  <c r="BT224" i="6" s="1"/>
  <c r="U46" i="6"/>
  <c r="BT245" i="6" s="1"/>
  <c r="L41" i="6"/>
  <c r="BK240" i="6" s="1"/>
  <c r="U16" i="6"/>
  <c r="BT215" i="6" s="1"/>
  <c r="U37" i="6"/>
  <c r="BT236" i="6" s="1"/>
  <c r="S20" i="22"/>
  <c r="T512" i="22" s="1"/>
  <c r="Y43" i="6"/>
  <c r="V535" i="6" s="1"/>
  <c r="U28" i="6"/>
  <c r="BT227" i="6" s="1"/>
  <c r="Y29" i="19"/>
  <c r="Z521" i="19" s="1"/>
  <c r="N43" i="6"/>
  <c r="M535" i="6" s="1"/>
  <c r="X43" i="6"/>
  <c r="U535" i="6" s="1"/>
  <c r="AI18" i="23"/>
  <c r="U29" i="6"/>
  <c r="BT228" i="6" s="1"/>
  <c r="U21" i="6"/>
  <c r="BT220" i="6" s="1"/>
  <c r="U31" i="6"/>
  <c r="BT230" i="6" s="1"/>
  <c r="U41" i="6"/>
  <c r="BT240" i="6" s="1"/>
  <c r="Z15" i="17"/>
  <c r="Z507" i="17" s="1"/>
  <c r="D19" i="21"/>
  <c r="E513" i="21" s="1"/>
  <c r="S13" i="22"/>
  <c r="T505" i="22" s="1"/>
  <c r="S23" i="22"/>
  <c r="T515" i="22" s="1"/>
  <c r="H25" i="25"/>
  <c r="H43" i="6"/>
  <c r="I535" i="6" s="1"/>
  <c r="Q43" i="6"/>
  <c r="P535" i="6" s="1"/>
  <c r="N29" i="22"/>
  <c r="AE12" i="20"/>
  <c r="AF505" i="20" s="1"/>
  <c r="AE11" i="20"/>
  <c r="AF504" i="20" s="1"/>
  <c r="BL247" i="8"/>
  <c r="AF49" i="6"/>
  <c r="CE248" i="6" s="1"/>
  <c r="BL243" i="8"/>
  <c r="AF45" i="6"/>
  <c r="CE244" i="6" s="1"/>
  <c r="BL237" i="8"/>
  <c r="AF39" i="6"/>
  <c r="CE238" i="6" s="1"/>
  <c r="BL232" i="8"/>
  <c r="AF34" i="6"/>
  <c r="CE233" i="6" s="1"/>
  <c r="BL227" i="8"/>
  <c r="AF29" i="6"/>
  <c r="CE228" i="6" s="1"/>
  <c r="BL222" i="8"/>
  <c r="AF24" i="6"/>
  <c r="CE223" i="6" s="1"/>
  <c r="BL217" i="8"/>
  <c r="AF19" i="6"/>
  <c r="CE218" i="6" s="1"/>
  <c r="BL212" i="8"/>
  <c r="AF14" i="6"/>
  <c r="CE213" i="6" s="1"/>
  <c r="BH245" i="8"/>
  <c r="J17" i="15"/>
  <c r="BI216" i="15" s="1"/>
  <c r="J21" i="14"/>
  <c r="BI220" i="14" s="1"/>
  <c r="BJ209" i="8"/>
  <c r="T11" i="6"/>
  <c r="BS210" i="6" s="1"/>
  <c r="BI220" i="8"/>
  <c r="K22" i="6"/>
  <c r="BJ221" i="6" s="1"/>
  <c r="BJ225" i="8"/>
  <c r="T27" i="6"/>
  <c r="BS226" i="6" s="1"/>
  <c r="BK233" i="8"/>
  <c r="AC35" i="6"/>
  <c r="CB234" i="6" s="1"/>
  <c r="BG242" i="8"/>
  <c r="H13" i="11"/>
  <c r="BG212" i="11" s="1"/>
  <c r="H26" i="12"/>
  <c r="BG225" i="12" s="1"/>
  <c r="H24" i="3"/>
  <c r="BL248" i="8"/>
  <c r="AF50" i="6"/>
  <c r="CE249" i="6" s="1"/>
  <c r="BL244" i="8"/>
  <c r="AF46" i="6"/>
  <c r="CE245" i="6" s="1"/>
  <c r="BL238" i="8"/>
  <c r="AF40" i="6"/>
  <c r="CE239" i="6" s="1"/>
  <c r="BL234" i="8"/>
  <c r="AF36" i="6"/>
  <c r="CE235" i="6" s="1"/>
  <c r="BL228" i="8"/>
  <c r="AF30" i="6"/>
  <c r="CE229" i="6" s="1"/>
  <c r="BL223" i="8"/>
  <c r="AF25" i="6"/>
  <c r="CE224" i="6" s="1"/>
  <c r="BL218" i="8"/>
  <c r="AF20" i="6"/>
  <c r="CE219" i="6" s="1"/>
  <c r="BL213" i="8"/>
  <c r="AF15" i="6"/>
  <c r="CE214" i="6" s="1"/>
  <c r="BL208" i="8"/>
  <c r="AF10" i="6"/>
  <c r="CE209" i="6" s="1"/>
  <c r="BH246" i="8"/>
  <c r="N17" i="15"/>
  <c r="BM216" i="15" s="1"/>
  <c r="N21" i="14"/>
  <c r="BM220" i="14" s="1"/>
  <c r="BK209" i="8"/>
  <c r="AC11" i="6"/>
  <c r="CB210" i="6" s="1"/>
  <c r="BK215" i="8"/>
  <c r="AC17" i="6"/>
  <c r="CB216" i="6" s="1"/>
  <c r="BI225" i="8"/>
  <c r="K27" i="6"/>
  <c r="BJ226" i="6" s="1"/>
  <c r="BJ233" i="8"/>
  <c r="T35" i="6"/>
  <c r="BS234" i="6" s="1"/>
  <c r="BF242" i="8"/>
  <c r="G24" i="3"/>
  <c r="BF223" i="3" s="1"/>
  <c r="G13" i="11"/>
  <c r="BF212" i="11" s="1"/>
  <c r="G26" i="12"/>
  <c r="BF225" i="12" s="1"/>
  <c r="L14" i="11"/>
  <c r="BK213" i="11" s="1"/>
  <c r="BK242" i="8"/>
  <c r="AC44" i="6"/>
  <c r="L13" i="11"/>
  <c r="BK212" i="11" s="1"/>
  <c r="L24" i="3"/>
  <c r="BK223" i="3" s="1"/>
  <c r="L26" i="12"/>
  <c r="BK225" i="12" s="1"/>
  <c r="BL207" i="8"/>
  <c r="AF9" i="6"/>
  <c r="CE208" i="6" s="1"/>
  <c r="BL246" i="8"/>
  <c r="AF48" i="6"/>
  <c r="CE247" i="6" s="1"/>
  <c r="O17" i="15"/>
  <c r="BN216" i="15" s="1"/>
  <c r="O21" i="14"/>
  <c r="BN220" i="14" s="1"/>
  <c r="BL240" i="8"/>
  <c r="AF42" i="6"/>
  <c r="CE241" i="6" s="1"/>
  <c r="BL236" i="8"/>
  <c r="AF38" i="6"/>
  <c r="CE237" i="6" s="1"/>
  <c r="BL231" i="8"/>
  <c r="AF33" i="6"/>
  <c r="CE232" i="6" s="1"/>
  <c r="BL226" i="8"/>
  <c r="AF28" i="6"/>
  <c r="CE227" i="6" s="1"/>
  <c r="BL221" i="8"/>
  <c r="AF23" i="6"/>
  <c r="CE222" i="6" s="1"/>
  <c r="BL216" i="8"/>
  <c r="AF18" i="6"/>
  <c r="CE217" i="6" s="1"/>
  <c r="BL211" i="8"/>
  <c r="AF13" i="6"/>
  <c r="CE212" i="6" s="1"/>
  <c r="BI215" i="8"/>
  <c r="K17" i="6"/>
  <c r="BJ216" i="6" s="1"/>
  <c r="BJ220" i="8"/>
  <c r="T22" i="6"/>
  <c r="BS221" i="6" s="1"/>
  <c r="BK225" i="8"/>
  <c r="AC27" i="6"/>
  <c r="CB226" i="6" s="1"/>
  <c r="BC242" i="8"/>
  <c r="D17" i="15"/>
  <c r="BC216" i="15" s="1"/>
  <c r="D21" i="14"/>
  <c r="BC220" i="14" s="1"/>
  <c r="D13" i="11"/>
  <c r="BC212" i="11" s="1"/>
  <c r="D26" i="12"/>
  <c r="BC225" i="12" s="1"/>
  <c r="D24" i="3"/>
  <c r="BC223" i="3" s="1"/>
  <c r="BI242" i="8"/>
  <c r="K44" i="6"/>
  <c r="J24" i="3"/>
  <c r="BI223" i="3" s="1"/>
  <c r="J13" i="11"/>
  <c r="BI212" i="11" s="1"/>
  <c r="J26" i="12"/>
  <c r="BI225" i="12" s="1"/>
  <c r="BL249" i="8"/>
  <c r="AF51" i="6"/>
  <c r="CE250" i="6" s="1"/>
  <c r="BL245" i="8"/>
  <c r="AF47" i="6"/>
  <c r="CE246" i="6" s="1"/>
  <c r="K17" i="15"/>
  <c r="BJ216" i="15" s="1"/>
  <c r="K21" i="14"/>
  <c r="BJ220" i="14" s="1"/>
  <c r="BL239" i="8"/>
  <c r="AF41" i="6"/>
  <c r="CE240" i="6" s="1"/>
  <c r="BL235" i="8"/>
  <c r="AF37" i="6"/>
  <c r="CE236" i="6" s="1"/>
  <c r="BL229" i="8"/>
  <c r="AF31" i="6"/>
  <c r="CE230" i="6" s="1"/>
  <c r="BL224" i="8"/>
  <c r="AF26" i="6"/>
  <c r="CE225" i="6" s="1"/>
  <c r="BL219" i="8"/>
  <c r="AF21" i="6"/>
  <c r="CE220" i="6" s="1"/>
  <c r="BL214" i="8"/>
  <c r="AF16" i="6"/>
  <c r="CE215" i="6" s="1"/>
  <c r="BL210" i="8"/>
  <c r="AF12" i="6"/>
  <c r="CE211" i="6" s="1"/>
  <c r="BI209" i="8"/>
  <c r="K11" i="6"/>
  <c r="BJ210" i="6" s="1"/>
  <c r="BJ215" i="8"/>
  <c r="T17" i="6"/>
  <c r="BS216" i="6" s="1"/>
  <c r="BK220" i="8"/>
  <c r="AC22" i="6"/>
  <c r="CB221" i="6" s="1"/>
  <c r="BI233" i="8"/>
  <c r="K35" i="6"/>
  <c r="BJ234" i="6" s="1"/>
  <c r="BE242" i="8"/>
  <c r="F24" i="3"/>
  <c r="BE223" i="3" s="1"/>
  <c r="F13" i="11"/>
  <c r="BE212" i="11" s="1"/>
  <c r="F26" i="12"/>
  <c r="BE225" i="12" s="1"/>
  <c r="BJ242" i="8"/>
  <c r="T44" i="6"/>
  <c r="K24" i="3"/>
  <c r="BJ223" i="3" s="1"/>
  <c r="K26" i="12"/>
  <c r="BJ225" i="12" s="1"/>
  <c r="K13" i="11"/>
  <c r="BJ212" i="11" s="1"/>
  <c r="H10" i="1"/>
  <c r="H501" i="1" s="1"/>
  <c r="H11" i="1"/>
  <c r="H502" i="1" s="1"/>
  <c r="L25" i="1"/>
  <c r="L516" i="1" s="1"/>
  <c r="L14" i="1"/>
  <c r="L505" i="1" s="1"/>
  <c r="H17" i="1"/>
  <c r="L12" i="1"/>
  <c r="L503" i="1" s="1"/>
  <c r="H13" i="1"/>
  <c r="H504" i="1" s="1"/>
  <c r="L10" i="1"/>
  <c r="L501" i="1" s="1"/>
  <c r="H14" i="1"/>
  <c r="H505" i="1" s="1"/>
  <c r="H12" i="1"/>
  <c r="H503" i="1" s="1"/>
  <c r="L17" i="1"/>
  <c r="L508" i="1" s="1"/>
  <c r="H25" i="1"/>
  <c r="H516" i="1" s="1"/>
  <c r="L11" i="1"/>
  <c r="L502" i="1" s="1"/>
  <c r="L13" i="1"/>
  <c r="L504" i="1" s="1"/>
  <c r="E39" i="19"/>
  <c r="BD238" i="19" s="1"/>
  <c r="AD25" i="5"/>
  <c r="CC224" i="5" s="1"/>
  <c r="AD26" i="5"/>
  <c r="CC225" i="5" s="1"/>
  <c r="AD11" i="5"/>
  <c r="CC210" i="5" s="1"/>
  <c r="AD22" i="5"/>
  <c r="CC221" i="5" s="1"/>
  <c r="AD12" i="5"/>
  <c r="CC211" i="5" s="1"/>
  <c r="AD15" i="5"/>
  <c r="CC214" i="5" s="1"/>
  <c r="AD16" i="5"/>
  <c r="CC215" i="5" s="1"/>
  <c r="AD17" i="5"/>
  <c r="CC216" i="5" s="1"/>
  <c r="AD27" i="5"/>
  <c r="CC226" i="5" s="1"/>
  <c r="AD24" i="5"/>
  <c r="CC223" i="5" s="1"/>
  <c r="AD19" i="5"/>
  <c r="CC218" i="5" s="1"/>
  <c r="AD28" i="5"/>
  <c r="CC227" i="5" s="1"/>
  <c r="AD23" i="5"/>
  <c r="CC222" i="5" s="1"/>
  <c r="AD14" i="5"/>
  <c r="CC213" i="5" s="1"/>
  <c r="AD10" i="5"/>
  <c r="CC209" i="5" s="1"/>
  <c r="AD20" i="5"/>
  <c r="CC219" i="5" s="1"/>
  <c r="AD29" i="6"/>
  <c r="CC228" i="6" s="1"/>
  <c r="AD48" i="6"/>
  <c r="CC247" i="6" s="1"/>
  <c r="AD37" i="6"/>
  <c r="CC236" i="6" s="1"/>
  <c r="AD36" i="6"/>
  <c r="CC235" i="6" s="1"/>
  <c r="AD45" i="6"/>
  <c r="CC244" i="6" s="1"/>
  <c r="AD34" i="6"/>
  <c r="CC233" i="6" s="1"/>
  <c r="AD24" i="6"/>
  <c r="CC223" i="6" s="1"/>
  <c r="AD14" i="6"/>
  <c r="CC213" i="6" s="1"/>
  <c r="CC218" i="6"/>
  <c r="AD28" i="6"/>
  <c r="CC227" i="6" s="1"/>
  <c r="AD26" i="6"/>
  <c r="CC225" i="6" s="1"/>
  <c r="AD15" i="6"/>
  <c r="CC214" i="6" s="1"/>
  <c r="AD42" i="6"/>
  <c r="CC241" i="6" s="1"/>
  <c r="AD33" i="6"/>
  <c r="CC232" i="6" s="1"/>
  <c r="AD23" i="6"/>
  <c r="CC222" i="6" s="1"/>
  <c r="AD13" i="6"/>
  <c r="CC212" i="6" s="1"/>
  <c r="AD49" i="6"/>
  <c r="CC248" i="6" s="1"/>
  <c r="AD51" i="6"/>
  <c r="CC250" i="6" s="1"/>
  <c r="AD18" i="6"/>
  <c r="CC217" i="6" s="1"/>
  <c r="AD46" i="6"/>
  <c r="CC245" i="6" s="1"/>
  <c r="AD9" i="6"/>
  <c r="CC208" i="6" s="1"/>
  <c r="AD41" i="6"/>
  <c r="CC240" i="6" s="1"/>
  <c r="AD31" i="6"/>
  <c r="CC230" i="6" s="1"/>
  <c r="AD21" i="6"/>
  <c r="CC220" i="6" s="1"/>
  <c r="AD12" i="6"/>
  <c r="CC211" i="6" s="1"/>
  <c r="AD39" i="6"/>
  <c r="CC238" i="6" s="1"/>
  <c r="AD38" i="6"/>
  <c r="CC237" i="6" s="1"/>
  <c r="AD47" i="6"/>
  <c r="CC246" i="6" s="1"/>
  <c r="AD16" i="6"/>
  <c r="CC215" i="6" s="1"/>
  <c r="AD25" i="6"/>
  <c r="CC224" i="6" s="1"/>
  <c r="AD50" i="6"/>
  <c r="CC249" i="6" s="1"/>
  <c r="AD40" i="6"/>
  <c r="CC239" i="6" s="1"/>
  <c r="AD30" i="6"/>
  <c r="CC229" i="6" s="1"/>
  <c r="AD20" i="6"/>
  <c r="CC219" i="6" s="1"/>
  <c r="AD10" i="6"/>
  <c r="CC209" i="6" s="1"/>
  <c r="L9" i="6"/>
  <c r="BK208" i="6" s="1"/>
  <c r="L51" i="6"/>
  <c r="BK250" i="6" s="1"/>
  <c r="L21" i="6"/>
  <c r="BK220" i="6" s="1"/>
  <c r="L50" i="6"/>
  <c r="BK249" i="6" s="1"/>
  <c r="L10" i="6"/>
  <c r="BK209" i="6" s="1"/>
  <c r="L47" i="6"/>
  <c r="BK246" i="6" s="1"/>
  <c r="L46" i="6"/>
  <c r="BK245" i="6" s="1"/>
  <c r="L45" i="6"/>
  <c r="BK244" i="6" s="1"/>
  <c r="L34" i="6"/>
  <c r="BK233" i="6" s="1"/>
  <c r="L24" i="6"/>
  <c r="BK223" i="6" s="1"/>
  <c r="L23" i="6"/>
  <c r="BK222" i="6" s="1"/>
  <c r="L40" i="6"/>
  <c r="BK239" i="6" s="1"/>
  <c r="L29" i="6"/>
  <c r="BK228" i="6" s="1"/>
  <c r="L48" i="6"/>
  <c r="BK247" i="6" s="1"/>
  <c r="L38" i="6"/>
  <c r="BK237" i="6" s="1"/>
  <c r="L28" i="6"/>
  <c r="BK227" i="6" s="1"/>
  <c r="L18" i="6"/>
  <c r="BK217" i="6" s="1"/>
  <c r="L31" i="6"/>
  <c r="BK230" i="6" s="1"/>
  <c r="L30" i="6"/>
  <c r="BK229" i="6" s="1"/>
  <c r="L49" i="6"/>
  <c r="BK248" i="6" s="1"/>
  <c r="L19" i="6"/>
  <c r="BK218" i="6" s="1"/>
  <c r="L37" i="6"/>
  <c r="BK236" i="6" s="1"/>
  <c r="L26" i="6"/>
  <c r="BK225" i="6" s="1"/>
  <c r="L16" i="6"/>
  <c r="BK215" i="6" s="1"/>
  <c r="L42" i="6"/>
  <c r="BK241" i="6" s="1"/>
  <c r="L13" i="6"/>
  <c r="BK212" i="6" s="1"/>
  <c r="L12" i="6"/>
  <c r="BK211" i="6" s="1"/>
  <c r="L20" i="6"/>
  <c r="BK219" i="6" s="1"/>
  <c r="R16" i="15"/>
  <c r="P509" i="15" s="1"/>
  <c r="J18" i="15"/>
  <c r="BI217" i="15" s="1"/>
  <c r="K18" i="15"/>
  <c r="BJ217" i="15" s="1"/>
  <c r="J13" i="5"/>
  <c r="K505" i="5" s="1"/>
  <c r="S9" i="5"/>
  <c r="R501" i="5" s="1"/>
  <c r="S27" i="6"/>
  <c r="R519" i="6" s="1"/>
  <c r="J27" i="6"/>
  <c r="K519" i="6" s="1"/>
  <c r="AB22" i="6"/>
  <c r="Y514" i="6" s="1"/>
  <c r="AB17" i="6"/>
  <c r="Y509" i="6" s="1"/>
  <c r="S17" i="6"/>
  <c r="R509" i="6" s="1"/>
  <c r="O18" i="15"/>
  <c r="BN217" i="15" s="1"/>
  <c r="M25" i="10"/>
  <c r="BL224" i="10" s="1"/>
  <c r="M15" i="10"/>
  <c r="BL214" i="10" s="1"/>
  <c r="O22" i="14"/>
  <c r="BN221" i="14" s="1"/>
  <c r="I25" i="10"/>
  <c r="BH224" i="10" s="1"/>
  <c r="I15" i="10"/>
  <c r="BH214" i="10" s="1"/>
  <c r="N18" i="15"/>
  <c r="BM217" i="15" s="1"/>
  <c r="K22" i="14"/>
  <c r="BJ221" i="14" s="1"/>
  <c r="J22" i="14"/>
  <c r="H42" i="8"/>
  <c r="H535" i="8" s="1"/>
  <c r="H14" i="11"/>
  <c r="BG213" i="11" s="1"/>
  <c r="D22" i="14"/>
  <c r="D18" i="15"/>
  <c r="K42" i="8"/>
  <c r="K535" i="8" s="1"/>
  <c r="K14" i="11"/>
  <c r="BJ213" i="11" s="1"/>
  <c r="J14" i="11"/>
  <c r="BI213" i="11" s="1"/>
  <c r="G42" i="8"/>
  <c r="G535" i="8" s="1"/>
  <c r="G14" i="11"/>
  <c r="BF213" i="11" s="1"/>
  <c r="F14" i="11"/>
  <c r="F42" i="8"/>
  <c r="F535" i="8" s="1"/>
  <c r="L22" i="29"/>
  <c r="BK221" i="29" s="1"/>
  <c r="L23" i="29"/>
  <c r="BK222" i="29" s="1"/>
  <c r="K22" i="29"/>
  <c r="BJ221" i="29" s="1"/>
  <c r="K23" i="29"/>
  <c r="BJ222" i="29" s="1"/>
  <c r="J22" i="29"/>
  <c r="BI221" i="29" s="1"/>
  <c r="J23" i="29"/>
  <c r="BI222" i="29" s="1"/>
  <c r="M34" i="8"/>
  <c r="M527" i="8" s="1"/>
  <c r="H22" i="29"/>
  <c r="BG221" i="29" s="1"/>
  <c r="H23" i="29"/>
  <c r="BG222" i="29" s="1"/>
  <c r="G22" i="29"/>
  <c r="BF221" i="29" s="1"/>
  <c r="G23" i="29"/>
  <c r="F23" i="29"/>
  <c r="BE222" i="29" s="1"/>
  <c r="D23" i="29"/>
  <c r="I16" i="8"/>
  <c r="I509" i="8" s="1"/>
  <c r="X23" i="27"/>
  <c r="Q23" i="27"/>
  <c r="J23" i="27"/>
  <c r="J24" i="27" s="1"/>
  <c r="BI223" i="27" s="1"/>
  <c r="G16" i="10"/>
  <c r="BF215" i="10" s="1"/>
  <c r="K16" i="10"/>
  <c r="BJ215" i="10" s="1"/>
  <c r="H16" i="10"/>
  <c r="BG215" i="10" s="1"/>
  <c r="J16" i="10"/>
  <c r="BI215" i="10" s="1"/>
  <c r="L16" i="10"/>
  <c r="BK215" i="10" s="1"/>
  <c r="H26" i="10"/>
  <c r="BG225" i="10" s="1"/>
  <c r="K26" i="10"/>
  <c r="BJ225" i="10" s="1"/>
  <c r="L26" i="10"/>
  <c r="BK225" i="10" s="1"/>
  <c r="J26" i="10"/>
  <c r="BI225" i="10" s="1"/>
  <c r="Y23" i="25"/>
  <c r="Z515" i="25" s="1"/>
  <c r="Y13" i="25"/>
  <c r="Z505" i="25" s="1"/>
  <c r="Y10" i="25"/>
  <c r="Z502" i="25" s="1"/>
  <c r="O25" i="25"/>
  <c r="I25" i="25"/>
  <c r="Y22" i="25"/>
  <c r="Z514" i="25" s="1"/>
  <c r="Y12" i="25"/>
  <c r="Z504" i="25" s="1"/>
  <c r="T25" i="25"/>
  <c r="X14" i="25"/>
  <c r="N25" i="25"/>
  <c r="E25" i="25"/>
  <c r="Y19" i="25"/>
  <c r="Z511" i="25" s="1"/>
  <c r="J18" i="25"/>
  <c r="J29" i="25" s="1"/>
  <c r="BI228" i="25" s="1"/>
  <c r="Q18" i="25"/>
  <c r="M25" i="25"/>
  <c r="O14" i="26"/>
  <c r="P507" i="26" s="1"/>
  <c r="K17" i="26"/>
  <c r="L510" i="26" s="1"/>
  <c r="O15" i="26"/>
  <c r="P508" i="26" s="1"/>
  <c r="O11" i="26"/>
  <c r="P504" i="26" s="1"/>
  <c r="O13" i="26"/>
  <c r="P506" i="26" s="1"/>
  <c r="AS19" i="24"/>
  <c r="AS20" i="24" s="1"/>
  <c r="CR219" i="24" s="1"/>
  <c r="AA19" i="24"/>
  <c r="K19" i="24"/>
  <c r="O19" i="24"/>
  <c r="W19" i="24"/>
  <c r="AT19" i="24"/>
  <c r="AT20" i="24" s="1"/>
  <c r="CS219" i="24" s="1"/>
  <c r="AR19" i="24"/>
  <c r="AR20" i="24" s="1"/>
  <c r="CQ219" i="24" s="1"/>
  <c r="AA18" i="23"/>
  <c r="AS18" i="23"/>
  <c r="AW18" i="23" s="1"/>
  <c r="CV217" i="23" s="1"/>
  <c r="AR18" i="23"/>
  <c r="AV18" i="23" s="1"/>
  <c r="CU217" i="23" s="1"/>
  <c r="AT18" i="23"/>
  <c r="AX18" i="23" s="1"/>
  <c r="CW217" i="23" s="1"/>
  <c r="AE18" i="23"/>
  <c r="O12" i="26"/>
  <c r="P505" i="26" s="1"/>
  <c r="O16" i="26"/>
  <c r="P509" i="26" s="1"/>
  <c r="L17" i="26"/>
  <c r="M510" i="26" s="1"/>
  <c r="G17" i="26"/>
  <c r="H510" i="26" s="1"/>
  <c r="N17" i="26"/>
  <c r="O510" i="26" s="1"/>
  <c r="M17" i="26"/>
  <c r="N510" i="26" s="1"/>
  <c r="S16" i="22"/>
  <c r="T508" i="22" s="1"/>
  <c r="S18" i="22"/>
  <c r="T510" i="22" s="1"/>
  <c r="S25" i="22"/>
  <c r="T517" i="22" s="1"/>
  <c r="S17" i="22"/>
  <c r="T509" i="22" s="1"/>
  <c r="S11" i="22"/>
  <c r="T503" i="22" s="1"/>
  <c r="G16" i="21"/>
  <c r="H510" i="21" s="1"/>
  <c r="G10" i="21"/>
  <c r="H504" i="21" s="1"/>
  <c r="G13" i="21"/>
  <c r="H507" i="21" s="1"/>
  <c r="AD17" i="20"/>
  <c r="X23" i="19"/>
  <c r="Y515" i="19" s="1"/>
  <c r="X31" i="19"/>
  <c r="Y523" i="19" s="1"/>
  <c r="T37" i="19"/>
  <c r="U529" i="19" s="1"/>
  <c r="J31" i="19"/>
  <c r="K523" i="19" s="1"/>
  <c r="Y30" i="19"/>
  <c r="Z522" i="19" s="1"/>
  <c r="Y21" i="19"/>
  <c r="Z513" i="19" s="1"/>
  <c r="Y10" i="19"/>
  <c r="Z502" i="19" s="1"/>
  <c r="U37" i="19"/>
  <c r="V529" i="19" s="1"/>
  <c r="O37" i="19"/>
  <c r="P529" i="19" s="1"/>
  <c r="F37" i="19"/>
  <c r="G529" i="19" s="1"/>
  <c r="F38" i="18"/>
  <c r="Y36" i="18"/>
  <c r="Z529" i="18" s="1"/>
  <c r="Y20" i="18"/>
  <c r="Z513" i="18" s="1"/>
  <c r="Y32" i="18"/>
  <c r="Z525" i="18" s="1"/>
  <c r="N38" i="18"/>
  <c r="E38" i="18"/>
  <c r="Y35" i="18"/>
  <c r="Z528" i="18" s="1"/>
  <c r="Y27" i="18"/>
  <c r="Z520" i="18" s="1"/>
  <c r="Y19" i="18"/>
  <c r="Z512" i="18" s="1"/>
  <c r="Y10" i="18"/>
  <c r="Z503" i="18" s="1"/>
  <c r="X18" i="18"/>
  <c r="O38" i="18"/>
  <c r="Q18" i="18"/>
  <c r="Y28" i="18"/>
  <c r="Z521" i="18" s="1"/>
  <c r="Y11" i="18"/>
  <c r="Z504" i="18" s="1"/>
  <c r="X9" i="18"/>
  <c r="Z14" i="17"/>
  <c r="Z506" i="17" s="1"/>
  <c r="Z13" i="17"/>
  <c r="Z505" i="17" s="1"/>
  <c r="Z32" i="17"/>
  <c r="Z524" i="17" s="1"/>
  <c r="Z31" i="17"/>
  <c r="Z523" i="17" s="1"/>
  <c r="Z21" i="17"/>
  <c r="Z513" i="17" s="1"/>
  <c r="Z30" i="17"/>
  <c r="Z522" i="17" s="1"/>
  <c r="Z20" i="17"/>
  <c r="Z512" i="17" s="1"/>
  <c r="Z11" i="17"/>
  <c r="Z503" i="17" s="1"/>
  <c r="S9" i="16"/>
  <c r="T501" i="16" s="1"/>
  <c r="S12" i="16"/>
  <c r="T504" i="16" s="1"/>
  <c r="J25" i="12"/>
  <c r="J516" i="12" s="1"/>
  <c r="L25" i="12"/>
  <c r="L516" i="12" s="1"/>
  <c r="H25" i="12"/>
  <c r="H516" i="12" s="1"/>
  <c r="I15" i="12"/>
  <c r="I28" i="12" s="1"/>
  <c r="M12" i="11"/>
  <c r="M505" i="11" s="1"/>
  <c r="L42" i="8"/>
  <c r="L535" i="8" s="1"/>
  <c r="M14" i="3"/>
  <c r="D42" i="8"/>
  <c r="E535" i="8" s="1"/>
  <c r="E31" i="1"/>
  <c r="K31" i="1"/>
  <c r="AT210" i="1" s="1"/>
  <c r="F31" i="1"/>
  <c r="AO210" i="1" s="1"/>
  <c r="I31" i="1"/>
  <c r="AR210" i="1" s="1"/>
  <c r="AE14" i="5"/>
  <c r="Z506" i="5" s="1"/>
  <c r="AE15" i="5"/>
  <c r="Z507" i="5" s="1"/>
  <c r="AE10" i="5"/>
  <c r="Z502" i="5" s="1"/>
  <c r="AE20" i="5"/>
  <c r="Z512" i="5" s="1"/>
  <c r="AE28" i="5"/>
  <c r="Z520" i="5" s="1"/>
  <c r="AE11" i="5"/>
  <c r="Z503" i="5" s="1"/>
  <c r="AE25" i="6"/>
  <c r="Z517" i="6" s="1"/>
  <c r="AE13" i="6"/>
  <c r="Z505" i="6" s="1"/>
  <c r="AE33" i="6"/>
  <c r="Z525" i="6" s="1"/>
  <c r="AE14" i="6"/>
  <c r="Z506" i="6" s="1"/>
  <c r="AE29" i="6"/>
  <c r="Z521" i="6" s="1"/>
  <c r="AE41" i="6"/>
  <c r="Z533" i="6" s="1"/>
  <c r="AE26" i="6"/>
  <c r="Z518" i="6" s="1"/>
  <c r="AE16" i="6"/>
  <c r="Z508" i="6" s="1"/>
  <c r="AE36" i="6"/>
  <c r="Z528" i="6" s="1"/>
  <c r="AE39" i="6"/>
  <c r="Z531" i="6" s="1"/>
  <c r="S22" i="6"/>
  <c r="R514" i="6" s="1"/>
  <c r="J35" i="6"/>
  <c r="K527" i="6" s="1"/>
  <c r="AB44" i="6"/>
  <c r="J22" i="6"/>
  <c r="K514" i="6" s="1"/>
  <c r="J11" i="6"/>
  <c r="K503" i="6" s="1"/>
  <c r="AE15" i="6"/>
  <c r="Z507" i="6" s="1"/>
  <c r="AE34" i="6"/>
  <c r="Z526" i="6" s="1"/>
  <c r="K38" i="18"/>
  <c r="AE40" i="6"/>
  <c r="Z532" i="6" s="1"/>
  <c r="Q31" i="19"/>
  <c r="R523" i="19" s="1"/>
  <c r="AE48" i="6"/>
  <c r="Z540" i="6" s="1"/>
  <c r="AE12" i="5"/>
  <c r="Z504" i="5" s="1"/>
  <c r="R37" i="19"/>
  <c r="S529" i="19" s="1"/>
  <c r="X19" i="19"/>
  <c r="Y511" i="19" s="1"/>
  <c r="S44" i="6"/>
  <c r="P16" i="15"/>
  <c r="N509" i="15" s="1"/>
  <c r="S24" i="22"/>
  <c r="T516" i="22" s="1"/>
  <c r="AE46" i="6"/>
  <c r="Z538" i="6" s="1"/>
  <c r="AE22" i="5"/>
  <c r="Z514" i="5" s="1"/>
  <c r="AB17" i="20"/>
  <c r="I24" i="12"/>
  <c r="I38" i="18"/>
  <c r="H38" i="18"/>
  <c r="Y8" i="18"/>
  <c r="Z501" i="18" s="1"/>
  <c r="Y30" i="18"/>
  <c r="Z523" i="18" s="1"/>
  <c r="Y13" i="18"/>
  <c r="Z506" i="18" s="1"/>
  <c r="Y33" i="19"/>
  <c r="Z525" i="19" s="1"/>
  <c r="J14" i="25"/>
  <c r="J28" i="25" s="1"/>
  <c r="BI227" i="25" s="1"/>
  <c r="F25" i="25"/>
  <c r="AE45" i="6"/>
  <c r="Z537" i="6" s="1"/>
  <c r="P38" i="18"/>
  <c r="G38" i="18"/>
  <c r="Y37" i="18"/>
  <c r="Z530" i="18" s="1"/>
  <c r="Y29" i="18"/>
  <c r="Z522" i="18" s="1"/>
  <c r="Y21" i="18"/>
  <c r="Z514" i="18" s="1"/>
  <c r="Y12" i="18"/>
  <c r="Z505" i="18" s="1"/>
  <c r="P37" i="19"/>
  <c r="Q529" i="19" s="1"/>
  <c r="G37" i="19"/>
  <c r="H529" i="19" s="1"/>
  <c r="Y32" i="19"/>
  <c r="Z524" i="19" s="1"/>
  <c r="AB27" i="6"/>
  <c r="Y519" i="6" s="1"/>
  <c r="V38" i="18"/>
  <c r="R10" i="22"/>
  <c r="D25" i="25"/>
  <c r="I14" i="3"/>
  <c r="I507" i="3" s="1"/>
  <c r="Y26" i="17"/>
  <c r="Y518" i="17" s="1"/>
  <c r="AE51" i="6"/>
  <c r="Z543" i="6" s="1"/>
  <c r="N37" i="19"/>
  <c r="O529" i="19" s="1"/>
  <c r="AE24" i="6"/>
  <c r="Z516" i="6" s="1"/>
  <c r="AE49" i="6"/>
  <c r="Z541" i="6" s="1"/>
  <c r="AE31" i="6"/>
  <c r="Z523" i="6" s="1"/>
  <c r="Z18" i="17"/>
  <c r="Z510" i="17" s="1"/>
  <c r="Z28" i="17"/>
  <c r="Z520" i="17" s="1"/>
  <c r="Z27" i="17"/>
  <c r="Z519" i="17" s="1"/>
  <c r="Z16" i="17"/>
  <c r="Z508" i="17" s="1"/>
  <c r="Q9" i="18"/>
  <c r="Y15" i="18"/>
  <c r="Z508" i="18" s="1"/>
  <c r="Q11" i="19"/>
  <c r="R503" i="19" s="1"/>
  <c r="J23" i="19"/>
  <c r="K515" i="19" s="1"/>
  <c r="J9" i="5"/>
  <c r="K501" i="5" s="1"/>
  <c r="G19" i="24"/>
  <c r="J31" i="1"/>
  <c r="AS210" i="1" s="1"/>
  <c r="AE21" i="6"/>
  <c r="Z513" i="6" s="1"/>
  <c r="AE42" i="6"/>
  <c r="Z534" i="6" s="1"/>
  <c r="AB9" i="5"/>
  <c r="Y501" i="5" s="1"/>
  <c r="S11" i="16"/>
  <c r="T503" i="16" s="1"/>
  <c r="S38" i="18"/>
  <c r="V37" i="19"/>
  <c r="W529" i="19" s="1"/>
  <c r="AE19" i="24"/>
  <c r="S17" i="20"/>
  <c r="Z29" i="17"/>
  <c r="Z521" i="17" s="1"/>
  <c r="J18" i="18"/>
  <c r="AE23" i="5"/>
  <c r="Z515" i="5" s="1"/>
  <c r="AA17" i="20"/>
  <c r="M16" i="8"/>
  <c r="M509" i="8" s="1"/>
  <c r="AE38" i="6"/>
  <c r="Z530" i="6" s="1"/>
  <c r="AE19" i="6"/>
  <c r="Z511" i="6" s="1"/>
  <c r="Y31" i="18"/>
  <c r="Z524" i="18" s="1"/>
  <c r="Y23" i="18"/>
  <c r="Z516" i="18" s="1"/>
  <c r="Y14" i="18"/>
  <c r="Z507" i="18" s="1"/>
  <c r="I37" i="19"/>
  <c r="J529" i="19" s="1"/>
  <c r="Y25" i="19"/>
  <c r="Z517" i="19" s="1"/>
  <c r="K22" i="3"/>
  <c r="AB35" i="6"/>
  <c r="Y527" i="6" s="1"/>
  <c r="AE37" i="6"/>
  <c r="Z529" i="6" s="1"/>
  <c r="S10" i="16"/>
  <c r="T502" i="16" s="1"/>
  <c r="R38" i="18"/>
  <c r="W37" i="19"/>
  <c r="X529" i="19" s="1"/>
  <c r="V25" i="25"/>
  <c r="S18" i="23"/>
  <c r="S19" i="24"/>
  <c r="AI19" i="24"/>
  <c r="AQ19" i="24"/>
  <c r="X18" i="5"/>
  <c r="U510" i="5" s="1"/>
  <c r="AE24" i="5"/>
  <c r="Z516" i="5" s="1"/>
  <c r="AE50" i="6"/>
  <c r="Z542" i="6" s="1"/>
  <c r="AE23" i="6"/>
  <c r="Z515" i="6" s="1"/>
  <c r="S13" i="5"/>
  <c r="R505" i="5" s="1"/>
  <c r="W17" i="20"/>
  <c r="AE12" i="6"/>
  <c r="Z504" i="6" s="1"/>
  <c r="AE47" i="6"/>
  <c r="Z539" i="6" s="1"/>
  <c r="AE20" i="6"/>
  <c r="Z512" i="6" s="1"/>
  <c r="I14" i="10"/>
  <c r="AE10" i="6"/>
  <c r="Z502" i="6" s="1"/>
  <c r="AE18" i="6"/>
  <c r="Z510" i="6" s="1"/>
  <c r="M14" i="10"/>
  <c r="J9" i="18"/>
  <c r="Y22" i="18"/>
  <c r="Z515" i="18" s="1"/>
  <c r="H37" i="19"/>
  <c r="I529" i="19" s="1"/>
  <c r="Y24" i="19"/>
  <c r="Z516" i="19" s="1"/>
  <c r="S37" i="19"/>
  <c r="T529" i="19" s="1"/>
  <c r="Q23" i="19"/>
  <c r="R515" i="19" s="1"/>
  <c r="J21" i="5"/>
  <c r="K513" i="5" s="1"/>
  <c r="AE30" i="6"/>
  <c r="Z522" i="6" s="1"/>
  <c r="AE25" i="5"/>
  <c r="Z517" i="5" s="1"/>
  <c r="M23" i="10"/>
  <c r="K17" i="20"/>
  <c r="AB13" i="5"/>
  <c r="Y505" i="5" s="1"/>
  <c r="AM19" i="24"/>
  <c r="S35" i="6"/>
  <c r="R527" i="6" s="1"/>
  <c r="S21" i="5"/>
  <c r="R513" i="5" s="1"/>
  <c r="AE17" i="5"/>
  <c r="Z509" i="5" s="1"/>
  <c r="AE27" i="5"/>
  <c r="Z519" i="5" s="1"/>
  <c r="G18" i="23"/>
  <c r="O18" i="23"/>
  <c r="Q14" i="25"/>
  <c r="AE26" i="5"/>
  <c r="Z518" i="5" s="1"/>
  <c r="AE16" i="5"/>
  <c r="Z508" i="5" s="1"/>
  <c r="AE19" i="5"/>
  <c r="Z511" i="5" s="1"/>
  <c r="I23" i="10"/>
  <c r="G17" i="20"/>
  <c r="AQ18" i="23"/>
  <c r="I10" i="8"/>
  <c r="I503" i="8" s="1"/>
  <c r="N29" i="5"/>
  <c r="M521" i="5" s="1"/>
  <c r="AB21" i="5"/>
  <c r="Y513" i="5" s="1"/>
  <c r="AE28" i="6"/>
  <c r="Z520" i="6" s="1"/>
  <c r="AE9" i="6"/>
  <c r="Z501" i="6" s="1"/>
  <c r="J44" i="6"/>
  <c r="M26" i="8"/>
  <c r="M519" i="8" s="1"/>
  <c r="I43" i="8"/>
  <c r="H29" i="1" s="1"/>
  <c r="I21" i="8"/>
  <c r="I514" i="8" s="1"/>
  <c r="I34" i="8"/>
  <c r="I527" i="8" s="1"/>
  <c r="M43" i="8"/>
  <c r="L29" i="1" s="1"/>
  <c r="I26" i="8"/>
  <c r="I519" i="8" s="1"/>
  <c r="J42" i="8"/>
  <c r="J535" i="8" s="1"/>
  <c r="M21" i="8"/>
  <c r="M514" i="8" s="1"/>
  <c r="M10" i="8"/>
  <c r="M503" i="8" s="1"/>
  <c r="K18" i="23"/>
  <c r="O17" i="20"/>
  <c r="M19" i="22"/>
  <c r="H19" i="22"/>
  <c r="AB11" i="6"/>
  <c r="Y503" i="6" s="1"/>
  <c r="K25" i="17"/>
  <c r="K517" i="17" s="1"/>
  <c r="K19" i="17"/>
  <c r="K511" i="17" s="1"/>
  <c r="Q20" i="14"/>
  <c r="O513" i="14" s="1"/>
  <c r="R20" i="14"/>
  <c r="P513" i="14" s="1"/>
  <c r="R25" i="17"/>
  <c r="R517" i="17" s="1"/>
  <c r="K26" i="17"/>
  <c r="K518" i="17" s="1"/>
  <c r="K10" i="17"/>
  <c r="K502" i="17" s="1"/>
  <c r="R26" i="17"/>
  <c r="R518" i="17" s="1"/>
  <c r="R10" i="17"/>
  <c r="R502" i="17" s="1"/>
  <c r="D38" i="18"/>
  <c r="J19" i="19"/>
  <c r="K511" i="19" s="1"/>
  <c r="Q19" i="19"/>
  <c r="R511" i="19" s="1"/>
  <c r="H10" i="22"/>
  <c r="Q16" i="15"/>
  <c r="O509" i="15" s="1"/>
  <c r="Q18" i="19"/>
  <c r="R510" i="19" s="1"/>
  <c r="J11" i="19"/>
  <c r="K503" i="19" s="1"/>
  <c r="M10" i="22"/>
  <c r="J17" i="6"/>
  <c r="K509" i="6" s="1"/>
  <c r="S11" i="6"/>
  <c r="R503" i="6" s="1"/>
  <c r="P20" i="14"/>
  <c r="N513" i="14" s="1"/>
  <c r="H488" i="1" l="1"/>
  <c r="H508" i="1"/>
  <c r="G31" i="1"/>
  <c r="AP210" i="1" s="1"/>
  <c r="G510" i="1"/>
  <c r="AN210" i="1"/>
  <c r="AV19" i="24"/>
  <c r="CU218" i="24" s="1"/>
  <c r="BD221" i="24"/>
  <c r="AX19" i="24"/>
  <c r="CW218" i="24" s="1"/>
  <c r="AW19" i="24"/>
  <c r="CV218" i="24" s="1"/>
  <c r="BC228" i="10"/>
  <c r="I30" i="12"/>
  <c r="L33" i="1"/>
  <c r="AU212" i="1" s="1"/>
  <c r="G52" i="6"/>
  <c r="E17" i="16" s="1"/>
  <c r="BD216" i="16" s="1"/>
  <c r="BH227" i="12"/>
  <c r="AR510" i="24"/>
  <c r="AQ20" i="24"/>
  <c r="CP219" i="24" s="1"/>
  <c r="AF510" i="24"/>
  <c r="AE20" i="24"/>
  <c r="CD219" i="24" s="1"/>
  <c r="AJ510" i="24"/>
  <c r="AI20" i="24"/>
  <c r="CH219" i="24" s="1"/>
  <c r="X510" i="24"/>
  <c r="W20" i="24"/>
  <c r="BV219" i="24" s="1"/>
  <c r="T510" i="24"/>
  <c r="S20" i="24"/>
  <c r="BR219" i="24" s="1"/>
  <c r="P510" i="24"/>
  <c r="O20" i="24"/>
  <c r="BN219" i="24" s="1"/>
  <c r="L510" i="24"/>
  <c r="K20" i="24"/>
  <c r="BJ219" i="24" s="1"/>
  <c r="AN510" i="24"/>
  <c r="AM20" i="24"/>
  <c r="CL219" i="24" s="1"/>
  <c r="Y23" i="33"/>
  <c r="BX222" i="33" s="1"/>
  <c r="Y24" i="33"/>
  <c r="BX223" i="33" s="1"/>
  <c r="S25" i="33"/>
  <c r="BR224" i="33" s="1"/>
  <c r="S26" i="33"/>
  <c r="BR225" i="33" s="1"/>
  <c r="E25" i="33"/>
  <c r="BD224" i="33" s="1"/>
  <c r="E26" i="33"/>
  <c r="BD225" i="33" s="1"/>
  <c r="D41" i="18"/>
  <c r="BC240" i="18" s="1"/>
  <c r="D25" i="33"/>
  <c r="BC224" i="33" s="1"/>
  <c r="D26" i="33"/>
  <c r="V25" i="33"/>
  <c r="BU224" i="33" s="1"/>
  <c r="V26" i="33"/>
  <c r="BU225" i="33" s="1"/>
  <c r="N25" i="33"/>
  <c r="BM224" i="33" s="1"/>
  <c r="N26" i="33"/>
  <c r="BM225" i="33" s="1"/>
  <c r="G25" i="33"/>
  <c r="BF224" i="33" s="1"/>
  <c r="G26" i="33"/>
  <c r="BF225" i="33" s="1"/>
  <c r="K25" i="33"/>
  <c r="BJ224" i="33" s="1"/>
  <c r="K26" i="33"/>
  <c r="BJ225" i="33" s="1"/>
  <c r="O25" i="33"/>
  <c r="BN224" i="33" s="1"/>
  <c r="O26" i="33"/>
  <c r="BN225" i="33" s="1"/>
  <c r="R25" i="33"/>
  <c r="BQ224" i="33" s="1"/>
  <c r="R26" i="33"/>
  <c r="BQ225" i="33" s="1"/>
  <c r="P25" i="33"/>
  <c r="BO224" i="33" s="1"/>
  <c r="P26" i="33"/>
  <c r="BO225" i="33" s="1"/>
  <c r="H25" i="33"/>
  <c r="BG224" i="33" s="1"/>
  <c r="H26" i="33"/>
  <c r="BG225" i="33" s="1"/>
  <c r="I25" i="33"/>
  <c r="BH224" i="33" s="1"/>
  <c r="I26" i="33"/>
  <c r="BH225" i="33" s="1"/>
  <c r="F25" i="33"/>
  <c r="BE224" i="33" s="1"/>
  <c r="F26" i="33"/>
  <c r="BE225" i="33" s="1"/>
  <c r="H18" i="16"/>
  <c r="BG217" i="16" s="1"/>
  <c r="I507" i="16"/>
  <c r="N507" i="16"/>
  <c r="M18" i="16"/>
  <c r="BL217" i="16" s="1"/>
  <c r="S507" i="16"/>
  <c r="R18" i="16"/>
  <c r="BQ217" i="16" s="1"/>
  <c r="K28" i="3"/>
  <c r="BJ227" i="3" s="1"/>
  <c r="K27" i="3"/>
  <c r="BJ226" i="3" s="1"/>
  <c r="F28" i="3"/>
  <c r="BE227" i="3" s="1"/>
  <c r="F27" i="3"/>
  <c r="BE226" i="3" s="1"/>
  <c r="D28" i="3"/>
  <c r="BC227" i="3" s="1"/>
  <c r="D27" i="3"/>
  <c r="BC226" i="3" s="1"/>
  <c r="M22" i="3"/>
  <c r="M515" i="3" s="1"/>
  <c r="M507" i="3"/>
  <c r="H496" i="1"/>
  <c r="H33" i="1"/>
  <c r="AQ212" i="1" s="1"/>
  <c r="H485" i="1"/>
  <c r="L485" i="1"/>
  <c r="L481" i="1"/>
  <c r="H482" i="1"/>
  <c r="L488" i="1"/>
  <c r="H481" i="1"/>
  <c r="H484" i="1"/>
  <c r="L483" i="1"/>
  <c r="L484" i="1"/>
  <c r="H483" i="1"/>
  <c r="L482" i="1"/>
  <c r="BM217" i="5"/>
  <c r="BS243" i="6"/>
  <c r="T53" i="6"/>
  <c r="BS252" i="6" s="1"/>
  <c r="CB243" i="6"/>
  <c r="AC53" i="6"/>
  <c r="CB252" i="6" s="1"/>
  <c r="BJ243" i="6"/>
  <c r="K53" i="6"/>
  <c r="BJ252" i="6" s="1"/>
  <c r="W41" i="19"/>
  <c r="BV240" i="19" s="1"/>
  <c r="W43" i="19"/>
  <c r="BV242" i="19" s="1"/>
  <c r="W42" i="19"/>
  <c r="BV241" i="19" s="1"/>
  <c r="U43" i="19"/>
  <c r="BT242" i="19" s="1"/>
  <c r="U42" i="19"/>
  <c r="BT241" i="19" s="1"/>
  <c r="S43" i="19"/>
  <c r="BR242" i="19" s="1"/>
  <c r="S42" i="19"/>
  <c r="BR241" i="19" s="1"/>
  <c r="V42" i="19"/>
  <c r="BU241" i="19" s="1"/>
  <c r="V43" i="19"/>
  <c r="BU242" i="19" s="1"/>
  <c r="R43" i="19"/>
  <c r="BQ242" i="19" s="1"/>
  <c r="R42" i="19"/>
  <c r="BQ241" i="19" s="1"/>
  <c r="T41" i="19"/>
  <c r="T43" i="19"/>
  <c r="BS242" i="19" s="1"/>
  <c r="T42" i="19"/>
  <c r="BS241" i="19" s="1"/>
  <c r="O42" i="19"/>
  <c r="BN241" i="19" s="1"/>
  <c r="O43" i="19"/>
  <c r="BN242" i="19" s="1"/>
  <c r="N42" i="19"/>
  <c r="BM241" i="19" s="1"/>
  <c r="N43" i="19"/>
  <c r="BM242" i="19" s="1"/>
  <c r="P43" i="19"/>
  <c r="BO242" i="19" s="1"/>
  <c r="P42" i="19"/>
  <c r="BO241" i="19" s="1"/>
  <c r="I42" i="19"/>
  <c r="BH241" i="19" s="1"/>
  <c r="I43" i="19"/>
  <c r="BH242" i="19" s="1"/>
  <c r="F42" i="19"/>
  <c r="BE241" i="19" s="1"/>
  <c r="F43" i="19"/>
  <c r="BE242" i="19" s="1"/>
  <c r="G42" i="19"/>
  <c r="BF241" i="19" s="1"/>
  <c r="G43" i="19"/>
  <c r="BF242" i="19" s="1"/>
  <c r="H42" i="19"/>
  <c r="BG241" i="19" s="1"/>
  <c r="H43" i="19"/>
  <c r="BG242" i="19" s="1"/>
  <c r="R32" i="22"/>
  <c r="BQ231" i="22" s="1"/>
  <c r="S502" i="22"/>
  <c r="M32" i="22"/>
  <c r="BL231" i="22" s="1"/>
  <c r="N502" i="22"/>
  <c r="I502" i="22"/>
  <c r="H32" i="22"/>
  <c r="BG231" i="22" s="1"/>
  <c r="R33" i="22"/>
  <c r="BQ232" i="22" s="1"/>
  <c r="S511" i="22"/>
  <c r="N34" i="22"/>
  <c r="BM233" i="22" s="1"/>
  <c r="N35" i="22"/>
  <c r="BM234" i="22" s="1"/>
  <c r="O521" i="22"/>
  <c r="M33" i="22"/>
  <c r="BL232" i="22" s="1"/>
  <c r="N511" i="22"/>
  <c r="I31" i="22"/>
  <c r="BH230" i="22" s="1"/>
  <c r="I35" i="22"/>
  <c r="BH234" i="22" s="1"/>
  <c r="I34" i="22"/>
  <c r="BH233" i="22" s="1"/>
  <c r="J521" i="22"/>
  <c r="I511" i="22"/>
  <c r="H33" i="22"/>
  <c r="BG232" i="22" s="1"/>
  <c r="D35" i="22"/>
  <c r="BC234" i="22" s="1"/>
  <c r="D34" i="22"/>
  <c r="BC233" i="22" s="1"/>
  <c r="E521" i="22"/>
  <c r="AB510" i="20"/>
  <c r="AA18" i="20"/>
  <c r="BZ217" i="20" s="1"/>
  <c r="X510" i="20"/>
  <c r="W18" i="20"/>
  <c r="BV217" i="20" s="1"/>
  <c r="T510" i="20"/>
  <c r="S18" i="20"/>
  <c r="BR217" i="20" s="1"/>
  <c r="P510" i="20"/>
  <c r="O18" i="20"/>
  <c r="BN217" i="20" s="1"/>
  <c r="AC510" i="20"/>
  <c r="AB18" i="20"/>
  <c r="CA217" i="20" s="1"/>
  <c r="L510" i="20"/>
  <c r="K18" i="20"/>
  <c r="BJ217" i="20" s="1"/>
  <c r="AE510" i="20"/>
  <c r="AD18" i="20"/>
  <c r="CC217" i="20" s="1"/>
  <c r="H510" i="20"/>
  <c r="G18" i="20"/>
  <c r="BF217" i="20" s="1"/>
  <c r="AD510" i="20"/>
  <c r="AC18" i="20"/>
  <c r="CB217" i="20" s="1"/>
  <c r="Y510" i="25"/>
  <c r="X29" i="25"/>
  <c r="BW228" i="25" s="1"/>
  <c r="R510" i="25"/>
  <c r="Q29" i="25"/>
  <c r="BP228" i="25" s="1"/>
  <c r="Y506" i="25"/>
  <c r="X28" i="25"/>
  <c r="BW227" i="25" s="1"/>
  <c r="R506" i="25"/>
  <c r="Q28" i="25"/>
  <c r="BP227" i="25" s="1"/>
  <c r="X517" i="25"/>
  <c r="W30" i="25"/>
  <c r="BV229" i="25" s="1"/>
  <c r="W517" i="25"/>
  <c r="V30" i="25"/>
  <c r="BU229" i="25" s="1"/>
  <c r="V517" i="25"/>
  <c r="U30" i="25"/>
  <c r="BT229" i="25" s="1"/>
  <c r="U517" i="25"/>
  <c r="T30" i="25"/>
  <c r="BS229" i="25" s="1"/>
  <c r="T517" i="25"/>
  <c r="S30" i="25"/>
  <c r="BR229" i="25" s="1"/>
  <c r="S517" i="25"/>
  <c r="R30" i="25"/>
  <c r="BQ229" i="25" s="1"/>
  <c r="Q517" i="25"/>
  <c r="P30" i="25"/>
  <c r="BO229" i="25" s="1"/>
  <c r="P517" i="25"/>
  <c r="O30" i="25"/>
  <c r="BN229" i="25" s="1"/>
  <c r="O517" i="25"/>
  <c r="N30" i="25"/>
  <c r="BM229" i="25" s="1"/>
  <c r="N517" i="25"/>
  <c r="M30" i="25"/>
  <c r="BL229" i="25" s="1"/>
  <c r="M517" i="25"/>
  <c r="L30" i="25"/>
  <c r="BK229" i="25" s="1"/>
  <c r="L517" i="25"/>
  <c r="K30" i="25"/>
  <c r="BJ229" i="25" s="1"/>
  <c r="J517" i="25"/>
  <c r="I30" i="25"/>
  <c r="BH229" i="25" s="1"/>
  <c r="I517" i="25"/>
  <c r="H30" i="25"/>
  <c r="BG229" i="25" s="1"/>
  <c r="H517" i="25"/>
  <c r="G30" i="25"/>
  <c r="BF229" i="25" s="1"/>
  <c r="G517" i="25"/>
  <c r="F30" i="25"/>
  <c r="BE229" i="25" s="1"/>
  <c r="F517" i="25"/>
  <c r="E30" i="25"/>
  <c r="BD229" i="25" s="1"/>
  <c r="K510" i="25"/>
  <c r="K506" i="25"/>
  <c r="E517" i="25"/>
  <c r="D30" i="25"/>
  <c r="BC229" i="25" s="1"/>
  <c r="AB510" i="24"/>
  <c r="AA20" i="24"/>
  <c r="H510" i="24"/>
  <c r="G20" i="24"/>
  <c r="BF219" i="24" s="1"/>
  <c r="AR25" i="24"/>
  <c r="CQ224" i="24" s="1"/>
  <c r="AS510" i="24"/>
  <c r="AS25" i="24"/>
  <c r="CR224" i="24" s="1"/>
  <c r="AT510" i="24"/>
  <c r="AQ19" i="23"/>
  <c r="CP218" i="23" s="1"/>
  <c r="AQ20" i="23"/>
  <c r="CP219" i="23" s="1"/>
  <c r="AM19" i="23"/>
  <c r="CL218" i="23" s="1"/>
  <c r="AM20" i="23"/>
  <c r="CL219" i="23" s="1"/>
  <c r="AI19" i="23"/>
  <c r="CH218" i="23" s="1"/>
  <c r="AI20" i="23"/>
  <c r="CH219" i="23" s="1"/>
  <c r="AE19" i="23"/>
  <c r="CD218" i="23" s="1"/>
  <c r="AE20" i="23"/>
  <c r="CD219" i="23" s="1"/>
  <c r="AT20" i="23"/>
  <c r="CS219" i="23" s="1"/>
  <c r="AT19" i="23"/>
  <c r="CS218" i="23" s="1"/>
  <c r="AS20" i="23"/>
  <c r="CR219" i="23" s="1"/>
  <c r="AS19" i="23"/>
  <c r="CR218" i="23" s="1"/>
  <c r="AR20" i="23"/>
  <c r="CQ219" i="23" s="1"/>
  <c r="AR19" i="23"/>
  <c r="CQ218" i="23" s="1"/>
  <c r="W19" i="23"/>
  <c r="BV218" i="23" s="1"/>
  <c r="W20" i="23"/>
  <c r="BV219" i="23" s="1"/>
  <c r="S19" i="23"/>
  <c r="BR218" i="23" s="1"/>
  <c r="S20" i="23"/>
  <c r="BR219" i="23" s="1"/>
  <c r="O19" i="23"/>
  <c r="BN218" i="23" s="1"/>
  <c r="O20" i="23"/>
  <c r="BN219" i="23" s="1"/>
  <c r="K19" i="23"/>
  <c r="BJ218" i="23" s="1"/>
  <c r="K20" i="23"/>
  <c r="BJ219" i="23" s="1"/>
  <c r="G20" i="23"/>
  <c r="BF219" i="23" s="1"/>
  <c r="G19" i="23"/>
  <c r="BF218" i="23" s="1"/>
  <c r="AB508" i="23"/>
  <c r="AA20" i="23"/>
  <c r="BZ219" i="23" s="1"/>
  <c r="AA19" i="23"/>
  <c r="BZ218" i="23" s="1"/>
  <c r="S21" i="24"/>
  <c r="BR220" i="24" s="1"/>
  <c r="T508" i="23"/>
  <c r="AE21" i="24"/>
  <c r="CD220" i="24" s="1"/>
  <c r="AF508" i="23"/>
  <c r="AI21" i="24"/>
  <c r="CH220" i="24" s="1"/>
  <c r="AJ508" i="23"/>
  <c r="AT21" i="24"/>
  <c r="CS220" i="24" s="1"/>
  <c r="AU508" i="23"/>
  <c r="O21" i="24"/>
  <c r="BN220" i="24" s="1"/>
  <c r="P508" i="23"/>
  <c r="AR21" i="24"/>
  <c r="CQ220" i="24" s="1"/>
  <c r="AS508" i="23"/>
  <c r="K21" i="24"/>
  <c r="BJ220" i="24" s="1"/>
  <c r="L508" i="23"/>
  <c r="S22" i="24"/>
  <c r="BR221" i="24" s="1"/>
  <c r="AM21" i="24"/>
  <c r="CL220" i="24" s="1"/>
  <c r="AN508" i="23"/>
  <c r="K37" i="17"/>
  <c r="BJ236" i="17" s="1"/>
  <c r="Z36" i="17"/>
  <c r="BY235" i="17" s="1"/>
  <c r="X40" i="18"/>
  <c r="BW239" i="18" s="1"/>
  <c r="Y511" i="18"/>
  <c r="Q40" i="18"/>
  <c r="BP239" i="18" s="1"/>
  <c r="R511" i="18"/>
  <c r="K511" i="18"/>
  <c r="J40" i="18"/>
  <c r="BI239" i="18" s="1"/>
  <c r="V42" i="18"/>
  <c r="BU241" i="18" s="1"/>
  <c r="V41" i="18"/>
  <c r="BU240" i="18" s="1"/>
  <c r="W531" i="18"/>
  <c r="S40" i="19"/>
  <c r="BR239" i="19" s="1"/>
  <c r="S41" i="18"/>
  <c r="BR240" i="18" s="1"/>
  <c r="S42" i="18"/>
  <c r="BR241" i="18" s="1"/>
  <c r="T531" i="18"/>
  <c r="X39" i="18"/>
  <c r="BW238" i="18" s="1"/>
  <c r="Y502" i="18"/>
  <c r="R42" i="18"/>
  <c r="BQ241" i="18" s="1"/>
  <c r="R41" i="18"/>
  <c r="BQ240" i="18" s="1"/>
  <c r="S531" i="18"/>
  <c r="L30" i="22"/>
  <c r="BK229" i="22" s="1"/>
  <c r="P41" i="18"/>
  <c r="BO240" i="18" s="1"/>
  <c r="P42" i="18"/>
  <c r="BO241" i="18" s="1"/>
  <c r="Q531" i="18"/>
  <c r="K30" i="22"/>
  <c r="BJ229" i="22" s="1"/>
  <c r="O41" i="18"/>
  <c r="BN240" i="18" s="1"/>
  <c r="O42" i="18"/>
  <c r="BN241" i="18" s="1"/>
  <c r="P531" i="18"/>
  <c r="N42" i="18"/>
  <c r="BM241" i="18" s="1"/>
  <c r="N41" i="18"/>
  <c r="BM240" i="18" s="1"/>
  <c r="O531" i="18"/>
  <c r="Q39" i="18"/>
  <c r="BP238" i="18" s="1"/>
  <c r="R502" i="18"/>
  <c r="K40" i="19"/>
  <c r="BJ239" i="19" s="1"/>
  <c r="K42" i="18"/>
  <c r="BJ241" i="18" s="1"/>
  <c r="K41" i="18"/>
  <c r="BJ240" i="18" s="1"/>
  <c r="L531" i="18"/>
  <c r="I42" i="18"/>
  <c r="BH241" i="18" s="1"/>
  <c r="I41" i="18"/>
  <c r="BH240" i="18" s="1"/>
  <c r="J531" i="18"/>
  <c r="F30" i="22"/>
  <c r="BE229" i="22" s="1"/>
  <c r="H41" i="18"/>
  <c r="BG240" i="18" s="1"/>
  <c r="H42" i="18"/>
  <c r="BG241" i="18" s="1"/>
  <c r="I531" i="18"/>
  <c r="H41" i="19"/>
  <c r="BG240" i="19" s="1"/>
  <c r="E30" i="22"/>
  <c r="BD229" i="22" s="1"/>
  <c r="G41" i="18"/>
  <c r="BF240" i="18" s="1"/>
  <c r="G42" i="18"/>
  <c r="BF241" i="18" s="1"/>
  <c r="H531" i="18"/>
  <c r="F41" i="18"/>
  <c r="BE240" i="18" s="1"/>
  <c r="F42" i="18"/>
  <c r="BE241" i="18" s="1"/>
  <c r="G531" i="18"/>
  <c r="K502" i="18"/>
  <c r="J39" i="18"/>
  <c r="BI238" i="18" s="1"/>
  <c r="E41" i="18"/>
  <c r="BD240" i="18" s="1"/>
  <c r="E42" i="18"/>
  <c r="BD241" i="18" s="1"/>
  <c r="F531" i="18"/>
  <c r="D40" i="19"/>
  <c r="BC239" i="19" s="1"/>
  <c r="D42" i="18"/>
  <c r="BC241" i="18" s="1"/>
  <c r="E531" i="18"/>
  <c r="S15" i="16"/>
  <c r="M29" i="10"/>
  <c r="BL228" i="10" s="1"/>
  <c r="M506" i="10"/>
  <c r="I506" i="10"/>
  <c r="I29" i="10"/>
  <c r="M30" i="10"/>
  <c r="BL229" i="10" s="1"/>
  <c r="M512" i="10"/>
  <c r="I512" i="10"/>
  <c r="I30" i="10"/>
  <c r="BH229" i="10" s="1"/>
  <c r="BC225" i="10"/>
  <c r="L23" i="3"/>
  <c r="BK222" i="3" s="1"/>
  <c r="L28" i="3"/>
  <c r="BK227" i="3" s="1"/>
  <c r="L515" i="3"/>
  <c r="J23" i="3"/>
  <c r="BI222" i="3" s="1"/>
  <c r="J28" i="3"/>
  <c r="BI227" i="3" s="1"/>
  <c r="J515" i="3"/>
  <c r="H23" i="3"/>
  <c r="BG222" i="3" s="1"/>
  <c r="H28" i="3"/>
  <c r="BG227" i="3" s="1"/>
  <c r="H515" i="3"/>
  <c r="G28" i="3"/>
  <c r="BF227" i="3" s="1"/>
  <c r="G515" i="3"/>
  <c r="K23" i="3"/>
  <c r="BJ222" i="3" s="1"/>
  <c r="K515" i="3"/>
  <c r="D23" i="3"/>
  <c r="BC222" i="3" s="1"/>
  <c r="E515" i="3"/>
  <c r="M507" i="12"/>
  <c r="I507" i="12"/>
  <c r="K27" i="12"/>
  <c r="BJ226" i="12" s="1"/>
  <c r="K516" i="12"/>
  <c r="M515" i="12"/>
  <c r="I515" i="12"/>
  <c r="K490" i="1"/>
  <c r="J490" i="1"/>
  <c r="I490" i="1"/>
  <c r="G490" i="1"/>
  <c r="F490" i="1"/>
  <c r="E490" i="1"/>
  <c r="L496" i="1"/>
  <c r="AB53" i="6"/>
  <c r="CA252" i="6" s="1"/>
  <c r="Y536" i="6"/>
  <c r="S53" i="6"/>
  <c r="BR252" i="6" s="1"/>
  <c r="R536" i="6"/>
  <c r="I52" i="6"/>
  <c r="G17" i="16" s="1"/>
  <c r="BF216" i="16" s="1"/>
  <c r="J535" i="6"/>
  <c r="H544" i="6"/>
  <c r="K536" i="6"/>
  <c r="J53" i="6"/>
  <c r="BI252" i="6" s="1"/>
  <c r="M536" i="8"/>
  <c r="M52" i="8"/>
  <c r="BL251" i="8" s="1"/>
  <c r="I536" i="8"/>
  <c r="I52" i="8"/>
  <c r="BH251" i="8" s="1"/>
  <c r="Y516" i="27"/>
  <c r="X24" i="27"/>
  <c r="BW223" i="27" s="1"/>
  <c r="R516" i="27"/>
  <c r="Q24" i="27"/>
  <c r="BP223" i="27" s="1"/>
  <c r="K516" i="27"/>
  <c r="G29" i="5"/>
  <c r="H521" i="5" s="1"/>
  <c r="H29" i="5"/>
  <c r="I521" i="5" s="1"/>
  <c r="P29" i="5"/>
  <c r="O521" i="5" s="1"/>
  <c r="E29" i="5"/>
  <c r="F521" i="5" s="1"/>
  <c r="W29" i="5"/>
  <c r="T521" i="5" s="1"/>
  <c r="Z29" i="5"/>
  <c r="W521" i="5" s="1"/>
  <c r="AA29" i="5"/>
  <c r="X521" i="5" s="1"/>
  <c r="O29" i="5"/>
  <c r="N521" i="5" s="1"/>
  <c r="R29" i="5"/>
  <c r="Q521" i="5" s="1"/>
  <c r="Q29" i="5"/>
  <c r="P521" i="5" s="1"/>
  <c r="V29" i="5"/>
  <c r="S521" i="5" s="1"/>
  <c r="D29" i="5"/>
  <c r="E521" i="5" s="1"/>
  <c r="F29" i="5"/>
  <c r="G521" i="5" s="1"/>
  <c r="U41" i="19"/>
  <c r="BT240" i="19" s="1"/>
  <c r="AT25" i="24"/>
  <c r="CS224" i="24" s="1"/>
  <c r="AU510" i="24"/>
  <c r="G21" i="24"/>
  <c r="BF220" i="24" s="1"/>
  <c r="H508" i="23"/>
  <c r="W21" i="24"/>
  <c r="BV220" i="24" s="1"/>
  <c r="X508" i="23"/>
  <c r="AS21" i="24"/>
  <c r="CR220" i="24" s="1"/>
  <c r="AT508" i="23"/>
  <c r="AQ21" i="24"/>
  <c r="CP220" i="24" s="1"/>
  <c r="AR508" i="23"/>
  <c r="F23" i="3"/>
  <c r="BE222" i="3" s="1"/>
  <c r="F515" i="3"/>
  <c r="D27" i="12"/>
  <c r="BC226" i="12" s="1"/>
  <c r="E516" i="12"/>
  <c r="E24" i="12"/>
  <c r="BD223" i="12" s="1"/>
  <c r="AM22" i="24"/>
  <c r="CL221" i="24" s="1"/>
  <c r="P52" i="6"/>
  <c r="AA21" i="24"/>
  <c r="BZ220" i="24" s="1"/>
  <c r="W22" i="24"/>
  <c r="BV221" i="24" s="1"/>
  <c r="L31" i="22"/>
  <c r="BK230" i="22" s="1"/>
  <c r="AE22" i="24"/>
  <c r="CD221" i="24" s="1"/>
  <c r="K22" i="24"/>
  <c r="BJ221" i="24" s="1"/>
  <c r="Y26" i="24"/>
  <c r="BX225" i="24" s="1"/>
  <c r="AI22" i="24"/>
  <c r="CH221" i="24" s="1"/>
  <c r="E31" i="22"/>
  <c r="BD230" i="22" s="1"/>
  <c r="O22" i="24"/>
  <c r="BN221" i="24" s="1"/>
  <c r="AQ22" i="24"/>
  <c r="CP221" i="24" s="1"/>
  <c r="J30" i="22"/>
  <c r="BI229" i="22" s="1"/>
  <c r="J31" i="22"/>
  <c r="BI230" i="22" s="1"/>
  <c r="I40" i="19"/>
  <c r="BH239" i="19" s="1"/>
  <c r="G30" i="22"/>
  <c r="BF229" i="22" s="1"/>
  <c r="F31" i="22"/>
  <c r="BE230" i="22" s="1"/>
  <c r="D31" i="22"/>
  <c r="BC230" i="22" s="1"/>
  <c r="G31" i="22"/>
  <c r="BF230" i="22" s="1"/>
  <c r="V40" i="19"/>
  <c r="BU239" i="19" s="1"/>
  <c r="P30" i="22"/>
  <c r="BO229" i="22" s="1"/>
  <c r="F40" i="19"/>
  <c r="BE239" i="19" s="1"/>
  <c r="D30" i="22"/>
  <c r="BC229" i="22" s="1"/>
  <c r="P31" i="22"/>
  <c r="BO230" i="22" s="1"/>
  <c r="K31" i="22"/>
  <c r="BJ230" i="22" s="1"/>
  <c r="G22" i="24"/>
  <c r="BF221" i="24" s="1"/>
  <c r="D18" i="26"/>
  <c r="BC217" i="26" s="1"/>
  <c r="N31" i="22"/>
  <c r="BM230" i="22" s="1"/>
  <c r="Z26" i="24"/>
  <c r="BY225" i="24" s="1"/>
  <c r="AT26" i="24"/>
  <c r="CS225" i="24" s="1"/>
  <c r="AS26" i="24"/>
  <c r="CR225" i="24" s="1"/>
  <c r="X26" i="24"/>
  <c r="BW225" i="24" s="1"/>
  <c r="AR26" i="24"/>
  <c r="CQ225" i="24" s="1"/>
  <c r="AA22" i="24"/>
  <c r="BZ221" i="24" s="1"/>
  <c r="AA25" i="24"/>
  <c r="BZ224" i="24" s="1"/>
  <c r="AT22" i="24"/>
  <c r="CS221" i="24" s="1"/>
  <c r="AS22" i="24"/>
  <c r="CR221" i="24" s="1"/>
  <c r="AR22" i="24"/>
  <c r="CQ221" i="24" s="1"/>
  <c r="AS23" i="23"/>
  <c r="CR222" i="23" s="1"/>
  <c r="Y24" i="23"/>
  <c r="AS24" i="23"/>
  <c r="CR223" i="23" s="1"/>
  <c r="AR23" i="23"/>
  <c r="CQ222" i="23" s="1"/>
  <c r="AR24" i="23"/>
  <c r="CQ223" i="23" s="1"/>
  <c r="X24" i="23"/>
  <c r="BW223" i="23" s="1"/>
  <c r="AT24" i="23"/>
  <c r="CS223" i="23" s="1"/>
  <c r="AT23" i="23"/>
  <c r="CS222" i="23" s="1"/>
  <c r="Z24" i="23"/>
  <c r="BY223" i="23" s="1"/>
  <c r="AA23" i="23"/>
  <c r="BZ222" i="23" s="1"/>
  <c r="F41" i="19"/>
  <c r="BE240" i="19" s="1"/>
  <c r="V41" i="19"/>
  <c r="BU240" i="19" s="1"/>
  <c r="E23" i="10"/>
  <c r="BD222" i="10" s="1"/>
  <c r="E14" i="10"/>
  <c r="BD213" i="10" s="1"/>
  <c r="BE215" i="10"/>
  <c r="BI221" i="14"/>
  <c r="E14" i="3"/>
  <c r="BD213" i="3" s="1"/>
  <c r="E15" i="12"/>
  <c r="BD214" i="12" s="1"/>
  <c r="E12" i="11"/>
  <c r="BD211" i="11" s="1"/>
  <c r="BE213" i="11"/>
  <c r="H27" i="25"/>
  <c r="BG226" i="25" s="1"/>
  <c r="H40" i="19"/>
  <c r="BG239" i="19" s="1"/>
  <c r="P41" i="19"/>
  <c r="BO240" i="19" s="1"/>
  <c r="I41" i="19"/>
  <c r="BH240" i="19" s="1"/>
  <c r="N27" i="25"/>
  <c r="BM226" i="25" s="1"/>
  <c r="N40" i="19"/>
  <c r="BM239" i="19" s="1"/>
  <c r="N41" i="19"/>
  <c r="BM240" i="19" s="1"/>
  <c r="P27" i="25"/>
  <c r="BO226" i="25" s="1"/>
  <c r="P40" i="19"/>
  <c r="BO239" i="19" s="1"/>
  <c r="E34" i="8"/>
  <c r="BD233" i="8" s="1"/>
  <c r="E26" i="8"/>
  <c r="BD225" i="8" s="1"/>
  <c r="E21" i="8"/>
  <c r="BD220" i="8" s="1"/>
  <c r="E16" i="8"/>
  <c r="BD215" i="8" s="1"/>
  <c r="BG223" i="3"/>
  <c r="E43" i="8"/>
  <c r="BD242" i="8" s="1"/>
  <c r="G23" i="3"/>
  <c r="BF222" i="29"/>
  <c r="G27" i="25"/>
  <c r="BF226" i="25" s="1"/>
  <c r="G40" i="19"/>
  <c r="BF239" i="19" s="1"/>
  <c r="G41" i="19"/>
  <c r="BF240" i="19" s="1"/>
  <c r="S41" i="19"/>
  <c r="BR240" i="19" s="1"/>
  <c r="BL209" i="22"/>
  <c r="BR214" i="22"/>
  <c r="BC228" i="22"/>
  <c r="BR217" i="22"/>
  <c r="BR221" i="22"/>
  <c r="BR210" i="22"/>
  <c r="BQ209" i="22"/>
  <c r="BR215" i="22"/>
  <c r="BR211" i="22"/>
  <c r="BR220" i="22"/>
  <c r="BR226" i="22"/>
  <c r="BR222" i="22"/>
  <c r="BR208" i="22"/>
  <c r="BR213" i="22"/>
  <c r="BR219" i="22"/>
  <c r="BL218" i="22"/>
  <c r="BH228" i="22"/>
  <c r="BR227" i="22"/>
  <c r="BQ218" i="22"/>
  <c r="BF206" i="21"/>
  <c r="R40" i="19"/>
  <c r="BQ239" i="19" s="1"/>
  <c r="R41" i="19"/>
  <c r="BQ240" i="19" s="1"/>
  <c r="K41" i="19"/>
  <c r="BJ240" i="19" s="1"/>
  <c r="BZ216" i="20"/>
  <c r="CD215" i="20"/>
  <c r="BN216" i="20"/>
  <c r="AC20" i="20"/>
  <c r="CB219" i="20" s="1"/>
  <c r="BR216" i="20"/>
  <c r="BV216" i="20"/>
  <c r="O27" i="25"/>
  <c r="BN226" i="25" s="1"/>
  <c r="O41" i="19"/>
  <c r="BN240" i="19" s="1"/>
  <c r="O40" i="19"/>
  <c r="BN239" i="19" s="1"/>
  <c r="E40" i="19"/>
  <c r="BD239" i="19" s="1"/>
  <c r="E41" i="19"/>
  <c r="BD240" i="19" s="1"/>
  <c r="BF236" i="19"/>
  <c r="BP217" i="19"/>
  <c r="BP218" i="19"/>
  <c r="BX224" i="19"/>
  <c r="BI222" i="19"/>
  <c r="BX232" i="19"/>
  <c r="BX209" i="19"/>
  <c r="BX227" i="19"/>
  <c r="BX208" i="19"/>
  <c r="BI210" i="19"/>
  <c r="BG236" i="19"/>
  <c r="BX212" i="19"/>
  <c r="BO236" i="19"/>
  <c r="BE236" i="19"/>
  <c r="BX211" i="19"/>
  <c r="BW218" i="19"/>
  <c r="BW222" i="19"/>
  <c r="BX225" i="19"/>
  <c r="BQ236" i="19"/>
  <c r="BP222" i="19"/>
  <c r="BH236" i="19"/>
  <c r="BP210" i="19"/>
  <c r="BX235" i="19"/>
  <c r="BU236" i="19"/>
  <c r="BN236" i="19"/>
  <c r="BX215" i="19"/>
  <c r="BX216" i="19"/>
  <c r="BR236" i="19"/>
  <c r="BV236" i="19"/>
  <c r="BP230" i="19"/>
  <c r="BX229" i="19"/>
  <c r="BX228" i="19"/>
  <c r="BX219" i="19"/>
  <c r="BX234" i="19"/>
  <c r="BX226" i="19"/>
  <c r="BS236" i="19"/>
  <c r="BX214" i="19"/>
  <c r="BW230" i="19"/>
  <c r="BT236" i="19"/>
  <c r="BX223" i="19"/>
  <c r="BM236" i="19"/>
  <c r="BX231" i="19"/>
  <c r="BX213" i="19"/>
  <c r="U27" i="25"/>
  <c r="BT226" i="25" s="1"/>
  <c r="T27" i="25"/>
  <c r="BS226" i="25" s="1"/>
  <c r="V27" i="25"/>
  <c r="BU226" i="25" s="1"/>
  <c r="M27" i="25"/>
  <c r="BL226" i="25" s="1"/>
  <c r="W27" i="25"/>
  <c r="BV226" i="25" s="1"/>
  <c r="I27" i="25"/>
  <c r="BH226" i="25" s="1"/>
  <c r="L27" i="25"/>
  <c r="BK226" i="25" s="1"/>
  <c r="S26" i="25"/>
  <c r="BR225" i="25" s="1"/>
  <c r="S27" i="25"/>
  <c r="BR226" i="25" s="1"/>
  <c r="R26" i="25"/>
  <c r="BQ225" i="25" s="1"/>
  <c r="R27" i="25"/>
  <c r="BQ226" i="25" s="1"/>
  <c r="K26" i="25"/>
  <c r="BJ225" i="25" s="1"/>
  <c r="K27" i="25"/>
  <c r="BJ226" i="25" s="1"/>
  <c r="E26" i="25"/>
  <c r="BD225" i="25" s="1"/>
  <c r="E27" i="25"/>
  <c r="BD226" i="25" s="1"/>
  <c r="F26" i="25"/>
  <c r="BE225" i="25" s="1"/>
  <c r="F27" i="25"/>
  <c r="BE226" i="25" s="1"/>
  <c r="D26" i="25"/>
  <c r="BC225" i="25" s="1"/>
  <c r="D27" i="25"/>
  <c r="I26" i="25"/>
  <c r="BH225" i="25" s="1"/>
  <c r="J35" i="17"/>
  <c r="BI234" i="17" s="1"/>
  <c r="J34" i="17"/>
  <c r="BI233" i="17" s="1"/>
  <c r="H26" i="25"/>
  <c r="BG225" i="25" s="1"/>
  <c r="I34" i="17"/>
  <c r="BH233" i="17" s="1"/>
  <c r="I35" i="17"/>
  <c r="BH234" i="17" s="1"/>
  <c r="G26" i="25"/>
  <c r="BF225" i="25" s="1"/>
  <c r="H35" i="17"/>
  <c r="BG234" i="17" s="1"/>
  <c r="H34" i="17"/>
  <c r="BG233" i="17" s="1"/>
  <c r="V26" i="25"/>
  <c r="BU225" i="25" s="1"/>
  <c r="W34" i="17"/>
  <c r="BV233" i="17" s="1"/>
  <c r="W35" i="17"/>
  <c r="BV234" i="17" s="1"/>
  <c r="P26" i="25"/>
  <c r="BO225" i="25" s="1"/>
  <c r="Q35" i="17"/>
  <c r="BP234" i="17" s="1"/>
  <c r="Q34" i="17"/>
  <c r="BP233" i="17" s="1"/>
  <c r="O26" i="25"/>
  <c r="BN225" i="25" s="1"/>
  <c r="P35" i="17"/>
  <c r="BO234" i="17" s="1"/>
  <c r="P34" i="17"/>
  <c r="BO233" i="17" s="1"/>
  <c r="N26" i="25"/>
  <c r="BM225" i="25" s="1"/>
  <c r="O35" i="17"/>
  <c r="BN234" i="17" s="1"/>
  <c r="O34" i="17"/>
  <c r="BN233" i="17" s="1"/>
  <c r="BW217" i="25"/>
  <c r="BP213" i="25"/>
  <c r="BI217" i="25"/>
  <c r="BX218" i="25"/>
  <c r="BX208" i="25"/>
  <c r="BX223" i="25"/>
  <c r="BX216" i="25"/>
  <c r="BX219" i="25"/>
  <c r="BX211" i="25"/>
  <c r="BX221" i="25"/>
  <c r="BX214" i="25"/>
  <c r="BX209" i="25"/>
  <c r="BX212" i="25"/>
  <c r="BX210" i="25"/>
  <c r="BW213" i="25"/>
  <c r="BX222" i="25"/>
  <c r="BQ224" i="25"/>
  <c r="S35" i="17"/>
  <c r="BR234" i="17" s="1"/>
  <c r="S34" i="17"/>
  <c r="BR233" i="17" s="1"/>
  <c r="CQ218" i="24"/>
  <c r="BV218" i="24"/>
  <c r="BN218" i="24"/>
  <c r="CL218" i="24"/>
  <c r="BJ218" i="24"/>
  <c r="CP218" i="24"/>
  <c r="CH218" i="24"/>
  <c r="CD218" i="24"/>
  <c r="CR218" i="24"/>
  <c r="CS218" i="24"/>
  <c r="BR218" i="24"/>
  <c r="L34" i="17"/>
  <c r="BK233" i="17" s="1"/>
  <c r="L35" i="17"/>
  <c r="BK234" i="17" s="1"/>
  <c r="G34" i="17"/>
  <c r="BF233" i="17" s="1"/>
  <c r="G35" i="17"/>
  <c r="BF234" i="17" s="1"/>
  <c r="E34" i="17"/>
  <c r="BD233" i="17" s="1"/>
  <c r="E35" i="17"/>
  <c r="BD234" i="17" s="1"/>
  <c r="AU459" i="23"/>
  <c r="AS459" i="23"/>
  <c r="AT459" i="23"/>
  <c r="AB459" i="23"/>
  <c r="BR217" i="23"/>
  <c r="T459" i="23"/>
  <c r="CD217" i="23"/>
  <c r="AF459" i="23"/>
  <c r="CH217" i="23"/>
  <c r="AJ459" i="23"/>
  <c r="BV217" i="23"/>
  <c r="X459" i="23"/>
  <c r="CP217" i="23"/>
  <c r="AR459" i="23"/>
  <c r="CL217" i="23"/>
  <c r="AN459" i="23"/>
  <c r="BJ217" i="23"/>
  <c r="L459" i="23"/>
  <c r="BN217" i="23"/>
  <c r="P459" i="23"/>
  <c r="T35" i="17"/>
  <c r="BS234" i="17" s="1"/>
  <c r="T34" i="17"/>
  <c r="BS233" i="17" s="1"/>
  <c r="F34" i="17"/>
  <c r="BE233" i="17" s="1"/>
  <c r="F35" i="17"/>
  <c r="BE234" i="17" s="1"/>
  <c r="BY226" i="17"/>
  <c r="BY216" i="17"/>
  <c r="BQ225" i="17"/>
  <c r="BX225" i="17"/>
  <c r="BY217" i="17"/>
  <c r="BY220" i="17"/>
  <c r="BY229" i="17"/>
  <c r="BQ224" i="17"/>
  <c r="BY230" i="17"/>
  <c r="BY222" i="17"/>
  <c r="BY231" i="17"/>
  <c r="BX234" i="18"/>
  <c r="BP217" i="18"/>
  <c r="BX230" i="18"/>
  <c r="BX218" i="18"/>
  <c r="BX216" i="18"/>
  <c r="BX221" i="18"/>
  <c r="BX226" i="18"/>
  <c r="BI208" i="18"/>
  <c r="BX225" i="18"/>
  <c r="BX224" i="18"/>
  <c r="BX215" i="18"/>
  <c r="BX220" i="18"/>
  <c r="BX227" i="18"/>
  <c r="BX233" i="18"/>
  <c r="BX228" i="18"/>
  <c r="BX236" i="18"/>
  <c r="BX231" i="18"/>
  <c r="BW208" i="18"/>
  <c r="BX214" i="18"/>
  <c r="BX229" i="18"/>
  <c r="BW217" i="18"/>
  <c r="BX219" i="18"/>
  <c r="BX207" i="18"/>
  <c r="BX235" i="18"/>
  <c r="BX223" i="18"/>
  <c r="BO215" i="15"/>
  <c r="BQ215" i="15"/>
  <c r="BP215" i="15"/>
  <c r="BE221" i="3"/>
  <c r="BF221" i="3"/>
  <c r="BG221" i="3"/>
  <c r="BK221" i="3"/>
  <c r="BC221" i="3"/>
  <c r="BI221" i="3"/>
  <c r="BH211" i="11"/>
  <c r="AQ196" i="1"/>
  <c r="AQ193" i="1"/>
  <c r="AQ190" i="1"/>
  <c r="AU191" i="1"/>
  <c r="AU204" i="1"/>
  <c r="AU190" i="1"/>
  <c r="AU193" i="1"/>
  <c r="AU196" i="1"/>
  <c r="AQ189" i="1"/>
  <c r="AU192" i="1"/>
  <c r="AQ191" i="1"/>
  <c r="AQ204" i="1"/>
  <c r="AQ192" i="1"/>
  <c r="E10" i="8"/>
  <c r="BD209" i="8" s="1"/>
  <c r="Q52" i="6"/>
  <c r="D52" i="6"/>
  <c r="H52" i="6"/>
  <c r="R52" i="6"/>
  <c r="BL211" i="11"/>
  <c r="BQ237" i="18"/>
  <c r="BX232" i="18"/>
  <c r="BY208" i="17"/>
  <c r="BQ209" i="17"/>
  <c r="BN211" i="26"/>
  <c r="BM224" i="25"/>
  <c r="BP217" i="25"/>
  <c r="BX220" i="25"/>
  <c r="BX215" i="25"/>
  <c r="BC224" i="25"/>
  <c r="BI213" i="25"/>
  <c r="BF218" i="24"/>
  <c r="BZ218" i="24"/>
  <c r="BF217" i="23"/>
  <c r="H459" i="23"/>
  <c r="BR224" i="22"/>
  <c r="BR216" i="22"/>
  <c r="BR225" i="22"/>
  <c r="BR223" i="22"/>
  <c r="BG218" i="22"/>
  <c r="BG209" i="22"/>
  <c r="BR212" i="22"/>
  <c r="BC218" i="21"/>
  <c r="BF215" i="21"/>
  <c r="BD218" i="21"/>
  <c r="BF212" i="21"/>
  <c r="BF209" i="21"/>
  <c r="BE218" i="21"/>
  <c r="BJ216" i="20"/>
  <c r="CD209" i="20"/>
  <c r="CD208" i="20"/>
  <c r="CB216" i="20"/>
  <c r="CD213" i="20"/>
  <c r="BF216" i="20"/>
  <c r="CD212" i="20"/>
  <c r="CD211" i="20"/>
  <c r="CC216" i="20"/>
  <c r="CD214" i="20"/>
  <c r="CD210" i="20"/>
  <c r="CA216" i="20"/>
  <c r="BI230" i="19"/>
  <c r="BX221" i="19"/>
  <c r="BX220" i="19"/>
  <c r="BC217" i="19"/>
  <c r="BI218" i="19"/>
  <c r="BI217" i="18"/>
  <c r="BX222" i="18"/>
  <c r="BH237" i="18"/>
  <c r="BX213" i="18"/>
  <c r="BX210" i="18"/>
  <c r="BX212" i="18"/>
  <c r="BP208" i="18"/>
  <c r="BX211" i="18"/>
  <c r="BX209" i="18"/>
  <c r="BY228" i="17"/>
  <c r="BJ225" i="17"/>
  <c r="BY227" i="17"/>
  <c r="BJ224" i="17"/>
  <c r="BJ218" i="17"/>
  <c r="BY221" i="17"/>
  <c r="BY219" i="17"/>
  <c r="BY211" i="17"/>
  <c r="BY215" i="17"/>
  <c r="BY212" i="17"/>
  <c r="BY214" i="17"/>
  <c r="BJ209" i="17"/>
  <c r="BY210" i="17"/>
  <c r="BY213" i="17"/>
  <c r="BQ214" i="16"/>
  <c r="BL214" i="16"/>
  <c r="BR210" i="16"/>
  <c r="BG214" i="16"/>
  <c r="BR211" i="16"/>
  <c r="BR212" i="16"/>
  <c r="BR208" i="16"/>
  <c r="BR209" i="16"/>
  <c r="BP219" i="14"/>
  <c r="BQ219" i="14"/>
  <c r="BO219" i="14"/>
  <c r="BL213" i="3"/>
  <c r="AT198" i="1"/>
  <c r="AU189" i="1"/>
  <c r="CA220" i="5"/>
  <c r="BX217" i="5"/>
  <c r="BV217" i="5"/>
  <c r="BZ217" i="5"/>
  <c r="Y29" i="5"/>
  <c r="V521" i="5" s="1"/>
  <c r="BU217" i="5"/>
  <c r="BY217" i="5"/>
  <c r="CA208" i="5"/>
  <c r="BQ217" i="5"/>
  <c r="BO217" i="5"/>
  <c r="BL217" i="5"/>
  <c r="BN217" i="5"/>
  <c r="BP217" i="5"/>
  <c r="BR208" i="5"/>
  <c r="BM228" i="5"/>
  <c r="BC217" i="5"/>
  <c r="BE217" i="5"/>
  <c r="BH217" i="5"/>
  <c r="I29" i="5"/>
  <c r="J521" i="5" s="1"/>
  <c r="BD217" i="5"/>
  <c r="BF217" i="5"/>
  <c r="BG217" i="5"/>
  <c r="J18" i="5"/>
  <c r="K510" i="5" s="1"/>
  <c r="BI208" i="5"/>
  <c r="CA210" i="6"/>
  <c r="CA216" i="6"/>
  <c r="CA221" i="6"/>
  <c r="CA226" i="6"/>
  <c r="CA234" i="6"/>
  <c r="BW242" i="6"/>
  <c r="BV242" i="6"/>
  <c r="CA243" i="6"/>
  <c r="BY242" i="6"/>
  <c r="Z52" i="6"/>
  <c r="X52" i="6"/>
  <c r="BX242" i="6"/>
  <c r="BZ242" i="6"/>
  <c r="BU242" i="6"/>
  <c r="BO242" i="6"/>
  <c r="BQ242" i="6"/>
  <c r="BN242" i="6"/>
  <c r="BL242" i="6"/>
  <c r="BP242" i="6"/>
  <c r="BM242" i="6"/>
  <c r="BR243" i="6"/>
  <c r="BR234" i="6"/>
  <c r="BR226" i="6"/>
  <c r="BR221" i="6"/>
  <c r="BR216" i="6"/>
  <c r="BR210" i="6"/>
  <c r="BE242" i="6"/>
  <c r="CD245" i="6"/>
  <c r="BC242" i="6"/>
  <c r="CD244" i="6"/>
  <c r="BG242" i="6"/>
  <c r="BD242" i="6"/>
  <c r="BI243" i="6"/>
  <c r="BH242" i="6"/>
  <c r="BF242" i="6"/>
  <c r="CD235" i="6"/>
  <c r="BI234" i="6"/>
  <c r="CD239" i="6"/>
  <c r="CD238" i="6"/>
  <c r="CD236" i="6"/>
  <c r="CD240" i="6"/>
  <c r="CD237" i="6"/>
  <c r="CD241" i="6"/>
  <c r="CD232" i="6"/>
  <c r="CD230" i="6"/>
  <c r="CD227" i="6"/>
  <c r="CD229" i="6"/>
  <c r="CD233" i="6"/>
  <c r="CD228" i="6"/>
  <c r="BI226" i="6"/>
  <c r="BI221" i="6"/>
  <c r="CD223" i="6"/>
  <c r="CD222" i="6"/>
  <c r="CD224" i="6"/>
  <c r="CD225" i="6"/>
  <c r="CD219" i="6"/>
  <c r="BI216" i="6"/>
  <c r="CD220" i="6"/>
  <c r="CD218" i="6"/>
  <c r="CD217" i="6"/>
  <c r="CD213" i="6"/>
  <c r="BI210" i="6"/>
  <c r="CD212" i="6"/>
  <c r="CD215" i="6"/>
  <c r="CD214" i="6"/>
  <c r="CD211" i="6"/>
  <c r="CD209" i="6"/>
  <c r="BF251" i="6"/>
  <c r="CD208" i="6"/>
  <c r="L51" i="8"/>
  <c r="BG241" i="8"/>
  <c r="BH233" i="8"/>
  <c r="BH225" i="8"/>
  <c r="BH220" i="8"/>
  <c r="BH215" i="8"/>
  <c r="BH209" i="8"/>
  <c r="BW222" i="27"/>
  <c r="BP222" i="27"/>
  <c r="BN212" i="26"/>
  <c r="BN213" i="26"/>
  <c r="BF216" i="26"/>
  <c r="BK216" i="26"/>
  <c r="BN214" i="26"/>
  <c r="BL216" i="26"/>
  <c r="BN210" i="26"/>
  <c r="BN215" i="26"/>
  <c r="BJ216" i="26"/>
  <c r="BM216" i="26"/>
  <c r="BL214" i="12"/>
  <c r="BH214" i="12"/>
  <c r="BJ224" i="12"/>
  <c r="BC224" i="12"/>
  <c r="BL223" i="12"/>
  <c r="BF224" i="12"/>
  <c r="BK224" i="12"/>
  <c r="BH223" i="12"/>
  <c r="G27" i="12"/>
  <c r="BF226" i="12" s="1"/>
  <c r="BL213" i="10"/>
  <c r="BH222" i="10"/>
  <c r="BH213" i="10"/>
  <c r="BL222" i="10"/>
  <c r="BI222" i="27"/>
  <c r="BS224" i="25"/>
  <c r="BU224" i="25"/>
  <c r="BH224" i="25"/>
  <c r="BT224" i="25"/>
  <c r="BG224" i="25"/>
  <c r="BJ224" i="25"/>
  <c r="BN224" i="25"/>
  <c r="BF224" i="25"/>
  <c r="BV224" i="25"/>
  <c r="BL224" i="25"/>
  <c r="BD224" i="25"/>
  <c r="BE224" i="25"/>
  <c r="BO224" i="25"/>
  <c r="BK224" i="25"/>
  <c r="BR224" i="25"/>
  <c r="BZ217" i="23"/>
  <c r="CR217" i="23"/>
  <c r="CS217" i="23"/>
  <c r="CQ217" i="23"/>
  <c r="H29" i="22"/>
  <c r="R29" i="22"/>
  <c r="BM228" i="22"/>
  <c r="M29" i="22"/>
  <c r="AE17" i="20"/>
  <c r="CD207" i="20"/>
  <c r="D37" i="19"/>
  <c r="J18" i="19"/>
  <c r="K510" i="19" s="1"/>
  <c r="BD237" i="18"/>
  <c r="BM237" i="18"/>
  <c r="BU237" i="18"/>
  <c r="BN237" i="18"/>
  <c r="BC237" i="18"/>
  <c r="BO237" i="18"/>
  <c r="BE237" i="18"/>
  <c r="BF237" i="18"/>
  <c r="BG237" i="18"/>
  <c r="BJ237" i="18"/>
  <c r="Q38" i="18"/>
  <c r="BR237" i="18"/>
  <c r="E21" i="21"/>
  <c r="BD220" i="21" s="1"/>
  <c r="BC217" i="15"/>
  <c r="BC221" i="14"/>
  <c r="J27" i="12"/>
  <c r="BI226" i="12" s="1"/>
  <c r="BI224" i="12"/>
  <c r="I25" i="12"/>
  <c r="I516" i="12" s="1"/>
  <c r="BG224" i="12"/>
  <c r="F27" i="12"/>
  <c r="BE224" i="12"/>
  <c r="BC213" i="11"/>
  <c r="I26" i="10"/>
  <c r="BH225" i="10" s="1"/>
  <c r="I24" i="10"/>
  <c r="BH223" i="10" s="1"/>
  <c r="M26" i="10"/>
  <c r="BL225" i="10" s="1"/>
  <c r="M24" i="10"/>
  <c r="BL223" i="10" s="1"/>
  <c r="I22" i="3"/>
  <c r="I27" i="3" s="1"/>
  <c r="BH226" i="3" s="1"/>
  <c r="BH213" i="3"/>
  <c r="BJ221" i="3"/>
  <c r="J26" i="1"/>
  <c r="AS198" i="1"/>
  <c r="I26" i="1"/>
  <c r="AR198" i="1"/>
  <c r="E26" i="1"/>
  <c r="AN198" i="1"/>
  <c r="G26" i="1"/>
  <c r="AP198" i="1"/>
  <c r="F26" i="1"/>
  <c r="AO198" i="1"/>
  <c r="AG23" i="5"/>
  <c r="CF222" i="5" s="1"/>
  <c r="CD222" i="5"/>
  <c r="AG19" i="5"/>
  <c r="CF218" i="5" s="1"/>
  <c r="CD218" i="5"/>
  <c r="AG12" i="5"/>
  <c r="CF211" i="5" s="1"/>
  <c r="CD211" i="5"/>
  <c r="AG15" i="5"/>
  <c r="CF214" i="5" s="1"/>
  <c r="CD214" i="5"/>
  <c r="AG10" i="5"/>
  <c r="CF209" i="5" s="1"/>
  <c r="CD209" i="5"/>
  <c r="AG16" i="5"/>
  <c r="CF215" i="5" s="1"/>
  <c r="CD215" i="5"/>
  <c r="U21" i="5"/>
  <c r="BT220" i="5" s="1"/>
  <c r="BR220" i="5"/>
  <c r="AG24" i="5"/>
  <c r="CF223" i="5" s="1"/>
  <c r="CD223" i="5"/>
  <c r="AG22" i="5"/>
  <c r="CF221" i="5" s="1"/>
  <c r="CD221" i="5"/>
  <c r="AG14" i="5"/>
  <c r="CF213" i="5" s="1"/>
  <c r="CD213" i="5"/>
  <c r="AG26" i="5"/>
  <c r="CF225" i="5" s="1"/>
  <c r="CD225" i="5"/>
  <c r="AG25" i="5"/>
  <c r="CF224" i="5" s="1"/>
  <c r="CD224" i="5"/>
  <c r="X29" i="5"/>
  <c r="U521" i="5" s="1"/>
  <c r="BW217" i="5"/>
  <c r="AG17" i="5"/>
  <c r="CF216" i="5" s="1"/>
  <c r="CD216" i="5"/>
  <c r="AG11" i="5"/>
  <c r="CF210" i="5" s="1"/>
  <c r="CD210" i="5"/>
  <c r="AG28" i="5"/>
  <c r="CF227" i="5" s="1"/>
  <c r="CD227" i="5"/>
  <c r="L21" i="5"/>
  <c r="BK220" i="5" s="1"/>
  <c r="BI220" i="5"/>
  <c r="AG20" i="5"/>
  <c r="CF219" i="5" s="1"/>
  <c r="CD219" i="5"/>
  <c r="AG27" i="5"/>
  <c r="CF226" i="5" s="1"/>
  <c r="CD226" i="5"/>
  <c r="AD13" i="5"/>
  <c r="CC212" i="5" s="1"/>
  <c r="CA212" i="5"/>
  <c r="U13" i="5"/>
  <c r="BT212" i="5" s="1"/>
  <c r="BR212" i="5"/>
  <c r="L13" i="5"/>
  <c r="BK212" i="5" s="1"/>
  <c r="BI212" i="5"/>
  <c r="AG47" i="6"/>
  <c r="CF246" i="6" s="1"/>
  <c r="CD246" i="6"/>
  <c r="O52" i="6"/>
  <c r="AG49" i="6"/>
  <c r="CF248" i="6" s="1"/>
  <c r="CD248" i="6"/>
  <c r="AG48" i="6"/>
  <c r="CF247" i="6" s="1"/>
  <c r="CD247" i="6"/>
  <c r="AG51" i="6"/>
  <c r="CF250" i="6" s="1"/>
  <c r="CD250" i="6"/>
  <c r="AG50" i="6"/>
  <c r="CF249" i="6" s="1"/>
  <c r="CD249" i="6"/>
  <c r="S43" i="6"/>
  <c r="V52" i="6"/>
  <c r="R39" i="19"/>
  <c r="BQ238" i="19" s="1"/>
  <c r="AB43" i="6"/>
  <c r="Y535" i="6" s="1"/>
  <c r="U44" i="6"/>
  <c r="BT243" i="6" s="1"/>
  <c r="AG34" i="6"/>
  <c r="CF233" i="6" s="1"/>
  <c r="AG41" i="6"/>
  <c r="CF240" i="6" s="1"/>
  <c r="E52" i="6"/>
  <c r="E20" i="21"/>
  <c r="BD219" i="21" s="1"/>
  <c r="Q38" i="19"/>
  <c r="BP237" i="19" s="1"/>
  <c r="AC19" i="20"/>
  <c r="CB218" i="20" s="1"/>
  <c r="M52" i="6"/>
  <c r="AG9" i="6"/>
  <c r="CF208" i="6" s="1"/>
  <c r="AG18" i="6"/>
  <c r="CF217" i="6" s="1"/>
  <c r="J25" i="25"/>
  <c r="AG15" i="6"/>
  <c r="CF214" i="6" s="1"/>
  <c r="AG29" i="6"/>
  <c r="CF228" i="6" s="1"/>
  <c r="Q25" i="25"/>
  <c r="AG10" i="6"/>
  <c r="CF209" i="6" s="1"/>
  <c r="I39" i="19"/>
  <c r="BH238" i="19" s="1"/>
  <c r="AG31" i="6"/>
  <c r="CF230" i="6" s="1"/>
  <c r="AG14" i="6"/>
  <c r="CF213" i="6" s="1"/>
  <c r="D20" i="21"/>
  <c r="BC219" i="21" s="1"/>
  <c r="AB19" i="20"/>
  <c r="CA218" i="20" s="1"/>
  <c r="J38" i="19"/>
  <c r="BI237" i="19" s="1"/>
  <c r="AG42" i="6"/>
  <c r="CF241" i="6" s="1"/>
  <c r="AG33" i="6"/>
  <c r="CF232" i="6" s="1"/>
  <c r="T39" i="19"/>
  <c r="BS238" i="19" s="1"/>
  <c r="BS240" i="19"/>
  <c r="S10" i="22"/>
  <c r="X38" i="18"/>
  <c r="AG21" i="6"/>
  <c r="CF220" i="6" s="1"/>
  <c r="AG24" i="6"/>
  <c r="CF223" i="6" s="1"/>
  <c r="F52" i="6"/>
  <c r="J43" i="6"/>
  <c r="K535" i="6" s="1"/>
  <c r="W52" i="6"/>
  <c r="AG30" i="6"/>
  <c r="CF229" i="6" s="1"/>
  <c r="H39" i="19"/>
  <c r="BG238" i="19" s="1"/>
  <c r="N39" i="19"/>
  <c r="BM238" i="19" s="1"/>
  <c r="AG46" i="6"/>
  <c r="CF245" i="6" s="1"/>
  <c r="AG36" i="6"/>
  <c r="CF235" i="6" s="1"/>
  <c r="AG25" i="6"/>
  <c r="CF224" i="6" s="1"/>
  <c r="AU19" i="24"/>
  <c r="AU20" i="24" s="1"/>
  <c r="CT219" i="24" s="1"/>
  <c r="X25" i="25"/>
  <c r="AG28" i="6"/>
  <c r="CF227" i="6" s="1"/>
  <c r="S39" i="19"/>
  <c r="BR238" i="19" s="1"/>
  <c r="U17" i="6"/>
  <c r="BT216" i="6" s="1"/>
  <c r="U35" i="6"/>
  <c r="BT234" i="6" s="1"/>
  <c r="AD11" i="6"/>
  <c r="CC210" i="6" s="1"/>
  <c r="AD27" i="6"/>
  <c r="CC226" i="6" s="1"/>
  <c r="D21" i="21"/>
  <c r="Y52" i="6"/>
  <c r="AG37" i="6"/>
  <c r="CF236" i="6" s="1"/>
  <c r="AG19" i="6"/>
  <c r="CF218" i="6" s="1"/>
  <c r="G39" i="19"/>
  <c r="BF238" i="19" s="1"/>
  <c r="AG40" i="6"/>
  <c r="CF239" i="6" s="1"/>
  <c r="N52" i="6"/>
  <c r="AG16" i="6"/>
  <c r="CF215" i="6" s="1"/>
  <c r="U39" i="19"/>
  <c r="BT238" i="19" s="1"/>
  <c r="Y18" i="25"/>
  <c r="Y29" i="25" s="1"/>
  <c r="BX228" i="25" s="1"/>
  <c r="F21" i="21"/>
  <c r="BE220" i="21" s="1"/>
  <c r="AG23" i="6"/>
  <c r="CF222" i="6" s="1"/>
  <c r="U22" i="6"/>
  <c r="BT221" i="6" s="1"/>
  <c r="G19" i="21"/>
  <c r="H513" i="21" s="1"/>
  <c r="AG20" i="6"/>
  <c r="CF219" i="6" s="1"/>
  <c r="AG39" i="6"/>
  <c r="CF238" i="6" s="1"/>
  <c r="AG13" i="6"/>
  <c r="CF212" i="6" s="1"/>
  <c r="F39" i="19"/>
  <c r="BE238" i="19" s="1"/>
  <c r="U11" i="6"/>
  <c r="BT210" i="6" s="1"/>
  <c r="AA52" i="6"/>
  <c r="H51" i="8"/>
  <c r="AG12" i="6"/>
  <c r="CF211" i="6" s="1"/>
  <c r="AG38" i="6"/>
  <c r="CF237" i="6" s="1"/>
  <c r="V39" i="19"/>
  <c r="BU238" i="19" s="1"/>
  <c r="F20" i="21"/>
  <c r="BE219" i="21" s="1"/>
  <c r="X38" i="19"/>
  <c r="BW237" i="19" s="1"/>
  <c r="AD19" i="20"/>
  <c r="CC218" i="20" s="1"/>
  <c r="P39" i="19"/>
  <c r="BO238" i="19" s="1"/>
  <c r="AG45" i="6"/>
  <c r="CF244" i="6" s="1"/>
  <c r="AG26" i="6"/>
  <c r="CF225" i="6" s="1"/>
  <c r="H27" i="12"/>
  <c r="BG226" i="12" s="1"/>
  <c r="U27" i="6"/>
  <c r="BT226" i="6" s="1"/>
  <c r="BC222" i="29"/>
  <c r="BL209" i="8"/>
  <c r="AF11" i="6"/>
  <c r="CE210" i="6" s="1"/>
  <c r="G22" i="14"/>
  <c r="BF221" i="14" s="1"/>
  <c r="BL242" i="8"/>
  <c r="AF44" i="6"/>
  <c r="G17" i="15"/>
  <c r="BF216" i="15" s="1"/>
  <c r="M26" i="12"/>
  <c r="BL225" i="12" s="1"/>
  <c r="G21" i="14"/>
  <c r="BF220" i="14" s="1"/>
  <c r="M13" i="11"/>
  <c r="BL212" i="11" s="1"/>
  <c r="M24" i="3"/>
  <c r="BL223" i="3" s="1"/>
  <c r="F51" i="8"/>
  <c r="BE241" i="8"/>
  <c r="BL233" i="8"/>
  <c r="AF35" i="6"/>
  <c r="CE234" i="6" s="1"/>
  <c r="K51" i="8"/>
  <c r="BJ241" i="8"/>
  <c r="T43" i="6"/>
  <c r="BS242" i="6" s="1"/>
  <c r="BI241" i="8"/>
  <c r="K43" i="6"/>
  <c r="BJ242" i="6" s="1"/>
  <c r="BL215" i="8"/>
  <c r="AF17" i="6"/>
  <c r="CE216" i="6" s="1"/>
  <c r="BL220" i="8"/>
  <c r="AF22" i="6"/>
  <c r="CE221" i="6" s="1"/>
  <c r="BK241" i="8"/>
  <c r="AC43" i="6"/>
  <c r="CB242" i="6" s="1"/>
  <c r="G51" i="8"/>
  <c r="BF241" i="8"/>
  <c r="BL225" i="8"/>
  <c r="AF27" i="6"/>
  <c r="CE226" i="6" s="1"/>
  <c r="BH242" i="8"/>
  <c r="F17" i="15"/>
  <c r="BE216" i="15" s="1"/>
  <c r="I26" i="12"/>
  <c r="BH225" i="12" s="1"/>
  <c r="I24" i="3"/>
  <c r="BH223" i="3" s="1"/>
  <c r="F21" i="14"/>
  <c r="BE220" i="14" s="1"/>
  <c r="I13" i="11"/>
  <c r="BH212" i="11" s="1"/>
  <c r="P22" i="14"/>
  <c r="BO221" i="14" s="1"/>
  <c r="BC241" i="8"/>
  <c r="P17" i="15"/>
  <c r="BO216" i="15" s="1"/>
  <c r="P21" i="14"/>
  <c r="BO220" i="14" s="1"/>
  <c r="H19" i="1"/>
  <c r="AD9" i="5"/>
  <c r="CC208" i="5" s="1"/>
  <c r="AD21" i="5"/>
  <c r="CC220" i="5" s="1"/>
  <c r="U9" i="5"/>
  <c r="BT208" i="5" s="1"/>
  <c r="L9" i="5"/>
  <c r="AD22" i="6"/>
  <c r="CC221" i="6" s="1"/>
  <c r="AD44" i="6"/>
  <c r="CC243" i="6" s="1"/>
  <c r="AD35" i="6"/>
  <c r="CC234" i="6" s="1"/>
  <c r="AD17" i="6"/>
  <c r="CC216" i="6" s="1"/>
  <c r="L35" i="6"/>
  <c r="BK234" i="6" s="1"/>
  <c r="L11" i="6"/>
  <c r="BK210" i="6" s="1"/>
  <c r="L22" i="6"/>
  <c r="BK221" i="6" s="1"/>
  <c r="L17" i="6"/>
  <c r="BK216" i="6" s="1"/>
  <c r="L44" i="6"/>
  <c r="BK243" i="6" s="1"/>
  <c r="L27" i="6"/>
  <c r="BK226" i="6" s="1"/>
  <c r="AE27" i="6"/>
  <c r="Z519" i="6" s="1"/>
  <c r="M42" i="8"/>
  <c r="M535" i="8" s="1"/>
  <c r="I42" i="8"/>
  <c r="I535" i="8" s="1"/>
  <c r="P18" i="15"/>
  <c r="BO217" i="15" s="1"/>
  <c r="D51" i="8"/>
  <c r="D54" i="8" s="1"/>
  <c r="BC253" i="8" s="1"/>
  <c r="G18" i="15"/>
  <c r="BF217" i="15" s="1"/>
  <c r="M14" i="11"/>
  <c r="BL213" i="11" s="1"/>
  <c r="F22" i="14"/>
  <c r="BE221" i="14" s="1"/>
  <c r="F18" i="15"/>
  <c r="I14" i="11"/>
  <c r="BH213" i="11" s="1"/>
  <c r="M22" i="29"/>
  <c r="BL221" i="29" s="1"/>
  <c r="M23" i="29"/>
  <c r="BL222" i="29" s="1"/>
  <c r="I22" i="29"/>
  <c r="BH221" i="29" s="1"/>
  <c r="I23" i="29"/>
  <c r="Y23" i="27"/>
  <c r="Y24" i="27" s="1"/>
  <c r="M16" i="10"/>
  <c r="BL215" i="10" s="1"/>
  <c r="I16" i="10"/>
  <c r="BH215" i="10" s="1"/>
  <c r="Y14" i="25"/>
  <c r="Y28" i="25" s="1"/>
  <c r="BX227" i="25" s="1"/>
  <c r="O17" i="26"/>
  <c r="P510" i="26" s="1"/>
  <c r="S19" i="22"/>
  <c r="AD20" i="20"/>
  <c r="CC219" i="20" s="1"/>
  <c r="AB20" i="20"/>
  <c r="W39" i="19"/>
  <c r="BV238" i="19" s="1"/>
  <c r="X37" i="19"/>
  <c r="Y529" i="19" s="1"/>
  <c r="O39" i="19"/>
  <c r="BN238" i="19" s="1"/>
  <c r="Q37" i="19"/>
  <c r="R529" i="19" s="1"/>
  <c r="Y31" i="19"/>
  <c r="Z523" i="19" s="1"/>
  <c r="Y23" i="19"/>
  <c r="Z515" i="19" s="1"/>
  <c r="J38" i="18"/>
  <c r="Y18" i="18"/>
  <c r="Z26" i="17"/>
  <c r="Z518" i="17" s="1"/>
  <c r="M25" i="12"/>
  <c r="M516" i="12" s="1"/>
  <c r="L27" i="12"/>
  <c r="BK226" i="12" s="1"/>
  <c r="K26" i="1"/>
  <c r="L19" i="1"/>
  <c r="AE21" i="5"/>
  <c r="Z513" i="5" s="1"/>
  <c r="AE13" i="5"/>
  <c r="Z505" i="5" s="1"/>
  <c r="AB18" i="5"/>
  <c r="Y510" i="5" s="1"/>
  <c r="AE22" i="6"/>
  <c r="Z514" i="6" s="1"/>
  <c r="R19" i="17"/>
  <c r="R511" i="17" s="1"/>
  <c r="R33" i="17"/>
  <c r="R525" i="17" s="1"/>
  <c r="AE17" i="6"/>
  <c r="Z509" i="6" s="1"/>
  <c r="Z10" i="17"/>
  <c r="Z502" i="17" s="1"/>
  <c r="AE11" i="6"/>
  <c r="Z503" i="6" s="1"/>
  <c r="X18" i="19"/>
  <c r="Y510" i="19" s="1"/>
  <c r="AE9" i="5"/>
  <c r="Z501" i="5" s="1"/>
  <c r="Y11" i="19"/>
  <c r="Z503" i="19" s="1"/>
  <c r="AE35" i="6"/>
  <c r="Z527" i="6" s="1"/>
  <c r="Y25" i="17"/>
  <c r="Y517" i="17" s="1"/>
  <c r="Y19" i="19"/>
  <c r="Z511" i="19" s="1"/>
  <c r="Y9" i="18"/>
  <c r="M29" i="5"/>
  <c r="L521" i="5" s="1"/>
  <c r="S18" i="5"/>
  <c r="R510" i="5" s="1"/>
  <c r="AE44" i="6"/>
  <c r="J51" i="8"/>
  <c r="AU18" i="23"/>
  <c r="AY18" i="23" s="1"/>
  <c r="CX217" i="23" s="1"/>
  <c r="K33" i="17"/>
  <c r="K525" i="17" s="1"/>
  <c r="J30" i="1" l="1"/>
  <c r="J517" i="1"/>
  <c r="I30" i="1"/>
  <c r="I517" i="1"/>
  <c r="G30" i="1"/>
  <c r="G517" i="1"/>
  <c r="F30" i="1"/>
  <c r="F517" i="1"/>
  <c r="L31" i="1"/>
  <c r="AU210" i="1" s="1"/>
  <c r="L510" i="1"/>
  <c r="K30" i="1"/>
  <c r="K517" i="1"/>
  <c r="E30" i="1"/>
  <c r="E517" i="1"/>
  <c r="H31" i="1"/>
  <c r="AQ210" i="1" s="1"/>
  <c r="H510" i="1"/>
  <c r="K32" i="1"/>
  <c r="AT211" i="1" s="1"/>
  <c r="I32" i="1"/>
  <c r="AR211" i="1" s="1"/>
  <c r="G32" i="1"/>
  <c r="AP211" i="1" s="1"/>
  <c r="E32" i="1"/>
  <c r="AN211" i="1" s="1"/>
  <c r="K497" i="1"/>
  <c r="E497" i="1"/>
  <c r="I497" i="1"/>
  <c r="G497" i="1"/>
  <c r="BE228" i="5"/>
  <c r="BO228" i="5"/>
  <c r="AY19" i="24"/>
  <c r="CX218" i="24" s="1"/>
  <c r="BX223" i="23"/>
  <c r="BH229" i="12"/>
  <c r="F2" i="12"/>
  <c r="BE201" i="12" s="1"/>
  <c r="J497" i="1"/>
  <c r="J32" i="1"/>
  <c r="AS211" i="1" s="1"/>
  <c r="F497" i="1"/>
  <c r="F32" i="1"/>
  <c r="AO211" i="1" s="1"/>
  <c r="F2" i="10"/>
  <c r="BE201" i="10" s="1"/>
  <c r="G54" i="6"/>
  <c r="BF253" i="6" s="1"/>
  <c r="E16" i="16"/>
  <c r="BD215" i="16" s="1"/>
  <c r="G55" i="6"/>
  <c r="BF254" i="6" s="1"/>
  <c r="M23" i="3"/>
  <c r="BL222" i="3" s="1"/>
  <c r="BL221" i="3"/>
  <c r="J25" i="3"/>
  <c r="BI224" i="3" s="1"/>
  <c r="BU228" i="5"/>
  <c r="BC228" i="5"/>
  <c r="BQ228" i="5"/>
  <c r="BV228" i="5"/>
  <c r="BF228" i="5"/>
  <c r="BH251" i="6"/>
  <c r="D43" i="19"/>
  <c r="BC242" i="19" s="1"/>
  <c r="E529" i="19"/>
  <c r="BH228" i="10"/>
  <c r="H25" i="3"/>
  <c r="BG224" i="3" s="1"/>
  <c r="F2" i="27"/>
  <c r="BF201" i="27" s="1"/>
  <c r="BX223" i="27"/>
  <c r="F2" i="24"/>
  <c r="BE201" i="24" s="1"/>
  <c r="BZ219" i="24"/>
  <c r="R37" i="17"/>
  <c r="BQ236" i="17" s="1"/>
  <c r="X25" i="33"/>
  <c r="BW224" i="33" s="1"/>
  <c r="X26" i="33"/>
  <c r="BW225" i="33" s="1"/>
  <c r="BC225" i="33"/>
  <c r="Q25" i="33"/>
  <c r="BP224" i="33" s="1"/>
  <c r="Q26" i="33"/>
  <c r="BP225" i="33" s="1"/>
  <c r="J25" i="33"/>
  <c r="BI224" i="33" s="1"/>
  <c r="J26" i="33"/>
  <c r="BI225" i="33" s="1"/>
  <c r="S18" i="16"/>
  <c r="T507" i="16"/>
  <c r="M28" i="3"/>
  <c r="BL227" i="3" s="1"/>
  <c r="M27" i="3"/>
  <c r="D25" i="3"/>
  <c r="BC224" i="3" s="1"/>
  <c r="L25" i="3"/>
  <c r="BK224" i="3" s="1"/>
  <c r="CE243" i="6"/>
  <c r="AF53" i="6"/>
  <c r="CE252" i="6" s="1"/>
  <c r="X42" i="19"/>
  <c r="BW241" i="19" s="1"/>
  <c r="X43" i="19"/>
  <c r="BW242" i="19" s="1"/>
  <c r="Q43" i="19"/>
  <c r="BP242" i="19" s="1"/>
  <c r="Q42" i="19"/>
  <c r="BP241" i="19" s="1"/>
  <c r="D41" i="19"/>
  <c r="BC240" i="19" s="1"/>
  <c r="D42" i="19"/>
  <c r="BC241" i="19" s="1"/>
  <c r="T502" i="22"/>
  <c r="S32" i="22"/>
  <c r="BR231" i="22" s="1"/>
  <c r="S521" i="22"/>
  <c r="R35" i="22"/>
  <c r="BQ234" i="22" s="1"/>
  <c r="R34" i="22"/>
  <c r="BQ233" i="22" s="1"/>
  <c r="M34" i="22"/>
  <c r="BL233" i="22" s="1"/>
  <c r="M35" i="22"/>
  <c r="BL234" i="22" s="1"/>
  <c r="N521" i="22"/>
  <c r="I521" i="22"/>
  <c r="H35" i="22"/>
  <c r="BG234" i="22" s="1"/>
  <c r="H34" i="22"/>
  <c r="BG233" i="22" s="1"/>
  <c r="T511" i="22"/>
  <c r="S33" i="22"/>
  <c r="BR232" i="22" s="1"/>
  <c r="AF510" i="20"/>
  <c r="AE18" i="20"/>
  <c r="Y517" i="25"/>
  <c r="X30" i="25"/>
  <c r="BW229" i="25" s="1"/>
  <c r="R517" i="25"/>
  <c r="Q30" i="25"/>
  <c r="BP229" i="25" s="1"/>
  <c r="Z510" i="25"/>
  <c r="Z506" i="25"/>
  <c r="K517" i="25"/>
  <c r="J30" i="25"/>
  <c r="BI229" i="25" s="1"/>
  <c r="AV508" i="23"/>
  <c r="AU19" i="23"/>
  <c r="CT218" i="23" s="1"/>
  <c r="AU20" i="23"/>
  <c r="CT219" i="23" s="1"/>
  <c r="R38" i="17"/>
  <c r="BQ237" i="17" s="1"/>
  <c r="K38" i="17"/>
  <c r="BJ237" i="17" s="1"/>
  <c r="Z511" i="18"/>
  <c r="Y40" i="18"/>
  <c r="BX239" i="18" s="1"/>
  <c r="X42" i="18"/>
  <c r="BW241" i="18" s="1"/>
  <c r="X41" i="18"/>
  <c r="BW240" i="18" s="1"/>
  <c r="Y531" i="18"/>
  <c r="Q42" i="18"/>
  <c r="BP241" i="18" s="1"/>
  <c r="Q41" i="18"/>
  <c r="BP240" i="18" s="1"/>
  <c r="R531" i="18"/>
  <c r="K531" i="18"/>
  <c r="J42" i="18"/>
  <c r="BI241" i="18" s="1"/>
  <c r="J41" i="18"/>
  <c r="BI240" i="18" s="1"/>
  <c r="Z502" i="18"/>
  <c r="Y39" i="18"/>
  <c r="BX238" i="18" s="1"/>
  <c r="F25" i="3"/>
  <c r="I515" i="3"/>
  <c r="I28" i="3"/>
  <c r="BH227" i="3" s="1"/>
  <c r="K25" i="3"/>
  <c r="BJ224" i="3" s="1"/>
  <c r="L490" i="1"/>
  <c r="H490" i="1"/>
  <c r="BZ228" i="5"/>
  <c r="G16" i="16"/>
  <c r="BF215" i="16" s="1"/>
  <c r="X544" i="6"/>
  <c r="AA55" i="6"/>
  <c r="BZ254" i="6" s="1"/>
  <c r="AA54" i="6"/>
  <c r="BZ253" i="6" s="1"/>
  <c r="Z55" i="6"/>
  <c r="BY254" i="6" s="1"/>
  <c r="Z54" i="6"/>
  <c r="BY253" i="6" s="1"/>
  <c r="W544" i="6"/>
  <c r="Y54" i="6"/>
  <c r="BX253" i="6" s="1"/>
  <c r="Y55" i="6"/>
  <c r="BX254" i="6" s="1"/>
  <c r="V544" i="6"/>
  <c r="X55" i="6"/>
  <c r="BW254" i="6" s="1"/>
  <c r="X54" i="6"/>
  <c r="BW253" i="6" s="1"/>
  <c r="U544" i="6"/>
  <c r="W54" i="6"/>
  <c r="BV253" i="6" s="1"/>
  <c r="W55" i="6"/>
  <c r="BV254" i="6" s="1"/>
  <c r="T544" i="6"/>
  <c r="V54" i="6"/>
  <c r="BU253" i="6" s="1"/>
  <c r="V55" i="6"/>
  <c r="BU254" i="6" s="1"/>
  <c r="S544" i="6"/>
  <c r="R54" i="6"/>
  <c r="BQ253" i="6" s="1"/>
  <c r="R55" i="6"/>
  <c r="BQ254" i="6" s="1"/>
  <c r="Q544" i="6"/>
  <c r="Q55" i="6"/>
  <c r="BP254" i="6" s="1"/>
  <c r="Q54" i="6"/>
  <c r="BP253" i="6" s="1"/>
  <c r="P544" i="6"/>
  <c r="J17" i="16"/>
  <c r="BI216" i="16" s="1"/>
  <c r="P55" i="6"/>
  <c r="BO254" i="6" s="1"/>
  <c r="P54" i="6"/>
  <c r="BO253" i="6" s="1"/>
  <c r="O544" i="6"/>
  <c r="J16" i="16"/>
  <c r="BI215" i="16" s="1"/>
  <c r="O54" i="6"/>
  <c r="BN253" i="6" s="1"/>
  <c r="O55" i="6"/>
  <c r="BN254" i="6" s="1"/>
  <c r="N544" i="6"/>
  <c r="M544" i="6"/>
  <c r="N54" i="6"/>
  <c r="BM253" i="6" s="1"/>
  <c r="N55" i="6"/>
  <c r="BM254" i="6" s="1"/>
  <c r="S52" i="6"/>
  <c r="M16" i="16" s="1"/>
  <c r="BL215" i="16" s="1"/>
  <c r="R535" i="6"/>
  <c r="M54" i="6"/>
  <c r="BL253" i="6" s="1"/>
  <c r="M55" i="6"/>
  <c r="BL254" i="6" s="1"/>
  <c r="L544" i="6"/>
  <c r="J544" i="6"/>
  <c r="I54" i="6"/>
  <c r="BH253" i="6" s="1"/>
  <c r="I55" i="6"/>
  <c r="BH254" i="6" s="1"/>
  <c r="I544" i="6"/>
  <c r="H54" i="6"/>
  <c r="BG253" i="6" s="1"/>
  <c r="H55" i="6"/>
  <c r="BG254" i="6" s="1"/>
  <c r="F55" i="6"/>
  <c r="BE254" i="6" s="1"/>
  <c r="F54" i="6"/>
  <c r="BE253" i="6" s="1"/>
  <c r="G544" i="6"/>
  <c r="Z536" i="6"/>
  <c r="AE53" i="6"/>
  <c r="CD252" i="6" s="1"/>
  <c r="F544" i="6"/>
  <c r="E55" i="6"/>
  <c r="BD254" i="6" s="1"/>
  <c r="E54" i="6"/>
  <c r="BD253" i="6" s="1"/>
  <c r="E544" i="6"/>
  <c r="D55" i="6"/>
  <c r="BC254" i="6" s="1"/>
  <c r="D54" i="6"/>
  <c r="BC253" i="6" s="1"/>
  <c r="L544" i="8"/>
  <c r="L53" i="8"/>
  <c r="BK252" i="8" s="1"/>
  <c r="L54" i="8"/>
  <c r="BK253" i="8" s="1"/>
  <c r="K544" i="8"/>
  <c r="K53" i="8"/>
  <c r="BJ252" i="8" s="1"/>
  <c r="K54" i="8"/>
  <c r="BJ253" i="8" s="1"/>
  <c r="J544" i="8"/>
  <c r="J54" i="8"/>
  <c r="BI253" i="8" s="1"/>
  <c r="J53" i="8"/>
  <c r="BI252" i="8" s="1"/>
  <c r="H544" i="8"/>
  <c r="H54" i="8"/>
  <c r="BG253" i="8" s="1"/>
  <c r="H53" i="8"/>
  <c r="BG252" i="8" s="1"/>
  <c r="G544" i="8"/>
  <c r="G54" i="8"/>
  <c r="BF253" i="8" s="1"/>
  <c r="G53" i="8"/>
  <c r="BF252" i="8" s="1"/>
  <c r="F544" i="8"/>
  <c r="F53" i="8"/>
  <c r="BE252" i="8" s="1"/>
  <c r="F54" i="8"/>
  <c r="BE253" i="8" s="1"/>
  <c r="E544" i="8"/>
  <c r="D53" i="8"/>
  <c r="BC252" i="8" s="1"/>
  <c r="Z516" i="27"/>
  <c r="BN228" i="5"/>
  <c r="BG228" i="5"/>
  <c r="BX228" i="5"/>
  <c r="BD228" i="5"/>
  <c r="BY228" i="5"/>
  <c r="BH228" i="5"/>
  <c r="BP228" i="5"/>
  <c r="AU25" i="24"/>
  <c r="CT224" i="24" s="1"/>
  <c r="AV510" i="24"/>
  <c r="BO251" i="6"/>
  <c r="Z38" i="23"/>
  <c r="BY242" i="23" s="1"/>
  <c r="Z26" i="23"/>
  <c r="BY225" i="23" s="1"/>
  <c r="K16" i="16"/>
  <c r="BJ215" i="16" s="1"/>
  <c r="K17" i="16"/>
  <c r="BJ216" i="16" s="1"/>
  <c r="Q16" i="16"/>
  <c r="BP215" i="16" s="1"/>
  <c r="Q17" i="16"/>
  <c r="BP216" i="16" s="1"/>
  <c r="I16" i="16"/>
  <c r="BH215" i="16" s="1"/>
  <c r="I17" i="16"/>
  <c r="BH216" i="16" s="1"/>
  <c r="BP251" i="6"/>
  <c r="N16" i="16"/>
  <c r="BM215" i="16" s="1"/>
  <c r="N17" i="16"/>
  <c r="BM216" i="16" s="1"/>
  <c r="L16" i="16"/>
  <c r="BK215" i="16" s="1"/>
  <c r="L17" i="16"/>
  <c r="BK216" i="16" s="1"/>
  <c r="O16" i="16"/>
  <c r="BN215" i="16" s="1"/>
  <c r="O17" i="16"/>
  <c r="BN216" i="16" s="1"/>
  <c r="F16" i="16"/>
  <c r="BE215" i="16" s="1"/>
  <c r="F17" i="16"/>
  <c r="BE216" i="16" s="1"/>
  <c r="P16" i="16"/>
  <c r="BO215" i="16" s="1"/>
  <c r="P17" i="16"/>
  <c r="BO216" i="16" s="1"/>
  <c r="C2" i="29"/>
  <c r="BB201" i="29" s="1"/>
  <c r="AU26" i="24"/>
  <c r="CT225" i="24" s="1"/>
  <c r="AA26" i="24"/>
  <c r="BZ225" i="24" s="1"/>
  <c r="Z27" i="24"/>
  <c r="BY226" i="24" s="1"/>
  <c r="Z37" i="23"/>
  <c r="BY241" i="23" s="1"/>
  <c r="AT37" i="23"/>
  <c r="CS241" i="23" s="1"/>
  <c r="AT25" i="23"/>
  <c r="CS224" i="23" s="1"/>
  <c r="AT28" i="24"/>
  <c r="CS227" i="24" s="1"/>
  <c r="Z28" i="24"/>
  <c r="BY227" i="24" s="1"/>
  <c r="AT27" i="24"/>
  <c r="CS226" i="24" s="1"/>
  <c r="Z25" i="23"/>
  <c r="BY224" i="23" s="1"/>
  <c r="AT38" i="23"/>
  <c r="CS242" i="23" s="1"/>
  <c r="AT26" i="23"/>
  <c r="CS225" i="23" s="1"/>
  <c r="Y28" i="24"/>
  <c r="BX227" i="24" s="1"/>
  <c r="AS37" i="23"/>
  <c r="CR241" i="23" s="1"/>
  <c r="AS27" i="24"/>
  <c r="CR226" i="24" s="1"/>
  <c r="AS25" i="23"/>
  <c r="CR224" i="23" s="1"/>
  <c r="Y27" i="24"/>
  <c r="BX226" i="24" s="1"/>
  <c r="AS28" i="24"/>
  <c r="CR227" i="24" s="1"/>
  <c r="Y37" i="23"/>
  <c r="BX241" i="23" s="1"/>
  <c r="Y25" i="23"/>
  <c r="BX224" i="23" s="1"/>
  <c r="AS38" i="23"/>
  <c r="CR242" i="23" s="1"/>
  <c r="Y38" i="23"/>
  <c r="BX242" i="23" s="1"/>
  <c r="Y26" i="23"/>
  <c r="BX225" i="23" s="1"/>
  <c r="AS26" i="23"/>
  <c r="CR225" i="23" s="1"/>
  <c r="AR28" i="24"/>
  <c r="CQ227" i="24" s="1"/>
  <c r="AR27" i="24"/>
  <c r="CQ226" i="24" s="1"/>
  <c r="X37" i="23"/>
  <c r="BW241" i="23" s="1"/>
  <c r="AR25" i="23"/>
  <c r="CQ224" i="23" s="1"/>
  <c r="X28" i="24"/>
  <c r="BW227" i="24" s="1"/>
  <c r="X27" i="24"/>
  <c r="BW226" i="24" s="1"/>
  <c r="AR37" i="23"/>
  <c r="CQ241" i="23" s="1"/>
  <c r="X25" i="23"/>
  <c r="BW224" i="23" s="1"/>
  <c r="AR38" i="23"/>
  <c r="CQ242" i="23" s="1"/>
  <c r="X38" i="23"/>
  <c r="BW242" i="23" s="1"/>
  <c r="X26" i="23"/>
  <c r="BW225" i="23" s="1"/>
  <c r="AR26" i="23"/>
  <c r="CQ225" i="23" s="1"/>
  <c r="AU22" i="24"/>
  <c r="CT221" i="24" s="1"/>
  <c r="AU24" i="23"/>
  <c r="CT223" i="23" s="1"/>
  <c r="AU21" i="24"/>
  <c r="CT220" i="24" s="1"/>
  <c r="AA24" i="23"/>
  <c r="BZ223" i="23" s="1"/>
  <c r="AU23" i="23"/>
  <c r="CT222" i="23" s="1"/>
  <c r="D16" i="16"/>
  <c r="BC215" i="16" s="1"/>
  <c r="D17" i="16"/>
  <c r="BC216" i="16" s="1"/>
  <c r="R31" i="22"/>
  <c r="BQ230" i="22" s="1"/>
  <c r="C2" i="10"/>
  <c r="BE217" i="15"/>
  <c r="I23" i="3"/>
  <c r="I25" i="3" s="1"/>
  <c r="BH224" i="3" s="1"/>
  <c r="E22" i="3"/>
  <c r="BD221" i="3" s="1"/>
  <c r="E25" i="12"/>
  <c r="BD224" i="12" s="1"/>
  <c r="BE226" i="12"/>
  <c r="C2" i="11"/>
  <c r="BB201" i="11" s="1"/>
  <c r="G25" i="3"/>
  <c r="BF222" i="3"/>
  <c r="E42" i="8"/>
  <c r="BD241" i="8" s="1"/>
  <c r="H31" i="22"/>
  <c r="BG230" i="22" s="1"/>
  <c r="H26" i="1"/>
  <c r="R30" i="22"/>
  <c r="BQ229" i="22" s="1"/>
  <c r="N19" i="26"/>
  <c r="N20" i="26"/>
  <c r="M30" i="22"/>
  <c r="BL229" i="22" s="1"/>
  <c r="M19" i="26"/>
  <c r="BL218" i="26" s="1"/>
  <c r="M20" i="26"/>
  <c r="H30" i="22"/>
  <c r="BG229" i="22" s="1"/>
  <c r="L19" i="26"/>
  <c r="BK218" i="26" s="1"/>
  <c r="L20" i="26"/>
  <c r="M31" i="22"/>
  <c r="BL230" i="22" s="1"/>
  <c r="AD21" i="20"/>
  <c r="F22" i="21"/>
  <c r="F23" i="21"/>
  <c r="AC21" i="20"/>
  <c r="CB220" i="20" s="1"/>
  <c r="E22" i="21"/>
  <c r="BD221" i="21" s="1"/>
  <c r="E23" i="21"/>
  <c r="BD222" i="21" s="1"/>
  <c r="AB22" i="20"/>
  <c r="CA221" i="20" s="1"/>
  <c r="D22" i="21"/>
  <c r="BC221" i="21" s="1"/>
  <c r="D23" i="21"/>
  <c r="BC222" i="21" s="1"/>
  <c r="AD22" i="20"/>
  <c r="AC22" i="20"/>
  <c r="CB221" i="20" s="1"/>
  <c r="J40" i="19"/>
  <c r="BI239" i="19" s="1"/>
  <c r="AB21" i="20"/>
  <c r="CA220" i="20" s="1"/>
  <c r="X41" i="19"/>
  <c r="X40" i="19"/>
  <c r="Q40" i="19"/>
  <c r="BP239" i="19" s="1"/>
  <c r="Q41" i="19"/>
  <c r="BP240" i="19" s="1"/>
  <c r="BW217" i="19"/>
  <c r="BP236" i="19"/>
  <c r="BW236" i="19"/>
  <c r="BX210" i="19"/>
  <c r="BX222" i="19"/>
  <c r="Q27" i="25"/>
  <c r="BP226" i="25" s="1"/>
  <c r="X26" i="25"/>
  <c r="X27" i="25"/>
  <c r="J26" i="25"/>
  <c r="BI225" i="25" s="1"/>
  <c r="J27" i="25"/>
  <c r="BI226" i="25" s="1"/>
  <c r="Q26" i="25"/>
  <c r="BP225" i="25" s="1"/>
  <c r="BW224" i="25"/>
  <c r="CT218" i="24"/>
  <c r="R35" i="17"/>
  <c r="BQ234" i="17" s="1"/>
  <c r="AV459" i="23"/>
  <c r="Y34" i="17"/>
  <c r="BX233" i="17" s="1"/>
  <c r="K34" i="17"/>
  <c r="BJ233" i="17" s="1"/>
  <c r="K35" i="17"/>
  <c r="BJ234" i="17" s="1"/>
  <c r="R34" i="17"/>
  <c r="BQ233" i="17" s="1"/>
  <c r="BQ218" i="17"/>
  <c r="BH221" i="3"/>
  <c r="AP205" i="1"/>
  <c r="AS205" i="1"/>
  <c r="AO205" i="1"/>
  <c r="AN205" i="1"/>
  <c r="AQ198" i="1"/>
  <c r="BC251" i="6"/>
  <c r="BH222" i="29"/>
  <c r="BG251" i="6"/>
  <c r="U43" i="6"/>
  <c r="BT242" i="6" s="1"/>
  <c r="AB52" i="6"/>
  <c r="BQ251" i="6"/>
  <c r="AR205" i="1"/>
  <c r="AC52" i="6"/>
  <c r="BK250" i="8"/>
  <c r="BW237" i="18"/>
  <c r="BQ232" i="17"/>
  <c r="BP224" i="25"/>
  <c r="BX217" i="25"/>
  <c r="BI224" i="25"/>
  <c r="BX213" i="25"/>
  <c r="S29" i="22"/>
  <c r="BQ228" i="22"/>
  <c r="BL228" i="22"/>
  <c r="BR218" i="22"/>
  <c r="BR209" i="22"/>
  <c r="BG228" i="22"/>
  <c r="BF218" i="21"/>
  <c r="CD216" i="20"/>
  <c r="BX230" i="19"/>
  <c r="BI217" i="19"/>
  <c r="D39" i="19"/>
  <c r="BC238" i="19" s="1"/>
  <c r="BX218" i="19"/>
  <c r="BI237" i="18"/>
  <c r="BX217" i="18"/>
  <c r="BX208" i="18"/>
  <c r="BP237" i="18"/>
  <c r="BY225" i="17"/>
  <c r="BY209" i="17"/>
  <c r="BJ232" i="17"/>
  <c r="BR214" i="16"/>
  <c r="AU198" i="1"/>
  <c r="CA217" i="5"/>
  <c r="BW228" i="5"/>
  <c r="BL228" i="5"/>
  <c r="BI217" i="5"/>
  <c r="J29" i="5"/>
  <c r="K521" i="5" s="1"/>
  <c r="L18" i="5"/>
  <c r="BK217" i="5" s="1"/>
  <c r="AD43" i="6"/>
  <c r="CC242" i="6" s="1"/>
  <c r="BZ251" i="6"/>
  <c r="BV251" i="6"/>
  <c r="BU251" i="6"/>
  <c r="BW251" i="6"/>
  <c r="BX251" i="6"/>
  <c r="CA242" i="6"/>
  <c r="BY251" i="6"/>
  <c r="BR242" i="6"/>
  <c r="BL251" i="6"/>
  <c r="BM251" i="6"/>
  <c r="BN251" i="6"/>
  <c r="CD243" i="6"/>
  <c r="CD234" i="6"/>
  <c r="CD226" i="6"/>
  <c r="CD221" i="6"/>
  <c r="CD216" i="6"/>
  <c r="CD210" i="6"/>
  <c r="BD251" i="6"/>
  <c r="BE251" i="6"/>
  <c r="Q22" i="14"/>
  <c r="BF250" i="8"/>
  <c r="BG250" i="8"/>
  <c r="BE250" i="8"/>
  <c r="BC250" i="8"/>
  <c r="BN216" i="26"/>
  <c r="BH224" i="12"/>
  <c r="BX222" i="27"/>
  <c r="BC226" i="25"/>
  <c r="CT217" i="23"/>
  <c r="BC220" i="21"/>
  <c r="CA219" i="20"/>
  <c r="J37" i="19"/>
  <c r="K529" i="19" s="1"/>
  <c r="BC236" i="19"/>
  <c r="Z25" i="17"/>
  <c r="Z517" i="17" s="1"/>
  <c r="BX224" i="17"/>
  <c r="M27" i="12"/>
  <c r="BL226" i="12" s="1"/>
  <c r="BL224" i="12"/>
  <c r="I27" i="12"/>
  <c r="BH226" i="12" s="1"/>
  <c r="L26" i="1"/>
  <c r="AT205" i="1"/>
  <c r="AG13" i="5"/>
  <c r="CF212" i="5" s="1"/>
  <c r="CD212" i="5"/>
  <c r="BK208" i="5"/>
  <c r="AG9" i="5"/>
  <c r="CF208" i="5" s="1"/>
  <c r="CD208" i="5"/>
  <c r="U18" i="5"/>
  <c r="BT217" i="5" s="1"/>
  <c r="BR217" i="5"/>
  <c r="AG21" i="5"/>
  <c r="CF220" i="5" s="1"/>
  <c r="CD220" i="5"/>
  <c r="J52" i="6"/>
  <c r="BI242" i="6"/>
  <c r="AG11" i="6"/>
  <c r="CF210" i="6" s="1"/>
  <c r="L43" i="6"/>
  <c r="BK242" i="6" s="1"/>
  <c r="AG35" i="6"/>
  <c r="CF234" i="6" s="1"/>
  <c r="AG44" i="6"/>
  <c r="CF243" i="6" s="1"/>
  <c r="AG17" i="6"/>
  <c r="CF216" i="6" s="1"/>
  <c r="AG27" i="6"/>
  <c r="CF226" i="6" s="1"/>
  <c r="AE43" i="6"/>
  <c r="Z535" i="6" s="1"/>
  <c r="G20" i="21"/>
  <c r="BF219" i="21" s="1"/>
  <c r="AE19" i="20"/>
  <c r="CD218" i="20" s="1"/>
  <c r="Y38" i="19"/>
  <c r="BX237" i="19" s="1"/>
  <c r="I51" i="8"/>
  <c r="AG22" i="6"/>
  <c r="CF221" i="6" s="1"/>
  <c r="G21" i="21"/>
  <c r="BF220" i="21" s="1"/>
  <c r="Y25" i="25"/>
  <c r="AE20" i="20"/>
  <c r="CD219" i="20" s="1"/>
  <c r="R18" i="15"/>
  <c r="BQ217" i="15" s="1"/>
  <c r="BL241" i="8"/>
  <c r="AF43" i="6"/>
  <c r="CE242" i="6" s="1"/>
  <c r="R17" i="15"/>
  <c r="BQ216" i="15" s="1"/>
  <c r="R21" i="14"/>
  <c r="BQ220" i="14" s="1"/>
  <c r="Q18" i="15"/>
  <c r="BP217" i="15" s="1"/>
  <c r="BH241" i="8"/>
  <c r="Q17" i="15"/>
  <c r="BP216" i="15" s="1"/>
  <c r="Q21" i="14"/>
  <c r="BP220" i="14" s="1"/>
  <c r="BJ250" i="8"/>
  <c r="T52" i="6"/>
  <c r="R22" i="14"/>
  <c r="BQ221" i="14" s="1"/>
  <c r="BI250" i="8"/>
  <c r="K52" i="6"/>
  <c r="M51" i="8"/>
  <c r="AD18" i="5"/>
  <c r="CC217" i="5" s="1"/>
  <c r="AB29" i="5"/>
  <c r="Y521" i="5" s="1"/>
  <c r="X39" i="19"/>
  <c r="BW238" i="19" s="1"/>
  <c r="Q39" i="19"/>
  <c r="BP238" i="19" s="1"/>
  <c r="Y18" i="19"/>
  <c r="Z510" i="19" s="1"/>
  <c r="Y38" i="18"/>
  <c r="S29" i="5"/>
  <c r="R521" i="5" s="1"/>
  <c r="Y33" i="17"/>
  <c r="Y19" i="17"/>
  <c r="Y511" i="17" s="1"/>
  <c r="AE18" i="5"/>
  <c r="Z510" i="5" s="1"/>
  <c r="L30" i="1" l="1"/>
  <c r="L517" i="1"/>
  <c r="H30" i="1"/>
  <c r="H517" i="1"/>
  <c r="H32" i="1"/>
  <c r="AQ211" i="1" s="1"/>
  <c r="L497" i="1"/>
  <c r="L32" i="1"/>
  <c r="AU211" i="1" s="1"/>
  <c r="BE224" i="3"/>
  <c r="F2" i="23"/>
  <c r="BE201" i="23" s="1"/>
  <c r="M25" i="3"/>
  <c r="BL224" i="3" s="1"/>
  <c r="Y38" i="17"/>
  <c r="BX237" i="17" s="1"/>
  <c r="Y525" i="17"/>
  <c r="F2" i="3"/>
  <c r="BE200" i="3" s="1"/>
  <c r="BL226" i="3"/>
  <c r="F2" i="20"/>
  <c r="BE201" i="20" s="1"/>
  <c r="CD217" i="20"/>
  <c r="Y37" i="17"/>
  <c r="BX236" i="17" s="1"/>
  <c r="Y25" i="33"/>
  <c r="BX224" i="33" s="1"/>
  <c r="Y26" i="33"/>
  <c r="BX225" i="33" s="1"/>
  <c r="BR217" i="16"/>
  <c r="F2" i="16"/>
  <c r="BE201" i="16" s="1"/>
  <c r="CB251" i="6"/>
  <c r="AC55" i="6"/>
  <c r="CB254" i="6" s="1"/>
  <c r="AC54" i="6"/>
  <c r="CB253" i="6" s="1"/>
  <c r="BS251" i="6"/>
  <c r="T54" i="6"/>
  <c r="BS253" i="6" s="1"/>
  <c r="T55" i="6"/>
  <c r="BS254" i="6" s="1"/>
  <c r="BJ251" i="6"/>
  <c r="K55" i="6"/>
  <c r="BJ254" i="6" s="1"/>
  <c r="K54" i="6"/>
  <c r="BJ253" i="6" s="1"/>
  <c r="J43" i="19"/>
  <c r="BI242" i="19" s="1"/>
  <c r="J42" i="19"/>
  <c r="BI241" i="19" s="1"/>
  <c r="J41" i="19"/>
  <c r="BI240" i="19" s="1"/>
  <c r="T521" i="22"/>
  <c r="S35" i="22"/>
  <c r="S34" i="22"/>
  <c r="BR233" i="22" s="1"/>
  <c r="Z517" i="25"/>
  <c r="Y30" i="25"/>
  <c r="Z531" i="18"/>
  <c r="Y42" i="18"/>
  <c r="BX241" i="18" s="1"/>
  <c r="Y41" i="18"/>
  <c r="AB54" i="6"/>
  <c r="CA253" i="6" s="1"/>
  <c r="AB55" i="6"/>
  <c r="CA254" i="6" s="1"/>
  <c r="BR251" i="6"/>
  <c r="U52" i="6"/>
  <c r="BT251" i="6" s="1"/>
  <c r="M17" i="16"/>
  <c r="BL216" i="16" s="1"/>
  <c r="R544" i="6"/>
  <c r="S55" i="6"/>
  <c r="BR254" i="6" s="1"/>
  <c r="S54" i="6"/>
  <c r="BR253" i="6" s="1"/>
  <c r="K544" i="6"/>
  <c r="J55" i="6"/>
  <c r="BI254" i="6" s="1"/>
  <c r="J54" i="6"/>
  <c r="BI253" i="6" s="1"/>
  <c r="M544" i="8"/>
  <c r="M53" i="8"/>
  <c r="BL252" i="8" s="1"/>
  <c r="M54" i="8"/>
  <c r="BL253" i="8" s="1"/>
  <c r="I544" i="8"/>
  <c r="I53" i="8"/>
  <c r="I54" i="8"/>
  <c r="BH253" i="8" s="1"/>
  <c r="Y35" i="17"/>
  <c r="BX234" i="17" s="1"/>
  <c r="AD52" i="6"/>
  <c r="CC251" i="6" s="1"/>
  <c r="Y544" i="6"/>
  <c r="AQ205" i="1"/>
  <c r="H497" i="1"/>
  <c r="AU26" i="23"/>
  <c r="CT225" i="23" s="1"/>
  <c r="AA38" i="23"/>
  <c r="BZ242" i="23" s="1"/>
  <c r="AA26" i="23"/>
  <c r="R16" i="16"/>
  <c r="BQ215" i="16" s="1"/>
  <c r="R17" i="16"/>
  <c r="BQ216" i="16" s="1"/>
  <c r="O19" i="26"/>
  <c r="AA28" i="24"/>
  <c r="BZ227" i="24" s="1"/>
  <c r="AA27" i="24"/>
  <c r="BZ226" i="24" s="1"/>
  <c r="AU37" i="23"/>
  <c r="CT241" i="23" s="1"/>
  <c r="AU28" i="24"/>
  <c r="CT227" i="24" s="1"/>
  <c r="AU27" i="24"/>
  <c r="CT226" i="24" s="1"/>
  <c r="AA37" i="23"/>
  <c r="BZ241" i="23" s="1"/>
  <c r="AU25" i="23"/>
  <c r="CT224" i="23" s="1"/>
  <c r="AA25" i="23"/>
  <c r="BZ224" i="23" s="1"/>
  <c r="AU38" i="23"/>
  <c r="CT242" i="23" s="1"/>
  <c r="H16" i="16"/>
  <c r="BG215" i="16" s="1"/>
  <c r="H17" i="16"/>
  <c r="BG216" i="16" s="1"/>
  <c r="BH222" i="3"/>
  <c r="C2" i="15"/>
  <c r="BB201" i="15" s="1"/>
  <c r="BP221" i="14"/>
  <c r="C2" i="14"/>
  <c r="BB201" i="14" s="1"/>
  <c r="BF224" i="3"/>
  <c r="C2" i="12"/>
  <c r="BB201" i="12" s="1"/>
  <c r="O20" i="26"/>
  <c r="C2" i="26" s="1"/>
  <c r="G22" i="21"/>
  <c r="S30" i="22"/>
  <c r="BR229" i="22" s="1"/>
  <c r="BR228" i="22"/>
  <c r="S31" i="22"/>
  <c r="G23" i="21"/>
  <c r="Y40" i="19"/>
  <c r="AE21" i="20"/>
  <c r="AE22" i="20"/>
  <c r="Y27" i="25"/>
  <c r="Y26" i="25"/>
  <c r="Z34" i="17"/>
  <c r="BY233" i="17" s="1"/>
  <c r="BX218" i="17"/>
  <c r="E51" i="8"/>
  <c r="CA251" i="6"/>
  <c r="BX232" i="17"/>
  <c r="BM218" i="26"/>
  <c r="BW239" i="19"/>
  <c r="BE221" i="21"/>
  <c r="CC220" i="20"/>
  <c r="BX224" i="25"/>
  <c r="Y37" i="19"/>
  <c r="Z529" i="19" s="1"/>
  <c r="BX217" i="19"/>
  <c r="BX237" i="18"/>
  <c r="BY224" i="17"/>
  <c r="AU205" i="1"/>
  <c r="BI228" i="5"/>
  <c r="L29" i="5"/>
  <c r="BK228" i="5" s="1"/>
  <c r="CD217" i="5"/>
  <c r="CD242" i="6"/>
  <c r="BI251" i="6"/>
  <c r="BH250" i="8"/>
  <c r="BL219" i="26"/>
  <c r="BB201" i="10"/>
  <c r="BK219" i="26"/>
  <c r="J39" i="19"/>
  <c r="BI236" i="19"/>
  <c r="BW240" i="19"/>
  <c r="AD29" i="5"/>
  <c r="CC228" i="5" s="1"/>
  <c r="CA228" i="5"/>
  <c r="U29" i="5"/>
  <c r="BR228" i="5"/>
  <c r="L52" i="6"/>
  <c r="Z33" i="17"/>
  <c r="BW225" i="25"/>
  <c r="BE222" i="21"/>
  <c r="CC221" i="20"/>
  <c r="AG43" i="6"/>
  <c r="CF242" i="6" s="1"/>
  <c r="BW226" i="25"/>
  <c r="AE52" i="6"/>
  <c r="BL250" i="8"/>
  <c r="AF52" i="6"/>
  <c r="AE29" i="5"/>
  <c r="Z521" i="5" s="1"/>
  <c r="AG18" i="5"/>
  <c r="CF217" i="5" s="1"/>
  <c r="Z19" i="17"/>
  <c r="Z511" i="17" s="1"/>
  <c r="C2" i="1" l="1"/>
  <c r="AL181" i="1" s="1"/>
  <c r="C2" i="24"/>
  <c r="C2" i="23"/>
  <c r="C2" i="3"/>
  <c r="BB201" i="3" s="1"/>
  <c r="F2" i="22"/>
  <c r="BE201" i="22" s="1"/>
  <c r="BR234" i="22"/>
  <c r="F2" i="25"/>
  <c r="BE201" i="25" s="1"/>
  <c r="BX229" i="25"/>
  <c r="F2" i="8"/>
  <c r="BE201" i="8" s="1"/>
  <c r="BH252" i="8"/>
  <c r="F2" i="18"/>
  <c r="BF201" i="18" s="1"/>
  <c r="BX240" i="18"/>
  <c r="Z38" i="17"/>
  <c r="BY237" i="17" s="1"/>
  <c r="Z525" i="17"/>
  <c r="C2" i="33"/>
  <c r="BB201" i="33" s="1"/>
  <c r="CE251" i="6"/>
  <c r="AF55" i="6"/>
  <c r="CE254" i="6" s="1"/>
  <c r="AF54" i="6"/>
  <c r="CE253" i="6" s="1"/>
  <c r="Y42" i="19"/>
  <c r="BX241" i="19" s="1"/>
  <c r="Y43" i="19"/>
  <c r="BX242" i="19" s="1"/>
  <c r="F2" i="19"/>
  <c r="Z37" i="17"/>
  <c r="BK251" i="6"/>
  <c r="Z544" i="6"/>
  <c r="AE54" i="6"/>
  <c r="CD253" i="6" s="1"/>
  <c r="AE55" i="6"/>
  <c r="CD254" i="6" s="1"/>
  <c r="Y41" i="19"/>
  <c r="BX240" i="19" s="1"/>
  <c r="Z35" i="17"/>
  <c r="BY234" i="17" s="1"/>
  <c r="C2" i="8"/>
  <c r="BB201" i="8" s="1"/>
  <c r="BD250" i="8"/>
  <c r="C2" i="22"/>
  <c r="BR230" i="22"/>
  <c r="BZ225" i="23"/>
  <c r="S16" i="16"/>
  <c r="BR215" i="16" s="1"/>
  <c r="S17" i="16"/>
  <c r="BR216" i="16" s="1"/>
  <c r="Y39" i="19"/>
  <c r="BX238" i="19" s="1"/>
  <c r="BN219" i="26"/>
  <c r="BX236" i="19"/>
  <c r="BX226" i="25"/>
  <c r="BY218" i="17"/>
  <c r="BF222" i="21"/>
  <c r="BY232" i="17"/>
  <c r="BN218" i="26"/>
  <c r="BX239" i="19"/>
  <c r="BF221" i="21"/>
  <c r="CD220" i="20"/>
  <c r="CD221" i="20"/>
  <c r="CD228" i="5"/>
  <c r="CD251" i="6"/>
  <c r="BM219" i="26"/>
  <c r="BI238" i="19"/>
  <c r="BT228" i="5"/>
  <c r="AG52" i="6"/>
  <c r="CF251" i="6" s="1"/>
  <c r="BX225" i="25"/>
  <c r="AG29" i="5"/>
  <c r="CF228" i="5" s="1"/>
  <c r="F2" i="6" l="1"/>
  <c r="BE201" i="6" s="1"/>
  <c r="F2" i="17"/>
  <c r="BG201" i="17" s="1"/>
  <c r="BY236" i="17"/>
  <c r="BE201" i="19"/>
  <c r="C2" i="17"/>
  <c r="BC201" i="17" s="1"/>
  <c r="C2" i="5"/>
  <c r="BB201" i="5" s="1"/>
  <c r="C2" i="6"/>
  <c r="BB201" i="6" s="1"/>
  <c r="C2" i="16"/>
  <c r="BB201" i="16" s="1"/>
  <c r="C2" i="19"/>
  <c r="BB201" i="19" s="1"/>
  <c r="C2" i="25"/>
  <c r="C2" i="20"/>
  <c r="CC203" i="20" s="1"/>
  <c r="BB201" i="26"/>
  <c r="C2" i="21"/>
  <c r="BB201" i="21" s="1"/>
  <c r="BB201" i="22"/>
  <c r="BB201" i="23"/>
  <c r="BB201" i="24"/>
  <c r="L16" i="31" l="1"/>
  <c r="BB201" i="25"/>
  <c r="L14" i="31"/>
  <c r="C495" i="31" s="1"/>
  <c r="BB201" i="20"/>
</calcChain>
</file>

<file path=xl/comments1.xml><?xml version="1.0" encoding="utf-8"?>
<comments xmlns="http://schemas.openxmlformats.org/spreadsheetml/2006/main">
  <authors>
    <author>psk</author>
  </authors>
  <commentList>
    <comment ref="C22" authorId="0">
      <text>
        <r>
          <rPr>
            <b/>
            <sz val="10"/>
            <color indexed="25"/>
            <rFont val="Tahoma"/>
            <family val="2"/>
          </rPr>
          <t>Other natural calamities not listed above only should be reported under this head.</t>
        </r>
      </text>
    </comment>
  </commentList>
</comments>
</file>

<file path=xl/comments2.xml><?xml version="1.0" encoding="utf-8"?>
<comments xmlns="http://schemas.openxmlformats.org/spreadsheetml/2006/main">
  <authors>
    <author>psk</author>
  </authors>
  <commentList>
    <comment ref="E5" authorId="0">
      <text>
        <r>
          <rPr>
            <b/>
            <sz val="11"/>
            <color indexed="39"/>
            <rFont val="Cambria"/>
            <family val="1"/>
            <scheme val="major"/>
          </rPr>
          <t>For each cause, if persons injured/died is non zero, cases must be non zero</t>
        </r>
      </text>
    </comment>
    <comment ref="C44" authorId="0">
      <text>
        <r>
          <rPr>
            <b/>
            <sz val="10"/>
            <color indexed="25"/>
            <rFont val="Tahoma"/>
            <family val="2"/>
          </rPr>
          <t>Refers to road accidents which resulted into violence causing destruction of property and 
physical injuries or even death.</t>
        </r>
      </text>
    </comment>
    <comment ref="C46" authorId="0">
      <text>
        <r>
          <rPr>
            <b/>
            <sz val="10"/>
            <color indexed="25"/>
            <rFont val="Tahoma"/>
            <family val="2"/>
          </rPr>
          <t>Also include accidents reported at unmanned railway crossings.</t>
        </r>
      </text>
    </comment>
  </commentList>
</comments>
</file>

<file path=xl/comments3.xml><?xml version="1.0" encoding="utf-8"?>
<comments xmlns="http://schemas.openxmlformats.org/spreadsheetml/2006/main">
  <authors>
    <author>psk</author>
  </authors>
  <commentList>
    <comment ref="E5" authorId="0">
      <text>
        <r>
          <rPr>
            <b/>
            <sz val="11"/>
            <color indexed="39"/>
            <rFont val="Cambria"/>
            <family val="1"/>
            <scheme val="major"/>
          </rPr>
          <t>For each place of occurrence, if persons injured/died is non zero, cases must be non zero</t>
        </r>
      </text>
    </comment>
    <comment ref="A23" authorId="0">
      <text>
        <r>
          <rPr>
            <b/>
            <sz val="11"/>
            <color indexed="39"/>
            <rFont val="Cambria"/>
            <family val="1"/>
            <scheme val="major"/>
          </rPr>
          <t>Sl.-11 (Total) should be equal to Sl.-9 (Accidental Fire Total) of Proforma-II for Cases, Injured and Died</t>
        </r>
      </text>
    </comment>
    <comment ref="D23" authorId="0">
      <text>
        <r>
          <rPr>
            <b/>
            <sz val="11"/>
            <color indexed="39"/>
            <rFont val="Cambria"/>
            <family val="1"/>
            <scheme val="major"/>
          </rPr>
          <t>Sl.-11, Col.(3) (Total Cases) should be equal to Sl.-9, Col.(3) (Accidental Fire Total Cases) of Proforma-II</t>
        </r>
      </text>
    </comment>
    <comment ref="F23" authorId="0">
      <text>
        <r>
          <rPr>
            <b/>
            <sz val="11"/>
            <color indexed="39"/>
            <rFont val="Cambria"/>
            <family val="1"/>
            <scheme val="major"/>
          </rPr>
          <t>Sl.-11, Col.(4) (Male Injured) should be equal to Sl.-9, Col.(4) (Male Injured) of Proforma-II</t>
        </r>
      </text>
    </comment>
    <comment ref="G23" authorId="0">
      <text>
        <r>
          <rPr>
            <b/>
            <sz val="11"/>
            <color indexed="39"/>
            <rFont val="Cambria"/>
            <family val="1"/>
            <scheme val="major"/>
          </rPr>
          <t>Sl.-11, Col.(5) (Female Injured) should be equal to Sl.-9, Col.(5) (Female Injured) of Proforma-II</t>
        </r>
      </text>
    </comment>
    <comment ref="H23" authorId="0">
      <text>
        <r>
          <rPr>
            <b/>
            <sz val="11"/>
            <color indexed="39"/>
            <rFont val="Cambria"/>
            <family val="1"/>
            <scheme val="major"/>
          </rPr>
          <t>Sl.-11, Col.(6) (Transgender Injured) should be equal to Sl.-9, Col.(6) (Transgender Injured) of Proforma-II</t>
        </r>
      </text>
    </comment>
    <comment ref="I23" authorId="0">
      <text>
        <r>
          <rPr>
            <b/>
            <sz val="11"/>
            <color indexed="39"/>
            <rFont val="Cambria"/>
            <family val="1"/>
            <scheme val="major"/>
          </rPr>
          <t>Sl.-11, Col.(7) (Total Injured) should be equal to Sl.-9, Col.(7) (Total Injured) of Proforma-II</t>
        </r>
      </text>
    </comment>
    <comment ref="J23" authorId="0">
      <text>
        <r>
          <rPr>
            <b/>
            <sz val="11"/>
            <color indexed="39"/>
            <rFont val="Cambria"/>
            <family val="1"/>
            <scheme val="major"/>
          </rPr>
          <t>Sl.-11, Col.(8) (Male Died) should be equal to Sl.-9, Col.(8) (Male Died) of Proforma-II</t>
        </r>
      </text>
    </comment>
    <comment ref="K23" authorId="0">
      <text>
        <r>
          <rPr>
            <b/>
            <sz val="11"/>
            <color indexed="39"/>
            <rFont val="Cambria"/>
            <family val="1"/>
            <scheme val="major"/>
          </rPr>
          <t>Sl.-11, Col.(9) (Female Died) should be equal to Sl.-9, Col.(9) (Female Died) of Proforma-II</t>
        </r>
      </text>
    </comment>
    <comment ref="L23" authorId="0">
      <text>
        <r>
          <rPr>
            <b/>
            <sz val="11"/>
            <color indexed="39"/>
            <rFont val="Cambria"/>
            <family val="1"/>
            <scheme val="major"/>
          </rPr>
          <t>Sl.-11, Col.(10) (Transgender Died) should be equal to Sl.-9, Col.(10) (Transgender Died) of Proforma-II</t>
        </r>
      </text>
    </comment>
    <comment ref="M23" authorId="0">
      <text>
        <r>
          <rPr>
            <b/>
            <sz val="11"/>
            <color indexed="39"/>
            <rFont val="Cambria"/>
            <family val="1"/>
            <scheme val="major"/>
          </rPr>
          <t>Sl.-11, Col.(11) (Total Died) should be equal to Sl.-9, Col.(11) (Total Died) of Proforma-II</t>
        </r>
      </text>
    </comment>
  </commentList>
</comments>
</file>

<file path=xl/comments4.xml><?xml version="1.0" encoding="utf-8"?>
<comments xmlns="http://schemas.openxmlformats.org/spreadsheetml/2006/main">
  <authors>
    <author>psk</author>
  </authors>
  <commentList>
    <comment ref="AG5" authorId="0">
      <text>
        <r>
          <rPr>
            <b/>
            <sz val="11"/>
            <color indexed="39"/>
            <rFont val="Cambria"/>
            <family val="1"/>
            <scheme val="major"/>
          </rPr>
          <t>For each Cause, Col. (24) (Died Grand Total) should be equal to Col.(11) (Total Died) of Proforma-II</t>
        </r>
      </text>
    </comment>
    <comment ref="L7" authorId="0">
      <text>
        <r>
          <rPr>
            <b/>
            <sz val="11"/>
            <color indexed="39"/>
            <rFont val="Cambria"/>
            <family val="1"/>
            <scheme val="major"/>
          </rPr>
          <t>For each Cause, Col.(9) (Total Male Died) should be equal to Col.(8) (Male Died) of Proforma-II</t>
        </r>
      </text>
    </comment>
    <comment ref="U7" authorId="0">
      <text>
        <r>
          <rPr>
            <b/>
            <sz val="11"/>
            <color indexed="39"/>
            <rFont val="Cambria"/>
            <family val="1"/>
            <scheme val="major"/>
          </rPr>
          <t>For each Cause, Col.(16) (Total Female Died) should be equal to Col.(9) (Female Died) of Proforma-II</t>
        </r>
      </text>
    </comment>
    <comment ref="AD7" authorId="0">
      <text>
        <r>
          <rPr>
            <b/>
            <sz val="11"/>
            <color indexed="39"/>
            <rFont val="Cambria"/>
            <family val="1"/>
            <scheme val="major"/>
          </rPr>
          <t>For each Cause, Col.(23) (Total Transgender Died) should be equal to Col.(10) (Transgender Died) of Proforma-II</t>
        </r>
      </text>
    </comment>
    <comment ref="C45" authorId="0">
      <text>
        <r>
          <rPr>
            <b/>
            <sz val="10"/>
            <color indexed="25"/>
            <rFont val="Tahoma"/>
            <family val="2"/>
          </rPr>
          <t>Refers to road accidents which resulted into violence causing death.</t>
        </r>
      </text>
    </comment>
    <comment ref="C47" authorId="0">
      <text>
        <r>
          <rPr>
            <b/>
            <sz val="10"/>
            <color indexed="25"/>
            <rFont val="Tahoma"/>
            <family val="2"/>
          </rPr>
          <t>Also include accidents reported at unmanned railway crossings.</t>
        </r>
      </text>
    </comment>
  </commentList>
</comments>
</file>

<file path=xl/comments5.xml><?xml version="1.0" encoding="utf-8"?>
<comments xmlns="http://schemas.openxmlformats.org/spreadsheetml/2006/main">
  <authors>
    <author>psk</author>
  </authors>
  <commentList>
    <comment ref="E5" authorId="0">
      <text>
        <r>
          <rPr>
            <b/>
            <sz val="11"/>
            <color indexed="39"/>
            <rFont val="Cambria"/>
            <family val="1"/>
            <scheme val="major"/>
          </rPr>
          <t>For each cause, if persons injured/died is non zero, cases must be non zero</t>
        </r>
      </text>
    </comment>
    <comment ref="C8" authorId="0">
      <text>
        <r>
          <rPr>
            <b/>
            <sz val="10"/>
            <color indexed="25"/>
            <rFont val="Tahoma"/>
            <family val="2"/>
          </rPr>
          <t>unexpected death that is instantaneous or occurs within minutes from any cause other than violence.</t>
        </r>
      </text>
    </comment>
  </commentList>
</comments>
</file>

<file path=xl/comments6.xml><?xml version="1.0" encoding="utf-8"?>
<comments xmlns="http://schemas.openxmlformats.org/spreadsheetml/2006/main">
  <authors>
    <author>psk</author>
  </authors>
  <commentList>
    <comment ref="AG5" authorId="0">
      <text>
        <r>
          <rPr>
            <b/>
            <sz val="11"/>
            <color indexed="39"/>
            <rFont val="Cambria"/>
            <family val="1"/>
            <scheme val="major"/>
          </rPr>
          <t>For each Cause, Col.(24) (Died Grand Total) should be equal to Col.(11) (Total Died) of Proforma-IV</t>
        </r>
      </text>
    </comment>
    <comment ref="L7" authorId="0">
      <text>
        <r>
          <rPr>
            <b/>
            <sz val="11"/>
            <color indexed="39"/>
            <rFont val="Cambria"/>
            <family val="1"/>
            <scheme val="major"/>
          </rPr>
          <t>For each Cause, Col.(9) (Total Male Died) should be equal to Col.(8) (Male Died) of Proforma-IV</t>
        </r>
      </text>
    </comment>
    <comment ref="U7" authorId="0">
      <text>
        <r>
          <rPr>
            <b/>
            <sz val="11"/>
            <color indexed="39"/>
            <rFont val="Cambria"/>
            <family val="1"/>
            <scheme val="major"/>
          </rPr>
          <t>For each Cause, Col.(16) (Total Female Died) should be equal to Col.(9) (Female Died) of Proforma-IV</t>
        </r>
      </text>
    </comment>
    <comment ref="AD7" authorId="0">
      <text>
        <r>
          <rPr>
            <b/>
            <sz val="11"/>
            <color indexed="39"/>
            <rFont val="Cambria"/>
            <family val="1"/>
            <scheme val="major"/>
          </rPr>
          <t>For each Cause, Col.(23) (Total Transgender Died) should be equal to Col.(10) (Transgender Died) of Proforma-IV</t>
        </r>
      </text>
    </comment>
    <comment ref="C9" authorId="0">
      <text>
        <r>
          <rPr>
            <b/>
            <sz val="10"/>
            <color indexed="25"/>
            <rFont val="Tahoma"/>
            <family val="2"/>
          </rPr>
          <t>unexpected death that is instantaneous or occurs within minutes from any cause other than violence.</t>
        </r>
      </text>
    </comment>
  </commentList>
</comments>
</file>

<file path=xl/comments7.xml><?xml version="1.0" encoding="utf-8"?>
<comments xmlns="http://schemas.openxmlformats.org/spreadsheetml/2006/main">
  <authors>
    <author>psk</author>
  </authors>
  <commentList>
    <comment ref="A30" authorId="0">
      <text>
        <r>
          <rPr>
            <b/>
            <sz val="11"/>
            <color indexed="39"/>
            <rFont val="Cambria"/>
            <family val="1"/>
            <scheme val="major"/>
          </rPr>
          <t>SUM of Driver of Offending Vehicle/Pedestrian and Victims (Sl.-17 Total) should be equal to Sl.-12.1 (Road Accidents Total) of Proforma-II for Injured and Died</t>
        </r>
      </text>
    </comment>
    <comment ref="E30" authorId="0">
      <text>
        <r>
          <rPr>
            <b/>
            <sz val="11"/>
            <color indexed="39"/>
            <rFont val="Cambria"/>
            <family val="1"/>
            <scheme val="major"/>
          </rPr>
          <t>SUM of Driver of Offending Vehicle/Pedestrian and Victims (Male Injured) (Sl.-17 Total) should be equal to Sl.-12.1, Col.(4) (Male Injured) of Proforma-II</t>
        </r>
      </text>
    </comment>
    <comment ref="F30" authorId="0">
      <text>
        <r>
          <rPr>
            <b/>
            <sz val="11"/>
            <color indexed="39"/>
            <rFont val="Cambria"/>
            <family val="1"/>
            <scheme val="major"/>
          </rPr>
          <t>SUM of Driver of Offending Vehicle/Pedestrian and Victims (Female Injured) (Sl.-17 Total) should be equal to Sl.-12.1, Col.(5) (Female Injured) of Proforma-II</t>
        </r>
      </text>
    </comment>
    <comment ref="G30" authorId="0">
      <text>
        <r>
          <rPr>
            <b/>
            <sz val="11"/>
            <color indexed="39"/>
            <rFont val="Cambria"/>
            <family val="1"/>
            <scheme val="major"/>
          </rPr>
          <t>SUM of Driver of Offending Vehicle/Pedestrian and Victims (Transgender Injured) (Sl.-17 Total) should be equal to Sl.-12.1, Col.(6) (Transgender Injured) of Proforma-II</t>
        </r>
      </text>
    </comment>
    <comment ref="H30" authorId="0">
      <text>
        <r>
          <rPr>
            <b/>
            <sz val="11"/>
            <color indexed="39"/>
            <rFont val="Cambria"/>
            <family val="1"/>
            <scheme val="major"/>
          </rPr>
          <t>SUM of Driver of Offending Vehicle/Pedestrian and Victims (Total Injured) (Sl.-17 Total) should be equal to Sl.-12.1, Col.(7) (Total Injured) of Proforma-II</t>
        </r>
      </text>
    </comment>
    <comment ref="I30" authorId="0">
      <text>
        <r>
          <rPr>
            <b/>
            <sz val="11"/>
            <color indexed="39"/>
            <rFont val="Cambria"/>
            <family val="1"/>
            <scheme val="major"/>
          </rPr>
          <t>SUM of Driver of Offending Vehicle/Pedestrian and Victims (Male Died) (Sl.-17 Total) should be equal to Sl.-12.1, Col.(8) (Male Died) of Proforma-II</t>
        </r>
      </text>
    </comment>
    <comment ref="J30" authorId="0">
      <text>
        <r>
          <rPr>
            <b/>
            <sz val="11"/>
            <color indexed="39"/>
            <rFont val="Cambria"/>
            <family val="1"/>
            <scheme val="major"/>
          </rPr>
          <t>SUM of Driver of Offending Vehicle/Pedestrian and Victims (Female Died) (Sl.-17 Total) should be equal to Sl.-12.1, Col.(9) (Female Died) of Proforma-II</t>
        </r>
      </text>
    </comment>
    <comment ref="K30" authorId="0">
      <text>
        <r>
          <rPr>
            <b/>
            <sz val="11"/>
            <color indexed="39"/>
            <rFont val="Cambria"/>
            <family val="1"/>
            <scheme val="major"/>
          </rPr>
          <t>SUM of Driver of Offending Vehicle/Pedestrian and Victims (Transgender Died) (Sl.-17 Total) should be equal to Sl.-12.1, Col.(10) (Transgender Died) of Proforma-II</t>
        </r>
      </text>
    </comment>
    <comment ref="L30" authorId="0">
      <text>
        <r>
          <rPr>
            <b/>
            <sz val="11"/>
            <color indexed="39"/>
            <rFont val="Cambria"/>
            <family val="1"/>
            <scheme val="major"/>
          </rPr>
          <t>SUM of Driver of Offending Vehicle/Pedestrian and Victims (Died Total) (Sl.-17 Total) should be equal to Sl.-12.1, Col.(11) (Died Total) of Proforma-II</t>
        </r>
      </text>
    </comment>
  </commentList>
</comments>
</file>

<file path=xl/comments8.xml><?xml version="1.0" encoding="utf-8"?>
<comments xmlns="http://schemas.openxmlformats.org/spreadsheetml/2006/main">
  <authors>
    <author>psk</author>
  </authors>
  <commentList>
    <comment ref="E5" authorId="0">
      <text>
        <r>
          <rPr>
            <b/>
            <sz val="11"/>
            <color indexed="39"/>
            <rFont val="Cambria"/>
            <family val="1"/>
            <scheme val="major"/>
          </rPr>
          <t>For each classification, if persons injured/died is non zero, cases must be non zero</t>
        </r>
      </text>
    </comment>
    <comment ref="A14" authorId="0">
      <text>
        <r>
          <rPr>
            <b/>
            <sz val="11"/>
            <color indexed="39"/>
            <rFont val="Cambria"/>
            <family val="1"/>
            <scheme val="major"/>
          </rPr>
          <t>Sl.-5 (Total) should be equal to Sl.-12.1 (Road Accidents Total) of Proforma-II for Cases, Injured and Died</t>
        </r>
      </text>
    </comment>
    <comment ref="D14" authorId="0">
      <text>
        <r>
          <rPr>
            <b/>
            <sz val="11"/>
            <color indexed="39"/>
            <rFont val="Cambria"/>
            <family val="1"/>
            <scheme val="major"/>
          </rPr>
          <t>Sl.-5, Col.(3) (Total Cases) should be equal to Sl.-12.1, Col.(3) (Total Cases) of Proforma-II</t>
        </r>
      </text>
    </comment>
    <comment ref="F14" authorId="0">
      <text>
        <r>
          <rPr>
            <b/>
            <sz val="11"/>
            <color indexed="39"/>
            <rFont val="Cambria"/>
            <family val="1"/>
            <scheme val="major"/>
          </rPr>
          <t>Sl.-5, Col.(4) (Male Injured) should be equal to Sl.-12.1, Col.(4) (Male Injured) of Proforma-II</t>
        </r>
      </text>
    </comment>
    <comment ref="G14" authorId="0">
      <text>
        <r>
          <rPr>
            <b/>
            <sz val="11"/>
            <color indexed="39"/>
            <rFont val="Cambria"/>
            <family val="1"/>
            <scheme val="major"/>
          </rPr>
          <t>Sl.-5, Col.(5) (Female Injured) should be equal to Sl.-12.1, Col.(5) (Female Injured) of Proforma-II</t>
        </r>
      </text>
    </comment>
    <comment ref="H14" authorId="0">
      <text>
        <r>
          <rPr>
            <b/>
            <sz val="11"/>
            <color indexed="39"/>
            <rFont val="Cambria"/>
            <family val="1"/>
            <scheme val="major"/>
          </rPr>
          <t>Sl.-5, Col.(6) (Transgender Injured) should be equal to Sl.-12.1, Col.(6) (Transgender Injured) of Proforma-II</t>
        </r>
      </text>
    </comment>
    <comment ref="I14" authorId="0">
      <text>
        <r>
          <rPr>
            <b/>
            <sz val="11"/>
            <color indexed="39"/>
            <rFont val="Cambria"/>
            <family val="1"/>
            <scheme val="major"/>
          </rPr>
          <t>Sl.-5, Col.(7) (Injured Total) should be equal to Sl.-12.1, Col.(7) (Injured Total) of Proforma-II</t>
        </r>
      </text>
    </comment>
    <comment ref="J14" authorId="0">
      <text>
        <r>
          <rPr>
            <b/>
            <sz val="11"/>
            <color indexed="39"/>
            <rFont val="Cambria"/>
            <family val="1"/>
            <scheme val="major"/>
          </rPr>
          <t>Sl.-5, Col.(8) (Male Died) should be equal to Sl.-12.1, Col.(8) (Male Died) of Proforma-II</t>
        </r>
      </text>
    </comment>
    <comment ref="K14" authorId="0">
      <text>
        <r>
          <rPr>
            <b/>
            <sz val="11"/>
            <color indexed="39"/>
            <rFont val="Cambria"/>
            <family val="1"/>
            <scheme val="major"/>
          </rPr>
          <t>Sl.-5, Col.(9) (Female Died) should be equal to Sl.-12.1, Col.(9) (Female Died) of Proforma-II</t>
        </r>
      </text>
    </comment>
    <comment ref="L14" authorId="0">
      <text>
        <r>
          <rPr>
            <b/>
            <sz val="11"/>
            <color indexed="39"/>
            <rFont val="Cambria"/>
            <family val="1"/>
            <scheme val="major"/>
          </rPr>
          <t>Sl.-5, Col.(10) (Transgender Died) should be equal to Sl.-12.1, Col.(10) (Transgender Died) of Proforma-II</t>
        </r>
      </text>
    </comment>
    <comment ref="M14" authorId="0">
      <text>
        <r>
          <rPr>
            <b/>
            <sz val="11"/>
            <color indexed="39"/>
            <rFont val="Cambria"/>
            <family val="1"/>
            <scheme val="major"/>
          </rPr>
          <t>Sl.-5, Col.(11) (Died Total) should be equal to Sl.-12.1, Col.(11) (Died Total) of Proforma-II</t>
        </r>
      </text>
    </comment>
  </commentList>
</comments>
</file>

<file path=xl/comments9.xml><?xml version="1.0" encoding="utf-8"?>
<comments xmlns="http://schemas.openxmlformats.org/spreadsheetml/2006/main">
  <authors>
    <author>psk</author>
  </authors>
  <commentList>
    <comment ref="E5" authorId="0">
      <text>
        <r>
          <rPr>
            <b/>
            <sz val="11"/>
            <color indexed="39"/>
            <rFont val="Cambria"/>
            <family val="1"/>
            <scheme val="major"/>
          </rPr>
          <t>For each place of occurrence, if persons injured/died is non zero, cases must be non zero</t>
        </r>
      </text>
    </comment>
    <comment ref="A27" authorId="0">
      <text>
        <r>
          <rPr>
            <b/>
            <sz val="11"/>
            <color indexed="39"/>
            <rFont val="Cambria"/>
            <family val="1"/>
            <scheme val="major"/>
          </rPr>
          <t>Sl.-16 (Grand Total) should be equal to Sl.-12.1 (Road Accidents Total) of Proforma-II for Cases, Injured and Died</t>
        </r>
      </text>
    </comment>
    <comment ref="D27" authorId="0">
      <text>
        <r>
          <rPr>
            <b/>
            <sz val="11"/>
            <color indexed="39"/>
            <rFont val="Cambria"/>
            <family val="1"/>
            <scheme val="major"/>
          </rPr>
          <t>Sl.-16, Col.(3) (Total Cases) should be equal to Sl.-12.1, Col.(3) (Total Cases) of Proforma-II</t>
        </r>
      </text>
    </comment>
    <comment ref="F27" authorId="0">
      <text>
        <r>
          <rPr>
            <b/>
            <sz val="11"/>
            <color indexed="39"/>
            <rFont val="Cambria"/>
            <family val="1"/>
            <scheme val="major"/>
          </rPr>
          <t>Sl.-16, Col.(4) (Male Injured) should be equal to Sl.-12.1, Col.(4) (Male Injured) of Proforma-II</t>
        </r>
      </text>
    </comment>
    <comment ref="G27" authorId="0">
      <text>
        <r>
          <rPr>
            <b/>
            <sz val="11"/>
            <color indexed="39"/>
            <rFont val="Cambria"/>
            <family val="1"/>
            <scheme val="major"/>
          </rPr>
          <t>Sl.-16, Col.(5) (Female Injured) should be equal to Sl.-12.1, Col.(5) (Female Injured) of Proforma-II</t>
        </r>
      </text>
    </comment>
    <comment ref="H27" authorId="0">
      <text>
        <r>
          <rPr>
            <b/>
            <sz val="11"/>
            <color indexed="39"/>
            <rFont val="Cambria"/>
            <family val="1"/>
            <scheme val="major"/>
          </rPr>
          <t>Sl.-16, Col.(6) (Transgender Injured) should be equal to Sl.-12.1, Col.(6) (Transgender Injured) of Proforma-II</t>
        </r>
      </text>
    </comment>
    <comment ref="I27" authorId="0">
      <text>
        <r>
          <rPr>
            <b/>
            <sz val="11"/>
            <color indexed="39"/>
            <rFont val="Cambria"/>
            <family val="1"/>
            <scheme val="major"/>
          </rPr>
          <t>Sl.-16, Col.(7) (Injured Total) should be equal to Sl.-12.1, Col.(7) (Injured Total) of Proforma-II</t>
        </r>
      </text>
    </comment>
    <comment ref="J27" authorId="0">
      <text>
        <r>
          <rPr>
            <b/>
            <sz val="11"/>
            <color indexed="39"/>
            <rFont val="Cambria"/>
            <family val="1"/>
            <scheme val="major"/>
          </rPr>
          <t>Sl.-16, Col.(8) (Male Died) should be equal to Sl.-12.1, Col.(8) (Male Died) of Proforma-II</t>
        </r>
      </text>
    </comment>
    <comment ref="K27" authorId="0">
      <text>
        <r>
          <rPr>
            <b/>
            <sz val="11"/>
            <color indexed="39"/>
            <rFont val="Cambria"/>
            <family val="1"/>
            <scheme val="major"/>
          </rPr>
          <t>Sl.-16, Col.(9) (Female Died) should be equal to Sl.-12.1, Col.(9) (Female Died) of Proforma-II</t>
        </r>
      </text>
    </comment>
    <comment ref="L27" authorId="0">
      <text>
        <r>
          <rPr>
            <b/>
            <sz val="11"/>
            <color indexed="39"/>
            <rFont val="Cambria"/>
            <family val="1"/>
            <scheme val="major"/>
          </rPr>
          <t>Sl.-16, Col.(10) (Transgender Died) should be equal to Sl.-12.1, Col.(10) (Transgender Died) of Proforma-II</t>
        </r>
      </text>
    </comment>
    <comment ref="M27" authorId="0">
      <text>
        <r>
          <rPr>
            <b/>
            <sz val="11"/>
            <color indexed="39"/>
            <rFont val="Cambria"/>
            <family val="1"/>
            <scheme val="major"/>
          </rPr>
          <t>Sl.-16, Col.(11) (Died Total) should be equal to Sl.-12.1, Col.(11) (Died Total) of Proforma-II</t>
        </r>
      </text>
    </comment>
  </commentList>
</comments>
</file>

<file path=xl/comments10.xml><?xml version="1.0" encoding="utf-8"?>
<comments xmlns="http://schemas.openxmlformats.org/spreadsheetml/2006/main">
  <authors>
    <author>psk</author>
  </authors>
  <commentList>
    <comment ref="E5" authorId="0">
      <text>
        <r>
          <rPr>
            <b/>
            <sz val="11"/>
            <color indexed="39"/>
            <rFont val="Cambria"/>
            <family val="1"/>
            <scheme val="major"/>
          </rPr>
          <t>For each cause, if persons injured/died is non zero, cases must be non zero</t>
        </r>
      </text>
    </comment>
    <comment ref="A25" authorId="0">
      <text>
        <r>
          <rPr>
            <b/>
            <sz val="11"/>
            <color indexed="39"/>
            <rFont val="Cambria"/>
            <family val="1"/>
            <scheme val="major"/>
          </rPr>
          <t>Sl.-14 [(Road Accidents Total (Excluding Unmanned Railway Crossing Accidents)] should be equal to Sl.-12.1 (Road Accidents Total) of Proforma-II for Cases, Injured and Died</t>
        </r>
      </text>
    </comment>
    <comment ref="D25" authorId="0">
      <text>
        <r>
          <rPr>
            <b/>
            <sz val="11"/>
            <color indexed="39"/>
            <rFont val="Cambria"/>
            <family val="1"/>
            <scheme val="major"/>
          </rPr>
          <t>Sl.-14, Col.(3) (Total Cases) should be equal to Sl.-12.1, Col.(3) (Total Cases) of Proforma-II</t>
        </r>
      </text>
    </comment>
    <comment ref="F25" authorId="0">
      <text>
        <r>
          <rPr>
            <b/>
            <sz val="11"/>
            <color indexed="39"/>
            <rFont val="Cambria"/>
            <family val="1"/>
            <scheme val="major"/>
          </rPr>
          <t>Sl.-14, Col.(4) (Male Injured) should be equal to Sl.-12.1, Col.(4) (Male Injured) of Proforma-II</t>
        </r>
      </text>
    </comment>
    <comment ref="G25" authorId="0">
      <text>
        <r>
          <rPr>
            <b/>
            <sz val="11"/>
            <color indexed="39"/>
            <rFont val="Cambria"/>
            <family val="1"/>
            <scheme val="major"/>
          </rPr>
          <t>Sl.-14, Col.(5) (Female Injured) should be equal to Sl.-12.1, Col.(5) (Female Injured) of Proforma-II</t>
        </r>
      </text>
    </comment>
    <comment ref="H25" authorId="0">
      <text>
        <r>
          <rPr>
            <b/>
            <sz val="11"/>
            <color indexed="39"/>
            <rFont val="Cambria"/>
            <family val="1"/>
            <scheme val="major"/>
          </rPr>
          <t>Sl.-14, Col.(6) (Transgender Injured) should be equal to Sl.-12.1, Col.(6) (Transgender Injured) of Proforma-II</t>
        </r>
      </text>
    </comment>
    <comment ref="I25" authorId="0">
      <text>
        <r>
          <rPr>
            <b/>
            <sz val="11"/>
            <color indexed="39"/>
            <rFont val="Cambria"/>
            <family val="1"/>
            <scheme val="major"/>
          </rPr>
          <t>Sl.-14, Col.(7) (Injured Total) should be equal to Sl.-12.1, Col.(7) (Injured Total) of Proforma-II</t>
        </r>
      </text>
    </comment>
    <comment ref="J25" authorId="0">
      <text>
        <r>
          <rPr>
            <b/>
            <sz val="11"/>
            <color indexed="39"/>
            <rFont val="Cambria"/>
            <family val="1"/>
            <scheme val="major"/>
          </rPr>
          <t>Sl.-14, Col.(8) (Male Died) should be equal to Sl.-12.1, Col.(8) (Male Died) of Proforma-II</t>
        </r>
      </text>
    </comment>
    <comment ref="K25" authorId="0">
      <text>
        <r>
          <rPr>
            <b/>
            <sz val="11"/>
            <color indexed="39"/>
            <rFont val="Cambria"/>
            <family val="1"/>
            <scheme val="major"/>
          </rPr>
          <t>Sl.-14, Col.(9) (Female Died) should be equal to Sl.-12.1, Col.(9) (Female Died) of Proforma-II</t>
        </r>
      </text>
    </comment>
    <comment ref="L25" authorId="0">
      <text>
        <r>
          <rPr>
            <b/>
            <sz val="11"/>
            <color indexed="39"/>
            <rFont val="Cambria"/>
            <family val="1"/>
            <scheme val="major"/>
          </rPr>
          <t>Sl.-14, Col.(10) (Transgender Died) should be equal to Sl.-12.1, Col.(10) (Transgender Died) of Proforma-II</t>
        </r>
      </text>
    </comment>
    <comment ref="M25" authorId="0">
      <text>
        <r>
          <rPr>
            <b/>
            <sz val="11"/>
            <color indexed="39"/>
            <rFont val="Cambria"/>
            <family val="1"/>
            <scheme val="major"/>
          </rPr>
          <t>Sl.-14, Col.(11) (Died Total) should be equal to Sl.-12.1, Col.(11) (Died Total) of Proforma-II</t>
        </r>
      </text>
    </comment>
    <comment ref="A26" authorId="0">
      <text>
        <r>
          <rPr>
            <b/>
            <sz val="11"/>
            <color indexed="39"/>
            <rFont val="Cambria"/>
            <family val="1"/>
            <scheme val="major"/>
          </rPr>
          <t>Sl.-10 (Unmanned Railway Crossing Accidents) should be less than or equal to Sl.-12.2 (Railway Crossing Accidents) of Proforma-II for Cases, Injured and Died</t>
        </r>
      </text>
    </comment>
    <comment ref="D26" authorId="0">
      <text>
        <r>
          <rPr>
            <b/>
            <sz val="11"/>
            <color indexed="39"/>
            <rFont val="Cambria"/>
            <family val="1"/>
            <scheme val="major"/>
          </rPr>
          <t>Sl.-10, Col.(3) (No. of Cases) should be less than or equal to Sl.-12.2, Col.(3) (No. of Cases) of Proforma-II</t>
        </r>
      </text>
    </comment>
    <comment ref="F26" authorId="0">
      <text>
        <r>
          <rPr>
            <b/>
            <sz val="11"/>
            <color indexed="39"/>
            <rFont val="Cambria"/>
            <family val="1"/>
            <scheme val="major"/>
          </rPr>
          <t>Sl.-10, Col.(4) (Male Injured) should be less than or equal to Sl.-12.2, Col.(4) (Male Injured) of Proforma-II</t>
        </r>
      </text>
    </comment>
    <comment ref="G26" authorId="0">
      <text>
        <r>
          <rPr>
            <b/>
            <sz val="11"/>
            <color indexed="39"/>
            <rFont val="Cambria"/>
            <family val="1"/>
            <scheme val="major"/>
          </rPr>
          <t>Sl.-10, Col.(5) (Female Injured) should be less than or equal to Sl.-12.2, Col.(5) (Female Injured) of Proforma-II</t>
        </r>
      </text>
    </comment>
    <comment ref="H26" authorId="0">
      <text>
        <r>
          <rPr>
            <b/>
            <sz val="11"/>
            <color indexed="39"/>
            <rFont val="Cambria"/>
            <family val="1"/>
            <scheme val="major"/>
          </rPr>
          <t>Sl.-10, Col.(6) (Transgender Injured) should be less than or equal to Sl.-12.2, Col.(6) (Transgender Injured) of Proforma-II</t>
        </r>
      </text>
    </comment>
    <comment ref="I26" authorId="0">
      <text>
        <r>
          <rPr>
            <b/>
            <sz val="11"/>
            <color indexed="39"/>
            <rFont val="Cambria"/>
            <family val="1"/>
            <scheme val="major"/>
          </rPr>
          <t>Sl.-10, Col.(7) (Injured Total) should be less than or equal to Sl.-12.2, Col.(7) (Injured Total) of Proforma-II</t>
        </r>
      </text>
    </comment>
    <comment ref="J26" authorId="0">
      <text>
        <r>
          <rPr>
            <b/>
            <sz val="11"/>
            <color indexed="39"/>
            <rFont val="Cambria"/>
            <family val="1"/>
            <scheme val="major"/>
          </rPr>
          <t>Sl.-10, Col.(8) (Male Died) should be less than or equal to Sl.-12.2, Col.(8) (Male Died) of Proforma-II</t>
        </r>
      </text>
    </comment>
    <comment ref="K26" authorId="0">
      <text>
        <r>
          <rPr>
            <b/>
            <sz val="11"/>
            <color indexed="39"/>
            <rFont val="Cambria"/>
            <family val="1"/>
            <scheme val="major"/>
          </rPr>
          <t>Sl.-10, Col.(9) (Female Died) should be less than or equal to Sl.-12.2, Col.(9) (Female Died) of Proforma-II</t>
        </r>
      </text>
    </comment>
    <comment ref="L26" authorId="0">
      <text>
        <r>
          <rPr>
            <b/>
            <sz val="11"/>
            <color indexed="39"/>
            <rFont val="Cambria"/>
            <family val="1"/>
            <scheme val="major"/>
          </rPr>
          <t>Sl.-10, Col.(10) (Transgender Died) should be less than or equal to Sl.-12.2, Col.(10) (Transgender Died) of Proforma-II</t>
        </r>
      </text>
    </comment>
    <comment ref="M26" authorId="0">
      <text>
        <r>
          <rPr>
            <b/>
            <sz val="11"/>
            <color indexed="39"/>
            <rFont val="Cambria"/>
            <family val="1"/>
            <scheme val="major"/>
          </rPr>
          <t>Sl.-10, Col.(11) (Died Total) should be less than or equal to Sl.-12.2, Col.(11) (Died Total) of Proforma-II</t>
        </r>
      </text>
    </comment>
  </commentList>
</comments>
</file>

<file path=xl/comments11.xml><?xml version="1.0" encoding="utf-8"?>
<comments xmlns="http://schemas.openxmlformats.org/spreadsheetml/2006/main">
  <authors>
    <author>psk</author>
  </authors>
  <commentList>
    <comment ref="E6" authorId="0">
      <text>
        <r>
          <rPr>
            <b/>
            <sz val="11"/>
            <color indexed="39"/>
            <rFont val="Cambria"/>
            <family val="1"/>
            <scheme val="major"/>
          </rPr>
          <t>For each month, if persons injured/died is non zero, cases must be non zero</t>
        </r>
      </text>
    </comment>
    <comment ref="I6" authorId="0">
      <text>
        <r>
          <rPr>
            <b/>
            <sz val="11"/>
            <color indexed="39"/>
            <rFont val="Cambria"/>
            <family val="1"/>
            <scheme val="major"/>
          </rPr>
          <t>For each month, if persons injured/died is non zero, cases must be non zero</t>
        </r>
      </text>
    </comment>
    <comment ref="M6" authorId="0">
      <text>
        <r>
          <rPr>
            <b/>
            <sz val="11"/>
            <color indexed="39"/>
            <rFont val="Cambria"/>
            <family val="1"/>
            <scheme val="major"/>
          </rPr>
          <t>For each month, if persons injured/died is non zero, cases must be non zero</t>
        </r>
      </text>
    </comment>
    <comment ref="A22" authorId="0">
      <text>
        <r>
          <rPr>
            <b/>
            <sz val="11"/>
            <color indexed="39"/>
            <rFont val="Cambria"/>
            <family val="1"/>
            <scheme val="major"/>
          </rPr>
          <t>Sl.-13 (Total) (Road, Railway Crossing and Railway) should be equal to Sl.-12.1 (Road Total), Sl.-12.2 (Railway Crossing Total) and Sl.-12.3 (Railway Total) of Proforma-II for Cases, Injured and Died</t>
        </r>
      </text>
    </comment>
    <comment ref="D22" authorId="0">
      <text>
        <r>
          <rPr>
            <b/>
            <sz val="11"/>
            <color indexed="39"/>
            <rFont val="Cambria"/>
            <family val="1"/>
            <scheme val="major"/>
          </rPr>
          <t>Sl.-13, Col.(3) (Total Road Cases) should be equal to Sl.-12.1, Col.(3) (Road Cases) of Proforma-II</t>
        </r>
      </text>
    </comment>
    <comment ref="F22" authorId="0">
      <text>
        <r>
          <rPr>
            <b/>
            <sz val="11"/>
            <color indexed="39"/>
            <rFont val="Cambria"/>
            <family val="1"/>
            <scheme val="major"/>
          </rPr>
          <t>Sl.-13, Col.(4) (Road Injured Total) should be equal to Sl.-12.1, Col.(7) (Road Injured Total) of Proforma-II</t>
        </r>
      </text>
    </comment>
    <comment ref="G22" authorId="0">
      <text>
        <r>
          <rPr>
            <b/>
            <sz val="11"/>
            <color indexed="39"/>
            <rFont val="Cambria"/>
            <family val="1"/>
            <scheme val="major"/>
          </rPr>
          <t>Sl.-13, Col.(5) (Road Died Total) should be equal to Sl.-12.1, Col.(11) (Road Died Total) of Proforma-II</t>
        </r>
      </text>
    </comment>
    <comment ref="H22" authorId="0">
      <text>
        <r>
          <rPr>
            <b/>
            <sz val="11"/>
            <color indexed="39"/>
            <rFont val="Cambria"/>
            <family val="1"/>
            <scheme val="major"/>
          </rPr>
          <t>Sl.-13, Col.(6) (Railway Crossing Cases) should be equal to Sl.-12.2, Col.(3) (Railway Crossing Cases) of Proforma-II</t>
        </r>
      </text>
    </comment>
    <comment ref="J22" authorId="0">
      <text>
        <r>
          <rPr>
            <b/>
            <sz val="11"/>
            <color indexed="39"/>
            <rFont val="Cambria"/>
            <family val="1"/>
            <scheme val="major"/>
          </rPr>
          <t>Sl.-13, Col.(7) (Railway Crossing Injured Total) should be equal to Sl.-12.2, Col.(7) (Railway Crossing Injured Total) of Proforma-II</t>
        </r>
      </text>
    </comment>
    <comment ref="K22" authorId="0">
      <text>
        <r>
          <rPr>
            <b/>
            <sz val="11"/>
            <color indexed="39"/>
            <rFont val="Cambria"/>
            <family val="1"/>
            <scheme val="major"/>
          </rPr>
          <t>Sl.-13, Col.(8) (Railway Crossing Died Total) should be equal to Sl.-12.2, Col.(11) (Railway Crossing Died Total) of Proforma-II</t>
        </r>
      </text>
    </comment>
    <comment ref="L22" authorId="0">
      <text>
        <r>
          <rPr>
            <b/>
            <sz val="11"/>
            <color indexed="39"/>
            <rFont val="Cambria"/>
            <family val="1"/>
            <scheme val="major"/>
          </rPr>
          <t>Sl.-13, Col.(9) (Railway Cases) should be equal to Sl.-12.3, Col.(3) (Railway Cases) of Proforma-II</t>
        </r>
      </text>
    </comment>
    <comment ref="N22" authorId="0">
      <text>
        <r>
          <rPr>
            <b/>
            <sz val="11"/>
            <color indexed="39"/>
            <rFont val="Cambria"/>
            <family val="1"/>
            <scheme val="major"/>
          </rPr>
          <t>Sl.-13, Col.(10) (Railway Injured Total) should be equal to Sl.-12.3, Col.(7) (Railway Injured Total) of Proforma-II</t>
        </r>
      </text>
    </comment>
    <comment ref="O22" authorId="0">
      <text>
        <r>
          <rPr>
            <b/>
            <sz val="11"/>
            <color indexed="39"/>
            <rFont val="Cambria"/>
            <family val="1"/>
            <scheme val="major"/>
          </rPr>
          <t>Sl.-13, Col.(11) (Railway Died Total) should be equal to Sl.-12.3, Col.(11) (Railway Died Total) of Proforma-II</t>
        </r>
      </text>
    </comment>
    <comment ref="P22" authorId="0">
      <text>
        <r>
          <rPr>
            <b/>
            <sz val="11"/>
            <color indexed="39"/>
            <rFont val="Cambria"/>
            <family val="1"/>
            <scheme val="major"/>
          </rPr>
          <t>Sl.-13, Col.(12) (Total Traffic Cases) should be equal to Sl.-12, Col.(3) (Total Traffic Cases) of Proforma-II</t>
        </r>
      </text>
    </comment>
    <comment ref="Q22" authorId="0">
      <text>
        <r>
          <rPr>
            <b/>
            <sz val="11"/>
            <color indexed="39"/>
            <rFont val="Cambria"/>
            <family val="1"/>
            <scheme val="major"/>
          </rPr>
          <t>Sl.-13, Col.(13) (Total Traffic Injured) should be equal to Sl.-12, Col.(7) (Total Traffic Injured) of Proforma-II</t>
        </r>
      </text>
    </comment>
    <comment ref="R22" authorId="0">
      <text>
        <r>
          <rPr>
            <b/>
            <sz val="11"/>
            <color indexed="39"/>
            <rFont val="Cambria"/>
            <family val="1"/>
            <scheme val="major"/>
          </rPr>
          <t>Sl.-13, Col.(14) (Total Traffic Died) should be equal to Sl.-12, Col.(11) (Total Traffic Died) of Proforma-II</t>
        </r>
      </text>
    </comment>
  </commentList>
</comments>
</file>

<file path=xl/comments12.xml><?xml version="1.0" encoding="utf-8"?>
<comments xmlns="http://schemas.openxmlformats.org/spreadsheetml/2006/main">
  <authors>
    <author>psk</author>
  </authors>
  <commentList>
    <comment ref="E6" authorId="0">
      <text>
        <r>
          <rPr>
            <b/>
            <sz val="11"/>
            <color indexed="39"/>
            <rFont val="Cambria"/>
            <family val="1"/>
            <scheme val="major"/>
          </rPr>
          <t>For each time, if persons injured/died is non zero, cases must be non zero</t>
        </r>
      </text>
    </comment>
    <comment ref="I6" authorId="0">
      <text>
        <r>
          <rPr>
            <b/>
            <sz val="11"/>
            <color indexed="39"/>
            <rFont val="Cambria"/>
            <family val="1"/>
            <scheme val="major"/>
          </rPr>
          <t>For each time, if persons injured/died is non zero, cases must be non zero</t>
        </r>
      </text>
    </comment>
    <comment ref="M6" authorId="0">
      <text>
        <r>
          <rPr>
            <b/>
            <sz val="11"/>
            <color indexed="39"/>
            <rFont val="Cambria"/>
            <family val="1"/>
            <scheme val="major"/>
          </rPr>
          <t>For each time, if persons injured/died is non zero, cases must be non zero</t>
        </r>
      </text>
    </comment>
    <comment ref="A18" authorId="0">
      <text>
        <r>
          <rPr>
            <b/>
            <sz val="11"/>
            <color indexed="39"/>
            <rFont val="Cambria"/>
            <family val="1"/>
            <scheme val="major"/>
          </rPr>
          <t>Sl.-9 (Total) (Road, Railway Crossing and Railway) should be equal to Sl.-12.1 (Road Total), Sl.-12.2 (Railway Crossing Total) and Sl.-12.3 (Railway Total) of Proforma-II for Cases, Injured and Died</t>
        </r>
      </text>
    </comment>
    <comment ref="D18" authorId="0">
      <text>
        <r>
          <rPr>
            <b/>
            <sz val="11"/>
            <color indexed="39"/>
            <rFont val="Cambria"/>
            <family val="1"/>
            <scheme val="major"/>
          </rPr>
          <t>Sl.-9, Col.(3) (Road Cases) should be equal to Sl.-12.1, Col.(3) (Road Cases) of Proforma-II</t>
        </r>
      </text>
    </comment>
    <comment ref="F18" authorId="0">
      <text>
        <r>
          <rPr>
            <b/>
            <sz val="11"/>
            <color indexed="39"/>
            <rFont val="Cambria"/>
            <family val="1"/>
            <scheme val="major"/>
          </rPr>
          <t>Sl.-9, Col.(4) (Road Injured Total) should be equal to Sl.-12.1, Col.(7) (Road Injured Total) of Proforma-II</t>
        </r>
      </text>
    </comment>
    <comment ref="G18" authorId="0">
      <text>
        <r>
          <rPr>
            <b/>
            <sz val="11"/>
            <color indexed="39"/>
            <rFont val="Cambria"/>
            <family val="1"/>
            <scheme val="major"/>
          </rPr>
          <t>Sl.-9, Col.(5) (Road Died Total) should be equal to Sl.-12.1, Col.(11) (Road Died Total) of Proforma-II</t>
        </r>
      </text>
    </comment>
    <comment ref="H18" authorId="0">
      <text>
        <r>
          <rPr>
            <b/>
            <sz val="11"/>
            <color indexed="39"/>
            <rFont val="Cambria"/>
            <family val="1"/>
            <scheme val="major"/>
          </rPr>
          <t>Sl.-9, Col.(6) (Railway Crossing Cases) should be equal to Sl.-12.2, Col.(3) (Railway Crossing Cases) of Proforma-II</t>
        </r>
      </text>
    </comment>
    <comment ref="J18" authorId="0">
      <text>
        <r>
          <rPr>
            <b/>
            <sz val="11"/>
            <color indexed="39"/>
            <rFont val="Cambria"/>
            <family val="1"/>
            <scheme val="major"/>
          </rPr>
          <t>Sl.-9, Col.(7) (Railway Crossing Injured Total) should be equal to Sl.-12.2, Col.(7) (Railway Crossing Injured Total) of Proforma-II</t>
        </r>
      </text>
    </comment>
    <comment ref="K18" authorId="0">
      <text>
        <r>
          <rPr>
            <b/>
            <sz val="11"/>
            <color indexed="39"/>
            <rFont val="Cambria"/>
            <family val="1"/>
            <scheme val="major"/>
          </rPr>
          <t>Sl.-9, Col.(8) (Railway Crossing Died Total) should be equal to Sl.-12.2, Col.(11) (Railway Crossing Died Total) of Proforma-II</t>
        </r>
      </text>
    </comment>
    <comment ref="L18" authorId="0">
      <text>
        <r>
          <rPr>
            <b/>
            <sz val="11"/>
            <color indexed="39"/>
            <rFont val="Cambria"/>
            <family val="1"/>
            <scheme val="major"/>
          </rPr>
          <t>Sl.-9, Col.(9) (Railway Cases) should be equal to Sl.-12.3, Col.(3) (Railway Cases) of Proforma-II</t>
        </r>
      </text>
    </comment>
    <comment ref="N18" authorId="0">
      <text>
        <r>
          <rPr>
            <b/>
            <sz val="11"/>
            <color indexed="39"/>
            <rFont val="Cambria"/>
            <family val="1"/>
            <scheme val="major"/>
          </rPr>
          <t>Sl.-9, Col.(10) (Railway Injured Total) should be equal to Sl.-12.3, Col.(7) (Railway Injured Total) of Proforma-II</t>
        </r>
      </text>
    </comment>
    <comment ref="O18" authorId="0">
      <text>
        <r>
          <rPr>
            <b/>
            <sz val="11"/>
            <color indexed="39"/>
            <rFont val="Cambria"/>
            <family val="1"/>
            <scheme val="major"/>
          </rPr>
          <t>Sl.-9, Col.(11) (Railway Died Total) should be equal to Sl.-12.3, Col.(11) (Railway Died Total) of Proforma-II</t>
        </r>
      </text>
    </comment>
    <comment ref="P18" authorId="0">
      <text>
        <r>
          <rPr>
            <b/>
            <sz val="11"/>
            <color indexed="39"/>
            <rFont val="Cambria"/>
            <family val="1"/>
            <scheme val="major"/>
          </rPr>
          <t>Sl.-9, Col.(12) (Total Traffic Cases) should be equal to Sl.-12, Col.(3) (Total Traffic Cases) of Proforma-II</t>
        </r>
      </text>
    </comment>
    <comment ref="Q18" authorId="0">
      <text>
        <r>
          <rPr>
            <b/>
            <sz val="11"/>
            <color indexed="39"/>
            <rFont val="Cambria"/>
            <family val="1"/>
            <scheme val="major"/>
          </rPr>
          <t>Sl.-9, Col.(13) (Total Traffic Injured) should be equal to Sl.-12, Col.(7) (Total Traffic Injured) of Proforma-II</t>
        </r>
      </text>
    </comment>
    <comment ref="R18" authorId="0">
      <text>
        <r>
          <rPr>
            <b/>
            <sz val="11"/>
            <color indexed="39"/>
            <rFont val="Cambria"/>
            <family val="1"/>
            <scheme val="major"/>
          </rPr>
          <t>Sl.-9, Col.(14) (Total Traffic Died) should be equal to Sl.-12, Col.(11) (Total Traffic Died) of Proforma-II</t>
        </r>
      </text>
    </comment>
  </commentList>
</comments>
</file>

<file path=xl/comments13.xml><?xml version="1.0" encoding="utf-8"?>
<comments xmlns="http://schemas.openxmlformats.org/spreadsheetml/2006/main">
  <authors>
    <author>psk</author>
  </authors>
  <commentList>
    <comment ref="E5" authorId="0">
      <text>
        <r>
          <rPr>
            <b/>
            <sz val="11"/>
            <color indexed="39"/>
            <rFont val="Cambria"/>
            <family val="1"/>
            <scheme val="major"/>
          </rPr>
          <t>For each cause, if persons injured/died is non zero, cases must be non zero</t>
        </r>
      </text>
    </comment>
    <comment ref="C9" authorId="0">
      <text>
        <r>
          <rPr>
            <b/>
            <sz val="10"/>
            <color indexed="25"/>
            <rFont val="Tahoma"/>
            <family val="2"/>
          </rPr>
          <t>Train Collisions refer to accidents involving more than two trains when one moving train meets another moving/idle train.</t>
        </r>
      </text>
    </comment>
    <comment ref="C10" authorId="0">
      <text>
        <r>
          <rPr>
            <b/>
            <sz val="10"/>
            <color indexed="25"/>
            <rFont val="Tahoma"/>
            <family val="2"/>
          </rPr>
          <t>Train Derailments refer to train accidents occurred due to run off of rails of a track.</t>
        </r>
      </text>
    </comment>
    <comment ref="C11" authorId="0">
      <text>
        <r>
          <rPr>
            <b/>
            <sz val="10"/>
            <color indexed="25"/>
            <rFont val="Tahoma"/>
            <family val="2"/>
          </rPr>
          <t>Refer to person fall out of a moving train or person coming under running train while on track.</t>
        </r>
      </text>
    </comment>
    <comment ref="A16" authorId="0">
      <text>
        <r>
          <rPr>
            <b/>
            <sz val="11"/>
            <color indexed="39"/>
            <rFont val="Cambria"/>
            <family val="1"/>
            <scheme val="major"/>
          </rPr>
          <t>Sl.-6 (Total Classification of Railway Accidents) should be equal to Sl.-12.3 (Railway Total) of Proforma-II for Cases, Injured and Died</t>
        </r>
      </text>
    </comment>
    <comment ref="D16" authorId="0">
      <text>
        <r>
          <rPr>
            <b/>
            <sz val="11"/>
            <color indexed="39"/>
            <rFont val="Cambria"/>
            <family val="1"/>
            <scheme val="major"/>
          </rPr>
          <t>Sl.-6 (Railway Cases) should be equal to Sl.-12.3, Col.(3) (Railway Cases) of Proforma-II</t>
        </r>
      </text>
    </comment>
    <comment ref="F16" authorId="0">
      <text>
        <r>
          <rPr>
            <b/>
            <sz val="11"/>
            <color indexed="39"/>
            <rFont val="Cambria"/>
            <family val="1"/>
            <scheme val="major"/>
          </rPr>
          <t>Sl.-6 (Male Injured) should be equal to Sl.-12.3, Col.(4) (Male Injured) of Proforma-II</t>
        </r>
      </text>
    </comment>
    <comment ref="G16" authorId="0">
      <text>
        <r>
          <rPr>
            <b/>
            <sz val="11"/>
            <color indexed="39"/>
            <rFont val="Cambria"/>
            <family val="1"/>
            <scheme val="major"/>
          </rPr>
          <t>Sl.-6 (Female Injured) should be equal to Sl.-12.3, Col.(5) (Female Injured) of Proforma-II</t>
        </r>
      </text>
    </comment>
    <comment ref="H16" authorId="0">
      <text>
        <r>
          <rPr>
            <b/>
            <sz val="11"/>
            <color indexed="39"/>
            <rFont val="Cambria"/>
            <family val="1"/>
            <scheme val="major"/>
          </rPr>
          <t>Sl.-6 (Transgender Injured) should be equal to Sl.-12.3, Col.(6) (Transgender Injured) of Proforma-II</t>
        </r>
      </text>
    </comment>
    <comment ref="I16" authorId="0">
      <text>
        <r>
          <rPr>
            <b/>
            <sz val="11"/>
            <color indexed="39"/>
            <rFont val="Cambria"/>
            <family val="1"/>
            <scheme val="major"/>
          </rPr>
          <t>Sl.-6 (Injured Total) should be equal to Sl.-12.3, Col.(7) (Injured Total) of Proforma-II</t>
        </r>
      </text>
    </comment>
    <comment ref="J16" authorId="0">
      <text>
        <r>
          <rPr>
            <b/>
            <sz val="11"/>
            <color indexed="39"/>
            <rFont val="Cambria"/>
            <family val="1"/>
            <scheme val="major"/>
          </rPr>
          <t>Sl.-6 (Male Died) should be equal to Sl.-12.3, Col.(8) (Male Died) of Proforma-II</t>
        </r>
      </text>
    </comment>
    <comment ref="K16" authorId="0">
      <text>
        <r>
          <rPr>
            <b/>
            <sz val="11"/>
            <color indexed="39"/>
            <rFont val="Cambria"/>
            <family val="1"/>
            <scheme val="major"/>
          </rPr>
          <t>Sl.-6 (Female Died) should be equal to Sl.-12.3, Col.(9) (Female Died) of Proforma-II</t>
        </r>
      </text>
    </comment>
    <comment ref="L16" authorId="0">
      <text>
        <r>
          <rPr>
            <b/>
            <sz val="11"/>
            <color indexed="39"/>
            <rFont val="Cambria"/>
            <family val="1"/>
            <scheme val="major"/>
          </rPr>
          <t>Sl.-6 (Transgender Died) should be equal to Sl.-12.3, Col.(10) (Transgender Died) of Proforma-II</t>
        </r>
      </text>
    </comment>
    <comment ref="M16" authorId="0">
      <text>
        <r>
          <rPr>
            <b/>
            <sz val="11"/>
            <color indexed="39"/>
            <rFont val="Cambria"/>
            <family val="1"/>
            <scheme val="major"/>
          </rPr>
          <t>Sl.-6 (Died Total) should be equal to Sl.-12.3, Col.(11) (Died Total) of Proforma-II</t>
        </r>
      </text>
    </comment>
    <comment ref="A26" authorId="0">
      <text>
        <r>
          <rPr>
            <b/>
            <sz val="11"/>
            <color indexed="39"/>
            <rFont val="Cambria"/>
            <family val="1"/>
            <scheme val="major"/>
          </rPr>
          <t>Sl.-12 (Total Causes of Railway Accidents should be equal to Sl.-12.3 (Railway Total) of Proforma-II for Cases, Injured and Died</t>
        </r>
      </text>
    </comment>
    <comment ref="D26" authorId="0">
      <text>
        <r>
          <rPr>
            <b/>
            <sz val="11"/>
            <color indexed="39"/>
            <rFont val="Cambria"/>
            <family val="1"/>
            <scheme val="major"/>
          </rPr>
          <t>Sl.-12, Col.(3) (Railway Cases) should be equal to Sl.-12.3, Col.(3) (Railway Cases) of Proforma-II</t>
        </r>
      </text>
    </comment>
    <comment ref="F26" authorId="0">
      <text>
        <r>
          <rPr>
            <b/>
            <sz val="11"/>
            <color indexed="39"/>
            <rFont val="Cambria"/>
            <family val="1"/>
            <scheme val="major"/>
          </rPr>
          <t>Sl.-12, Col.(4) (Male Injured) should be equal to Sl.-12.3, Col.(4) (Male Injured) of Proforma-II</t>
        </r>
      </text>
    </comment>
    <comment ref="G26" authorId="0">
      <text>
        <r>
          <rPr>
            <b/>
            <sz val="11"/>
            <color indexed="39"/>
            <rFont val="Cambria"/>
            <family val="1"/>
            <scheme val="major"/>
          </rPr>
          <t>Sl.-12, Col.(5) (Female Injured) should be equal to Sl.-12.3, Col.(5) (Female Injured) of Proforma-II</t>
        </r>
      </text>
    </comment>
    <comment ref="H26" authorId="0">
      <text>
        <r>
          <rPr>
            <b/>
            <sz val="11"/>
            <color indexed="39"/>
            <rFont val="Cambria"/>
            <family val="1"/>
            <scheme val="major"/>
          </rPr>
          <t>Sl.-12, Col.(6) (Transgender Injured) should be equal to Sl.-12.3, Col.(6) (Transgender Injured) of Proforma-II</t>
        </r>
      </text>
    </comment>
    <comment ref="I26" authorId="0">
      <text>
        <r>
          <rPr>
            <b/>
            <sz val="11"/>
            <color indexed="39"/>
            <rFont val="Cambria"/>
            <family val="1"/>
            <scheme val="major"/>
          </rPr>
          <t>Sl.-12, Col.(7) (Injured Total) should be equal to Sl.-12.3, Col.(7) (Injured Total) of Proforma-II</t>
        </r>
      </text>
    </comment>
    <comment ref="J26" authorId="0">
      <text>
        <r>
          <rPr>
            <b/>
            <sz val="11"/>
            <color indexed="39"/>
            <rFont val="Cambria"/>
            <family val="1"/>
            <scheme val="major"/>
          </rPr>
          <t>Sl.-12, Col.(8) (Male Died) should be equal to Sl.-12.3, Col.(8) (Male Died) of Proforma-II</t>
        </r>
      </text>
    </comment>
    <comment ref="K26" authorId="0">
      <text>
        <r>
          <rPr>
            <b/>
            <sz val="11"/>
            <color indexed="39"/>
            <rFont val="Cambria"/>
            <family val="1"/>
            <scheme val="major"/>
          </rPr>
          <t>Sl.-12, Col.(9) (Female Died) should be equal to Sl.-12.3, Col.(9) (Female Died) of Proforma-II</t>
        </r>
      </text>
    </comment>
    <comment ref="L26" authorId="0">
      <text>
        <r>
          <rPr>
            <b/>
            <sz val="11"/>
            <color indexed="39"/>
            <rFont val="Cambria"/>
            <family val="1"/>
            <scheme val="major"/>
          </rPr>
          <t>Sl.-12, Col.(10) (Transgender Died) should be equal to Sl.-12.3, Col.(10) (Transgender Died) of Proforma-II</t>
        </r>
      </text>
    </comment>
    <comment ref="M26" authorId="0">
      <text>
        <r>
          <rPr>
            <b/>
            <sz val="11"/>
            <color indexed="39"/>
            <rFont val="Cambria"/>
            <family val="1"/>
            <scheme val="major"/>
          </rPr>
          <t>Sl.-12, Col.(11) (Died Total) should be equal to Sl.-12.3, Col.(11) (Died Total) of Proforma-II</t>
        </r>
      </text>
    </comment>
  </commentList>
</comments>
</file>

<file path=xl/comments14.xml><?xml version="1.0" encoding="utf-8"?>
<comments xmlns="http://schemas.openxmlformats.org/spreadsheetml/2006/main">
  <authors>
    <author>psk</author>
  </authors>
  <commentList>
    <comment ref="C9" authorId="0">
      <text>
        <r>
          <rPr>
            <b/>
            <sz val="10"/>
            <color indexed="25"/>
            <rFont val="Tahoma"/>
            <family val="2"/>
          </rPr>
          <t>Refers to killing by personnel belonging to same force.</t>
        </r>
      </text>
    </comment>
    <comment ref="A17" authorId="0">
      <text>
        <r>
          <rPr>
            <b/>
            <sz val="11"/>
            <color indexed="39"/>
            <rFont val="Cambria"/>
            <family val="1"/>
            <scheme val="major"/>
          </rPr>
          <t>For each age group, Sl.-6 (Total) should be less than or equal to Sl.-16 (Total) of Proforma-III</t>
        </r>
      </text>
    </comment>
    <comment ref="D17" authorId="0">
      <text>
        <r>
          <rPr>
            <b/>
            <sz val="11"/>
            <color indexed="39"/>
            <rFont val="Cambria"/>
            <family val="1"/>
            <scheme val="major"/>
          </rPr>
          <t>Sl.-6, Col.(3) (Total) should be less than or equal to Sl.-16, Col.(5) (Total) of Proforma-III</t>
        </r>
      </text>
    </comment>
    <comment ref="E17" authorId="0">
      <text>
        <r>
          <rPr>
            <b/>
            <sz val="11"/>
            <color indexed="39"/>
            <rFont val="Cambria"/>
            <family val="1"/>
            <scheme val="major"/>
          </rPr>
          <t>Sl.-6, Col.(4) (Total) should be less than or equal to Sl.-16, Col.(6) (Total) of Proforma-III</t>
        </r>
      </text>
    </comment>
    <comment ref="F17" authorId="0">
      <text>
        <r>
          <rPr>
            <b/>
            <sz val="11"/>
            <color indexed="39"/>
            <rFont val="Cambria"/>
            <family val="1"/>
            <scheme val="major"/>
          </rPr>
          <t>Sl.-6, Col.(5) (Total) should be less than or equal to Sl.-16, Col.(7) (Total) of Proforma-III</t>
        </r>
      </text>
    </comment>
    <comment ref="G17" authorId="0">
      <text>
        <r>
          <rPr>
            <b/>
            <sz val="11"/>
            <color indexed="39"/>
            <rFont val="Cambria"/>
            <family val="1"/>
            <scheme val="major"/>
          </rPr>
          <t>Sl.-6, Col.(6) (Total) should be less than or equal to Sl.-16, Col.(8) (Total) of Proforma-III</t>
        </r>
      </text>
    </comment>
    <comment ref="H17" authorId="0">
      <text>
        <r>
          <rPr>
            <b/>
            <sz val="11"/>
            <color indexed="39"/>
            <rFont val="Cambria"/>
            <family val="1"/>
            <scheme val="major"/>
          </rPr>
          <t>Sl.-6, Col.(7) (Male Total) should be less than or equal to Sl.-16, Col.(9) (Male Total) of Proforma-III</t>
        </r>
      </text>
    </comment>
    <comment ref="I17" authorId="0">
      <text>
        <r>
          <rPr>
            <b/>
            <sz val="11"/>
            <color indexed="39"/>
            <rFont val="Cambria"/>
            <family val="1"/>
            <scheme val="major"/>
          </rPr>
          <t>Sl.-6, Col.(8) (Total) should be less than or equal to Sl.-16, Col.(12) (Total) of Proforma-III</t>
        </r>
      </text>
    </comment>
    <comment ref="J17" authorId="0">
      <text>
        <r>
          <rPr>
            <b/>
            <sz val="11"/>
            <color indexed="39"/>
            <rFont val="Cambria"/>
            <family val="1"/>
            <scheme val="major"/>
          </rPr>
          <t>Sl.-6, Col.(9) (Total) should be less than or equal to Sl.-16, Col.(13) (Total) of Proforma-III</t>
        </r>
      </text>
    </comment>
    <comment ref="K17" authorId="0">
      <text>
        <r>
          <rPr>
            <b/>
            <sz val="11"/>
            <color indexed="39"/>
            <rFont val="Cambria"/>
            <family val="1"/>
            <scheme val="major"/>
          </rPr>
          <t>Sl.-6, Col.(10) (Total) should be less than or equal to Sl.-16, Col.(14) (Total) of Proforma-III</t>
        </r>
      </text>
    </comment>
    <comment ref="L17" authorId="0">
      <text>
        <r>
          <rPr>
            <b/>
            <sz val="11"/>
            <color indexed="39"/>
            <rFont val="Cambria"/>
            <family val="1"/>
            <scheme val="major"/>
          </rPr>
          <t>Sl.-6, Col.(11) (Total) should be less than or equal to Sl.-16, Col.(15) (Total) of Proforma-III</t>
        </r>
      </text>
    </comment>
    <comment ref="M17" authorId="0">
      <text>
        <r>
          <rPr>
            <b/>
            <sz val="11"/>
            <color indexed="39"/>
            <rFont val="Cambria"/>
            <family val="1"/>
            <scheme val="major"/>
          </rPr>
          <t>Sl.-6, Col.(12) (Female Total) should be less than or equal to Sl.-16, Col.(16) (Female Total) of Proforma-III</t>
        </r>
      </text>
    </comment>
    <comment ref="N17" authorId="0">
      <text>
        <r>
          <rPr>
            <b/>
            <sz val="11"/>
            <color indexed="39"/>
            <rFont val="Cambria"/>
            <family val="1"/>
            <scheme val="major"/>
          </rPr>
          <t>Sl.-6, Col.(13) (Total) should be less than or equal to Sl.-16, Col.(19) (Total) of Proforma-III</t>
        </r>
      </text>
    </comment>
    <comment ref="O17" authorId="0">
      <text>
        <r>
          <rPr>
            <b/>
            <sz val="11"/>
            <color indexed="39"/>
            <rFont val="Cambria"/>
            <family val="1"/>
            <scheme val="major"/>
          </rPr>
          <t>Sl.-6, Col.(14) (Total) should be less than or equal to Sl.-16, Col.(20) (Total) of Proforma-III</t>
        </r>
      </text>
    </comment>
    <comment ref="P17" authorId="0">
      <text>
        <r>
          <rPr>
            <b/>
            <sz val="11"/>
            <color indexed="39"/>
            <rFont val="Cambria"/>
            <family val="1"/>
            <scheme val="major"/>
          </rPr>
          <t>Sl.-6, Col.(15) (Total) should be less than or equal to Sl.-16, Col.(21) (Total) of Proforma-III</t>
        </r>
      </text>
    </comment>
    <comment ref="Q17" authorId="0">
      <text>
        <r>
          <rPr>
            <b/>
            <sz val="11"/>
            <color indexed="39"/>
            <rFont val="Cambria"/>
            <family val="1"/>
            <scheme val="major"/>
          </rPr>
          <t>Sl.-6, Col.(16) (Total) should be less than or equal to Sl.-16, Col.(22) (Total) of Proforma-III</t>
        </r>
      </text>
    </comment>
    <comment ref="R17" authorId="0">
      <text>
        <r>
          <rPr>
            <b/>
            <sz val="11"/>
            <color indexed="39"/>
            <rFont val="Cambria"/>
            <family val="1"/>
            <scheme val="major"/>
          </rPr>
          <t>Sl.-6, Col.(17) (Transgender Total) should be less than or equal to Sl.-16, Col.(23) (Transgender Total) of Proforma-III</t>
        </r>
      </text>
    </comment>
    <comment ref="S17" authorId="0">
      <text>
        <r>
          <rPr>
            <b/>
            <sz val="11"/>
            <color indexed="39"/>
            <rFont val="Cambria"/>
            <family val="1"/>
            <scheme val="major"/>
          </rPr>
          <t>Sl.-6, Col.(18) (Grand Total) should be less than or equal to Sl.-16, Col.(24) (Grand Total) of Proforma-III</t>
        </r>
      </text>
    </comment>
  </commentList>
</comments>
</file>

<file path=xl/comments15.xml><?xml version="1.0" encoding="utf-8"?>
<comments xmlns="http://schemas.openxmlformats.org/spreadsheetml/2006/main">
  <authors>
    <author>psk</author>
  </authors>
  <commentList>
    <comment ref="C17" authorId="0">
      <text>
        <r>
          <rPr>
            <b/>
            <sz val="10"/>
            <color indexed="25"/>
            <rFont val="Tahoma"/>
            <family val="2"/>
          </rPr>
          <t>Refer to family problems other than marriage related issues.</t>
        </r>
      </text>
    </comment>
  </commentList>
</comments>
</file>

<file path=xl/comments16.xml><?xml version="1.0" encoding="utf-8"?>
<comments xmlns="http://schemas.openxmlformats.org/spreadsheetml/2006/main">
  <authors>
    <author>psk</author>
  </authors>
  <commentList>
    <comment ref="C25" authorId="0">
      <text>
        <r>
          <rPr>
            <b/>
            <sz val="10"/>
            <color indexed="25"/>
            <rFont val="Tahoma"/>
            <family val="2"/>
          </rPr>
          <t>Farming sector refers to agricultural field crops as well as horticulture crops.</t>
        </r>
      </text>
    </comment>
    <comment ref="C30" authorId="0">
      <text>
        <r>
          <rPr>
            <b/>
            <sz val="10"/>
            <color indexed="25"/>
            <rFont val="Tahoma"/>
            <family val="2"/>
          </rPr>
          <t>Refers to persons working of daily wage basis and excludes agricultural labourer.</t>
        </r>
      </text>
    </comment>
    <comment ref="A35" authorId="0">
      <text>
        <r>
          <rPr>
            <b/>
            <sz val="11"/>
            <color indexed="39"/>
            <rFont val="Cambria"/>
            <family val="1"/>
            <scheme val="major"/>
          </rPr>
          <t>Sl.-10 (Total) should be equal to Sl.-21 (Total) of Proforma-XIV</t>
        </r>
      </text>
    </comment>
    <comment ref="E35" authorId="0">
      <text>
        <r>
          <rPr>
            <b/>
            <sz val="11"/>
            <color indexed="39"/>
            <rFont val="Cambria"/>
            <family val="1"/>
            <scheme val="major"/>
          </rPr>
          <t>Sl.-10, Col.(3) (Total) should be equal to Sl.-21, Col.(3) (Total) of Proforma-XIV</t>
        </r>
      </text>
    </comment>
    <comment ref="F35" authorId="0">
      <text>
        <r>
          <rPr>
            <b/>
            <sz val="11"/>
            <color indexed="39"/>
            <rFont val="Cambria"/>
            <family val="1"/>
            <scheme val="major"/>
          </rPr>
          <t>Sl.-10, Col.(4) (Total) should be equal to Sl.-21, Col.(4) (Total) of Proforma-XIV</t>
        </r>
      </text>
    </comment>
    <comment ref="G35" authorId="0">
      <text>
        <r>
          <rPr>
            <b/>
            <sz val="11"/>
            <color indexed="39"/>
            <rFont val="Cambria"/>
            <family val="1"/>
            <scheme val="major"/>
          </rPr>
          <t>Sl.-10, Col.(5) (Total) should be equal to Sl.-21, Col.(5) (Total) of Proforma-XIV</t>
        </r>
      </text>
    </comment>
    <comment ref="H35" authorId="0">
      <text>
        <r>
          <rPr>
            <b/>
            <sz val="11"/>
            <color indexed="39"/>
            <rFont val="Cambria"/>
            <family val="1"/>
            <scheme val="major"/>
          </rPr>
          <t>Sl.-10, Col.(6) (Total) should be equal to Sl.-21, Col.(6) (Total) of Proforma-XIV</t>
        </r>
      </text>
    </comment>
    <comment ref="I35" authorId="0">
      <text>
        <r>
          <rPr>
            <b/>
            <sz val="11"/>
            <color indexed="39"/>
            <rFont val="Cambria"/>
            <family val="1"/>
            <scheme val="major"/>
          </rPr>
          <t>Sl.-10, Col.(7) (Total) should be equal to Sl.-21, Col.(7) (Total) of Proforma-XIV</t>
        </r>
      </text>
    </comment>
    <comment ref="J35" authorId="0">
      <text>
        <r>
          <rPr>
            <b/>
            <sz val="11"/>
            <color indexed="39"/>
            <rFont val="Cambria"/>
            <family val="1"/>
            <scheme val="major"/>
          </rPr>
          <t>Sl.-10, Col.(8) (Total) should be equal to Sl.-21, Col.(8) (Total) of Proforma-XIV</t>
        </r>
      </text>
    </comment>
    <comment ref="K35" authorId="0">
      <text>
        <r>
          <rPr>
            <b/>
            <sz val="11"/>
            <color indexed="39"/>
            <rFont val="Cambria"/>
            <family val="1"/>
            <scheme val="major"/>
          </rPr>
          <t>Sl.-10, Col.(9) (Total) should be equal to Sl.-21, Col.(9) (Total) of Proforma-XIV</t>
        </r>
      </text>
    </comment>
    <comment ref="L35" authorId="0">
      <text>
        <r>
          <rPr>
            <b/>
            <sz val="11"/>
            <color indexed="39"/>
            <rFont val="Cambria"/>
            <family val="1"/>
            <scheme val="major"/>
          </rPr>
          <t>Sl.-10, Col.(10) (Total) should be equal to Sl.-21, Col.(10) (Total) of Proforma-XIV</t>
        </r>
      </text>
    </comment>
    <comment ref="M35" authorId="0">
      <text>
        <r>
          <rPr>
            <b/>
            <sz val="11"/>
            <color indexed="39"/>
            <rFont val="Cambria"/>
            <family val="1"/>
            <scheme val="major"/>
          </rPr>
          <t>Sl.-10, Col.(11) (Total) should be equal to Sl.-21, Col.(11) (Total) of Proforma-XIV</t>
        </r>
      </text>
    </comment>
    <comment ref="N35" authorId="0">
      <text>
        <r>
          <rPr>
            <b/>
            <sz val="11"/>
            <color indexed="39"/>
            <rFont val="Cambria"/>
            <family val="1"/>
            <scheme val="major"/>
          </rPr>
          <t>Sl.-10, Col.(12) (Total) should be equal to Sl.-21, Col.(12) (Total) of Proforma-XIV</t>
        </r>
      </text>
    </comment>
    <comment ref="O35" authorId="0">
      <text>
        <r>
          <rPr>
            <b/>
            <sz val="11"/>
            <color indexed="39"/>
            <rFont val="Cambria"/>
            <family val="1"/>
            <scheme val="major"/>
          </rPr>
          <t>Sl.-10, Col.(13) (Total) should be equal to Sl.-21, Col.(13) (Total) of Proforma-XIV</t>
        </r>
      </text>
    </comment>
    <comment ref="P35" authorId="0">
      <text>
        <r>
          <rPr>
            <b/>
            <sz val="11"/>
            <color indexed="39"/>
            <rFont val="Cambria"/>
            <family val="1"/>
            <scheme val="major"/>
          </rPr>
          <t>Sl.-10, Col.(14) (Total) should be equal to Sl.-21, Col.(14) (Total) of Proforma-XIV</t>
        </r>
      </text>
    </comment>
    <comment ref="Q35" authorId="0">
      <text>
        <r>
          <rPr>
            <b/>
            <sz val="11"/>
            <color indexed="39"/>
            <rFont val="Cambria"/>
            <family val="1"/>
            <scheme val="major"/>
          </rPr>
          <t>Sl.-10, Col.(15) (Total) should be equal to Sl.-21, Col.(15) (Total) of Proforma-XIV</t>
        </r>
      </text>
    </comment>
    <comment ref="R35" authorId="0">
      <text>
        <r>
          <rPr>
            <b/>
            <sz val="11"/>
            <color indexed="39"/>
            <rFont val="Cambria"/>
            <family val="1"/>
            <scheme val="major"/>
          </rPr>
          <t>Sl.-10, Col.(16) (Total) should be equal to Sl.-21, Col.(16) (Total) of Proforma-XIV</t>
        </r>
      </text>
    </comment>
    <comment ref="S35" authorId="0">
      <text>
        <r>
          <rPr>
            <b/>
            <sz val="11"/>
            <color indexed="39"/>
            <rFont val="Cambria"/>
            <family val="1"/>
            <scheme val="major"/>
          </rPr>
          <t>Sl.-10, Col.(17) (Total) should be equal to Sl.-21, Col.(17) (Total) of Proforma-XIV</t>
        </r>
      </text>
    </comment>
    <comment ref="T35" authorId="0">
      <text>
        <r>
          <rPr>
            <b/>
            <sz val="11"/>
            <color indexed="39"/>
            <rFont val="Cambria"/>
            <family val="1"/>
            <scheme val="major"/>
          </rPr>
          <t>Sl.-10, Col.(18) (Total) should be equal to Sl.-21, Col.(18) (Total) of Proforma-XIV</t>
        </r>
      </text>
    </comment>
    <comment ref="U35" authorId="0">
      <text>
        <r>
          <rPr>
            <b/>
            <sz val="11"/>
            <color indexed="39"/>
            <rFont val="Cambria"/>
            <family val="1"/>
            <scheme val="major"/>
          </rPr>
          <t>Sl.-10, Col.(19) (Total) should be equal to Sl.-21, Col.(19) (Total) of Proforma-XIV</t>
        </r>
      </text>
    </comment>
    <comment ref="V35" authorId="0">
      <text>
        <r>
          <rPr>
            <b/>
            <sz val="11"/>
            <color indexed="39"/>
            <rFont val="Cambria"/>
            <family val="1"/>
            <scheme val="major"/>
          </rPr>
          <t>Sl.-10, Col.(20) (Total) should be equal to Sl.-21, Col.(20) (Total) of Proforma-XIV</t>
        </r>
      </text>
    </comment>
    <comment ref="W35" authorId="0">
      <text>
        <r>
          <rPr>
            <b/>
            <sz val="11"/>
            <color indexed="39"/>
            <rFont val="Cambria"/>
            <family val="1"/>
            <scheme val="major"/>
          </rPr>
          <t>Sl.-10, Col.(21) (Total) should be equal to Sl.-21, Col.(21) (Total) of Proforma-XIV</t>
        </r>
      </text>
    </comment>
    <comment ref="X35" authorId="0">
      <text>
        <r>
          <rPr>
            <b/>
            <sz val="11"/>
            <color indexed="39"/>
            <rFont val="Cambria"/>
            <family val="1"/>
            <scheme val="major"/>
          </rPr>
          <t>Sl.-10, Col.(22) (Total) should be equal to Sl.-21, Col.(22) (Total) of Proforma-XIV</t>
        </r>
      </text>
    </comment>
    <comment ref="Y35" authorId="0">
      <text>
        <r>
          <rPr>
            <b/>
            <sz val="11"/>
            <color indexed="39"/>
            <rFont val="Cambria"/>
            <family val="1"/>
            <scheme val="major"/>
          </rPr>
          <t>Sl.-10, Col.(23) (Total) should be equal to Sl.-21, Col.(23) (Total) of Proforma-XIV</t>
        </r>
      </text>
    </comment>
    <comment ref="Z35" authorId="0">
      <text>
        <r>
          <rPr>
            <b/>
            <sz val="11"/>
            <color indexed="39"/>
            <rFont val="Cambria"/>
            <family val="1"/>
            <scheme val="major"/>
          </rPr>
          <t>Sl.-10, Col.(24) (Total) should be equal to Sl.-21, Col.(24) (Total) of Proforma-XIV</t>
        </r>
      </text>
    </comment>
  </commentList>
</comments>
</file>

<file path=xl/comments17.xml><?xml version="1.0" encoding="utf-8"?>
<comments xmlns="http://schemas.openxmlformats.org/spreadsheetml/2006/main">
  <authors>
    <author>psk</author>
  </authors>
  <commentList>
    <comment ref="A24" authorId="0">
      <text>
        <r>
          <rPr>
            <b/>
            <sz val="11"/>
            <color indexed="39"/>
            <rFont val="Cambria"/>
            <family val="1"/>
            <scheme val="major"/>
          </rPr>
          <t>Sl.-8, Col.(23, 24, 25 &amp; 26) (Religion Total of Male, Female, Transgender &amp; Total) should be equal to Sl.-8, Col.(43, 44, 45 &amp; 46) (Caste Total of Male, Female, Transgender &amp; Total)</t>
        </r>
      </text>
    </comment>
    <comment ref="X24" authorId="0">
      <text>
        <r>
          <rPr>
            <b/>
            <sz val="11"/>
            <color indexed="39"/>
            <rFont val="Cambria"/>
            <family val="1"/>
            <scheme val="major"/>
          </rPr>
          <t>Sl.-8, Col.(23) (Religion Male Total) should be equal to Sl.-8, Col.(43) (Caste Male Total)</t>
        </r>
      </text>
    </comment>
    <comment ref="Y24" authorId="0">
      <text>
        <r>
          <rPr>
            <b/>
            <sz val="11"/>
            <color indexed="39"/>
            <rFont val="Cambria"/>
            <family val="1"/>
            <scheme val="major"/>
          </rPr>
          <t>Sl.-8, Col.(24) (Religion Female Total) should be equal to Sl.-8, Col.(44) (Caste Female Total)</t>
        </r>
      </text>
    </comment>
    <comment ref="Z24" authorId="0">
      <text>
        <r>
          <rPr>
            <b/>
            <sz val="11"/>
            <color indexed="39"/>
            <rFont val="Cambria"/>
            <family val="1"/>
            <scheme val="major"/>
          </rPr>
          <t>Sl.-8, Col.(25) (Religion Transgender Total) should be equal to Sl.-8, Col.(45) (Caste Transgender Total)</t>
        </r>
      </text>
    </comment>
    <comment ref="AA24" authorId="0">
      <text>
        <r>
          <rPr>
            <b/>
            <sz val="11"/>
            <color indexed="39"/>
            <rFont val="Cambria"/>
            <family val="1"/>
            <scheme val="major"/>
          </rPr>
          <t>Sl.-8, Col.(26) (Religion Total) should be equal to Sl.-8, Col.(46) (Caste Total)</t>
        </r>
      </text>
    </comment>
    <comment ref="AR24" authorId="0">
      <text>
        <r>
          <rPr>
            <b/>
            <sz val="11"/>
            <color indexed="39"/>
            <rFont val="Cambria"/>
            <family val="1"/>
            <scheme val="major"/>
          </rPr>
          <t>Sl.-8, Col.(43) (Caste Male Total) should be equal to Sl.-8, Col.(23) Religion Male Total)</t>
        </r>
      </text>
    </comment>
    <comment ref="AS24" authorId="0">
      <text>
        <r>
          <rPr>
            <b/>
            <sz val="11"/>
            <color indexed="39"/>
            <rFont val="Cambria"/>
            <family val="1"/>
            <scheme val="major"/>
          </rPr>
          <t>Sl.-8, Col.(44) (Caste Female Total) should be equal to Sl.-8, Col.(24) Religion Female Total)</t>
        </r>
      </text>
    </comment>
    <comment ref="AT24" authorId="0">
      <text>
        <r>
          <rPr>
            <b/>
            <sz val="11"/>
            <color indexed="39"/>
            <rFont val="Cambria"/>
            <family val="1"/>
            <scheme val="major"/>
          </rPr>
          <t>Sl.-8, Col.(45) (Caste Transgender Total) should be equal to Sl.-8, Col.(25) Religion Transgender Total)</t>
        </r>
      </text>
    </comment>
    <comment ref="AU24" authorId="0">
      <text>
        <r>
          <rPr>
            <b/>
            <sz val="11"/>
            <color indexed="39"/>
            <rFont val="Cambria"/>
            <family val="1"/>
            <scheme val="major"/>
          </rPr>
          <t>Sl.-8, Col.(46) (Caste Total) should be equal to Sl.-8, Col.(26) Religion Total)</t>
        </r>
      </text>
    </comment>
    <comment ref="A26" authorId="0">
      <text>
        <r>
          <rPr>
            <b/>
            <sz val="11"/>
            <color indexed="39"/>
            <rFont val="Cambria"/>
            <family val="1"/>
            <scheme val="major"/>
          </rPr>
          <t>Sl.-8  Col.(23, 24, 25 &amp; 26) (Religion Total of Male, Female, Transgender &amp; Total) and Col.(43, 44, 45 &amp; 46) (Caste Total of Male, Female, Transgender &amp; Total) should be equal to Sl.-21 (Total of Male, Female, Transgender &amp; Grand Total) of Proforma-XIV</t>
        </r>
      </text>
    </comment>
    <comment ref="X26" authorId="0">
      <text>
        <r>
          <rPr>
            <b/>
            <sz val="11"/>
            <color indexed="39"/>
            <rFont val="Cambria"/>
            <family val="1"/>
            <scheme val="major"/>
          </rPr>
          <t>Sl.-8, Col.(23) (Religion Male Total) should be equal to Sl.-21, Col.(9) (Male Total) of Proforma-XIV</t>
        </r>
      </text>
    </comment>
    <comment ref="Y26" authorId="0">
      <text>
        <r>
          <rPr>
            <b/>
            <sz val="11"/>
            <color indexed="39"/>
            <rFont val="Cambria"/>
            <family val="1"/>
            <scheme val="major"/>
          </rPr>
          <t>Sl.-8, Col.(24) (Religion Female Total) should be equal to Sl.-21, Col.(16) (Female Total) of Proforma-XIV</t>
        </r>
      </text>
    </comment>
    <comment ref="Z26" authorId="0">
      <text>
        <r>
          <rPr>
            <b/>
            <sz val="11"/>
            <color indexed="39"/>
            <rFont val="Cambria"/>
            <family val="1"/>
            <scheme val="major"/>
          </rPr>
          <t>Sl.-8, Col.(25) (Religion Transgender Total) should be equal to Sl.-21, Col.(23) (Transgender Total) of Proforma-XIV</t>
        </r>
      </text>
    </comment>
    <comment ref="AA26" authorId="0">
      <text>
        <r>
          <rPr>
            <b/>
            <sz val="11"/>
            <color indexed="39"/>
            <rFont val="Cambria"/>
            <family val="1"/>
            <scheme val="major"/>
          </rPr>
          <t>Sl.-8, Col.(26) (Religion Total) should be equal to Sl.-21, Col.(24) (Grand Total) of Proforma-XIV</t>
        </r>
      </text>
    </comment>
    <comment ref="AR26" authorId="0">
      <text>
        <r>
          <rPr>
            <b/>
            <sz val="11"/>
            <color indexed="39"/>
            <rFont val="Cambria"/>
            <family val="1"/>
            <scheme val="major"/>
          </rPr>
          <t>Sl.-8, Col.(43) (Caste Male Total) should be equal to Sl.-21, Col.(9) (Male Total) of Proforma-XIV</t>
        </r>
      </text>
    </comment>
    <comment ref="AS26" authorId="0">
      <text>
        <r>
          <rPr>
            <b/>
            <sz val="11"/>
            <color indexed="39"/>
            <rFont val="Cambria"/>
            <family val="1"/>
            <scheme val="major"/>
          </rPr>
          <t>Sl.-8, Col.(44) (Caste Female Total) should be equal to Sl.-21, Col.(16) (Female Total) of Proforma-XIV</t>
        </r>
      </text>
    </comment>
    <comment ref="AT26" authorId="0">
      <text>
        <r>
          <rPr>
            <b/>
            <sz val="11"/>
            <color indexed="39"/>
            <rFont val="Cambria"/>
            <family val="1"/>
            <scheme val="major"/>
          </rPr>
          <t>Sl.-8, Col.(45) (Caste Transgender Total) should be equal to Sl.-21, Col.(23) (Transgender Total) of Proforma-XIV</t>
        </r>
      </text>
    </comment>
    <comment ref="AU26" authorId="0">
      <text>
        <r>
          <rPr>
            <b/>
            <sz val="11"/>
            <color indexed="39"/>
            <rFont val="Cambria"/>
            <family val="1"/>
            <scheme val="major"/>
          </rPr>
          <t>Sl.-8, Col.(46) (Caste  Total) should be equal to Sl.-21, Col.(24) (Grand Total) of Proforma-XIV</t>
        </r>
      </text>
    </comment>
    <comment ref="C28" authorId="0">
      <text>
        <r>
          <rPr>
            <b/>
            <sz val="10"/>
            <color indexed="25"/>
            <rFont val="Tahoma"/>
            <family val="2"/>
          </rPr>
          <t>Also include victims whose economic status is not known.</t>
        </r>
      </text>
    </comment>
    <comment ref="A36" authorId="0">
      <text>
        <r>
          <rPr>
            <b/>
            <sz val="11"/>
            <color indexed="39"/>
            <rFont val="Cambria"/>
            <family val="1"/>
            <scheme val="major"/>
          </rPr>
          <t>Sl.-13, Col.(23, 24, 25 &amp; 26) (Religion Total of Male, Female, Transgender &amp; Total) should be equal to Sl.-13, Col.(43, 44, 45 &amp; 46) (Caste Total of Male, Female, Transgender &amp; Total)</t>
        </r>
      </text>
    </comment>
    <comment ref="X36" authorId="0">
      <text>
        <r>
          <rPr>
            <b/>
            <sz val="11"/>
            <color indexed="39"/>
            <rFont val="Cambria"/>
            <family val="1"/>
            <scheme val="major"/>
          </rPr>
          <t>Sl.-13, Col.(23) (Religion Male Total) should be equal to Sl.-13, Col.(43) (Caste Male Total)</t>
        </r>
      </text>
    </comment>
    <comment ref="Y36" authorId="0">
      <text>
        <r>
          <rPr>
            <b/>
            <sz val="11"/>
            <color indexed="39"/>
            <rFont val="Cambria"/>
            <family val="1"/>
            <scheme val="major"/>
          </rPr>
          <t>Sl.-13, Col.(24) (Religion Female Total) should be equal to Sl.-13, Col.(44) (Caste Female Total)</t>
        </r>
      </text>
    </comment>
    <comment ref="Z36" authorId="0">
      <text>
        <r>
          <rPr>
            <b/>
            <sz val="11"/>
            <color indexed="39"/>
            <rFont val="Cambria"/>
            <family val="1"/>
            <scheme val="major"/>
          </rPr>
          <t>Sl.-13, Col.(25) (Religion Transgender Total) should be equal to Sl.-13, Col.(45) (Caste Transgender Total)</t>
        </r>
      </text>
    </comment>
    <comment ref="AA36" authorId="0">
      <text>
        <r>
          <rPr>
            <b/>
            <sz val="11"/>
            <color indexed="39"/>
            <rFont val="Cambria"/>
            <family val="1"/>
            <scheme val="major"/>
          </rPr>
          <t>Sl.-13, Col.(26) (Religion Total) should be equal to Sl.-13, Col.(46) (Caste Total)</t>
        </r>
      </text>
    </comment>
    <comment ref="AR36" authorId="0">
      <text>
        <r>
          <rPr>
            <b/>
            <sz val="11"/>
            <color indexed="39"/>
            <rFont val="Cambria"/>
            <family val="1"/>
            <scheme val="major"/>
          </rPr>
          <t>Sl.-13, Col.(43) (Caste Male Total) should be equal to Sl.-13, Col.(23) Religion Male Total)</t>
        </r>
      </text>
    </comment>
    <comment ref="AS36" authorId="0">
      <text>
        <r>
          <rPr>
            <b/>
            <sz val="11"/>
            <color indexed="39"/>
            <rFont val="Cambria"/>
            <family val="1"/>
            <scheme val="major"/>
          </rPr>
          <t>Sl.-13, Col.(44) (Caste Female Total) should be equal to Sl.-13, Col.(24) Religion Female Total)</t>
        </r>
      </text>
    </comment>
    <comment ref="AT36" authorId="0">
      <text>
        <r>
          <rPr>
            <b/>
            <sz val="11"/>
            <color indexed="39"/>
            <rFont val="Cambria"/>
            <family val="1"/>
            <scheme val="major"/>
          </rPr>
          <t>Sl.-13, Col.(45) (Caste Transgender Total) should be equal to Sl.-13, Col.(25) Religion Transgender Total)</t>
        </r>
      </text>
    </comment>
    <comment ref="AU36" authorId="0">
      <text>
        <r>
          <rPr>
            <b/>
            <sz val="11"/>
            <color indexed="39"/>
            <rFont val="Cambria"/>
            <family val="1"/>
            <scheme val="major"/>
          </rPr>
          <t>Sl.-13, Col.(46) (Caste Total) should be equal to Sl.-13, Col.(26) Religion Total)</t>
        </r>
      </text>
    </comment>
    <comment ref="A38" authorId="0">
      <text>
        <r>
          <rPr>
            <b/>
            <sz val="11"/>
            <color indexed="39"/>
            <rFont val="Cambria"/>
            <family val="1"/>
            <scheme val="major"/>
          </rPr>
          <t>Sl.-13  Col.(23, 24, 25 &amp; 26) (Religion Total of Male, Female, Transgender &amp; Total) and Col.(43, 44, 45 &amp; 46) (Caste Total of Male, Female, Transgender &amp; Total) should be equal to Sl.-21 (Total of Male, Female, Transgender &amp; Grand Total) of Proforma-XIV</t>
        </r>
      </text>
    </comment>
    <comment ref="X38" authorId="0">
      <text>
        <r>
          <rPr>
            <b/>
            <sz val="11"/>
            <color indexed="39"/>
            <rFont val="Cambria"/>
            <family val="1"/>
            <scheme val="major"/>
          </rPr>
          <t>Sl.-13, Col.(23) (Religion Male Total) should be equal to Sl.-21, Col.(9) (Male Total) of Proforma-XIV</t>
        </r>
      </text>
    </comment>
    <comment ref="Y38" authorId="0">
      <text>
        <r>
          <rPr>
            <b/>
            <sz val="11"/>
            <color indexed="39"/>
            <rFont val="Cambria"/>
            <family val="1"/>
            <scheme val="major"/>
          </rPr>
          <t>Sl.-13, Col.(24) (Religion Female Total) should be equal to Sl.-21, Col.(16) (Female Total) of Proforma-XIV</t>
        </r>
      </text>
    </comment>
    <comment ref="Z38" authorId="0">
      <text>
        <r>
          <rPr>
            <b/>
            <sz val="11"/>
            <color indexed="39"/>
            <rFont val="Cambria"/>
            <family val="1"/>
            <scheme val="major"/>
          </rPr>
          <t>Sl.-13, Col.(25) (Religion Transgender Total) should be equal to Sl.-21, Col.(23) (Transgender Total) of Proforma-XIV</t>
        </r>
      </text>
    </comment>
    <comment ref="AA38" authorId="0">
      <text>
        <r>
          <rPr>
            <b/>
            <sz val="11"/>
            <color indexed="39"/>
            <rFont val="Cambria"/>
            <family val="1"/>
            <scheme val="major"/>
          </rPr>
          <t>Sl.-13, Col.(26) (Religion Total) should be equal to Sl.-21, Col.(24) (Grand Total) of Proforma-XIV</t>
        </r>
      </text>
    </comment>
    <comment ref="AR38" authorId="0">
      <text>
        <r>
          <rPr>
            <b/>
            <sz val="11"/>
            <color indexed="39"/>
            <rFont val="Cambria"/>
            <family val="1"/>
            <scheme val="major"/>
          </rPr>
          <t>Sl.-13, Col.(43) (Caste Male Total) should be equal to Sl.-21, Col.(9) (Male Total) of Proforma-XIV</t>
        </r>
      </text>
    </comment>
    <comment ref="AS38" authorId="0">
      <text>
        <r>
          <rPr>
            <b/>
            <sz val="11"/>
            <color indexed="39"/>
            <rFont val="Cambria"/>
            <family val="1"/>
            <scheme val="major"/>
          </rPr>
          <t>Sl.-13, Col.(44) (Caste Female Total) should be equal to Sl.-21, Col.(16) (Female Total) of Proforma-XIV</t>
        </r>
      </text>
    </comment>
    <comment ref="AT38" authorId="0">
      <text>
        <r>
          <rPr>
            <b/>
            <sz val="11"/>
            <color indexed="39"/>
            <rFont val="Cambria"/>
            <family val="1"/>
            <scheme val="major"/>
          </rPr>
          <t>Sl.-13, Col.(45) (Caste Transgender Total) should be equal to Sl.-21, Col.(23) (Transgender Total) of Proforma-XIV</t>
        </r>
      </text>
    </comment>
    <comment ref="AU38" authorId="0">
      <text>
        <r>
          <rPr>
            <b/>
            <sz val="11"/>
            <color indexed="39"/>
            <rFont val="Cambria"/>
            <family val="1"/>
            <scheme val="major"/>
          </rPr>
          <t>Sl.-13, Col.(46) (Caste  Total) should be equal to Sl.-21, Col.(24) (Grand Total) of Proforma-XIV</t>
        </r>
      </text>
    </comment>
  </commentList>
</comments>
</file>

<file path=xl/comments18.xml><?xml version="1.0" encoding="utf-8"?>
<comments xmlns="http://schemas.openxmlformats.org/spreadsheetml/2006/main">
  <authors>
    <author>psk</author>
  </authors>
  <commentList>
    <comment ref="A22" authorId="0">
      <text>
        <r>
          <rPr>
            <b/>
            <sz val="11"/>
            <color indexed="39"/>
            <rFont val="Cambria"/>
            <family val="1"/>
            <scheme val="major"/>
          </rPr>
          <t>Sl.-10, Col.(3 to 46) (Total) should be equal to Sl.-8, Col.(3 to 46) (Total) respectively of Proforma-XVI</t>
        </r>
      </text>
    </comment>
    <comment ref="D22" authorId="0">
      <text>
        <r>
          <rPr>
            <b/>
            <sz val="11"/>
            <color indexed="39"/>
            <rFont val="Cambria"/>
            <family val="1"/>
            <scheme val="major"/>
          </rPr>
          <t>Sl.-10, Col.(3) (Hindu Male) should be equal to Sl.-8, Col.(3) (Hindu Male) of Proforma-XVI</t>
        </r>
      </text>
    </comment>
    <comment ref="E22" authorId="0">
      <text>
        <r>
          <rPr>
            <b/>
            <sz val="11"/>
            <color indexed="39"/>
            <rFont val="Cambria"/>
            <family val="1"/>
            <scheme val="major"/>
          </rPr>
          <t>Sl.-10, Col.(4) (Hindu Female) should be equal to Sl.-8, Col.(4) (Hindu Female) of Proforma-XVI</t>
        </r>
      </text>
    </comment>
    <comment ref="F22" authorId="0">
      <text>
        <r>
          <rPr>
            <b/>
            <sz val="11"/>
            <color indexed="39"/>
            <rFont val="Cambria"/>
            <family val="1"/>
            <scheme val="major"/>
          </rPr>
          <t>Sl.-10, Col.(5) (Hindu Transgender) should be equal to Sl.-8, Col.(5) (Hindu Transgender) of Proforma-XVI</t>
        </r>
      </text>
    </comment>
    <comment ref="G22" authorId="0">
      <text>
        <r>
          <rPr>
            <b/>
            <sz val="11"/>
            <color indexed="39"/>
            <rFont val="Cambria"/>
            <family val="1"/>
            <scheme val="major"/>
          </rPr>
          <t>Sl.-10, Col.(6) (Hindu Total) should be equal to Sl.-8, Col.(6) (Hindu Total) of Proforma-XVI</t>
        </r>
      </text>
    </comment>
    <comment ref="H22" authorId="0">
      <text>
        <r>
          <rPr>
            <b/>
            <sz val="11"/>
            <color indexed="39"/>
            <rFont val="Cambria"/>
            <family val="1"/>
            <scheme val="major"/>
          </rPr>
          <t>Sl.-10, Col.(7) (Muslim Male) should be equal to Sl.-8, Col.(7) (Muslim Male) of Proforma-XVI</t>
        </r>
      </text>
    </comment>
    <comment ref="I22" authorId="0">
      <text>
        <r>
          <rPr>
            <b/>
            <sz val="11"/>
            <color indexed="39"/>
            <rFont val="Cambria"/>
            <family val="1"/>
            <scheme val="major"/>
          </rPr>
          <t>Sl.-10, Col.(8) (Muslim Female) should be equal to Sl.-8, Col.(8) (Muslim Female) of Proforma-XVI</t>
        </r>
      </text>
    </comment>
    <comment ref="J22" authorId="0">
      <text>
        <r>
          <rPr>
            <b/>
            <sz val="11"/>
            <color indexed="39"/>
            <rFont val="Cambria"/>
            <family val="1"/>
            <scheme val="major"/>
          </rPr>
          <t>Sl.-10, Col.(9) (Muslim Transgender) should be equal to Sl.-8, Col.(9) (Muslim Transgender) of Proforma-XVI</t>
        </r>
      </text>
    </comment>
    <comment ref="K22" authorId="0">
      <text>
        <r>
          <rPr>
            <b/>
            <sz val="11"/>
            <color indexed="39"/>
            <rFont val="Cambria"/>
            <family val="1"/>
            <scheme val="major"/>
          </rPr>
          <t>Sl.-10, Col.(10) (Muslim Total) should be equal to Sl.-8, Col.(10) (Muslim Total) of Proforma-XVI</t>
        </r>
      </text>
    </comment>
    <comment ref="L22" authorId="0">
      <text>
        <r>
          <rPr>
            <b/>
            <sz val="11"/>
            <color indexed="39"/>
            <rFont val="Cambria"/>
            <family val="1"/>
            <scheme val="major"/>
          </rPr>
          <t>Sl.-10, Col.(11) (Christian Male) should be equal to Sl.-8, Col.(11) (Christian Male) of Proforma-XVI</t>
        </r>
      </text>
    </comment>
    <comment ref="M22" authorId="0">
      <text>
        <r>
          <rPr>
            <b/>
            <sz val="11"/>
            <color indexed="39"/>
            <rFont val="Cambria"/>
            <family val="1"/>
            <scheme val="major"/>
          </rPr>
          <t>Sl.-10, Col.(12) (Christian Female) should be equal to Sl.-8, Col.(12) (Christian Female) of Proforma-XVI</t>
        </r>
      </text>
    </comment>
    <comment ref="N22" authorId="0">
      <text>
        <r>
          <rPr>
            <b/>
            <sz val="11"/>
            <color indexed="39"/>
            <rFont val="Cambria"/>
            <family val="1"/>
            <scheme val="major"/>
          </rPr>
          <t>Sl.-10, Col.(13) (Christian Transgender) should be equal to Sl.-8, Col.(13) (Christian Transgender) of Proforma-XVI</t>
        </r>
      </text>
    </comment>
    <comment ref="O22" authorId="0">
      <text>
        <r>
          <rPr>
            <b/>
            <sz val="11"/>
            <color indexed="39"/>
            <rFont val="Cambria"/>
            <family val="1"/>
            <scheme val="major"/>
          </rPr>
          <t>Sl.-10, Col.(14) (Christian Total) should be equal to Sl.-8, Col.(14) (Christian Total) of Proforma-XVI</t>
        </r>
      </text>
    </comment>
    <comment ref="P22" authorId="0">
      <text>
        <r>
          <rPr>
            <b/>
            <sz val="11"/>
            <color indexed="39"/>
            <rFont val="Cambria"/>
            <family val="1"/>
            <scheme val="major"/>
          </rPr>
          <t>Sl.-10, Col.(15) (Sikh Male) should be equal to Sl.-8, Col.(15) (Sikh Male) of Proforma-XVI</t>
        </r>
      </text>
    </comment>
    <comment ref="Q22" authorId="0">
      <text>
        <r>
          <rPr>
            <b/>
            <sz val="11"/>
            <color indexed="39"/>
            <rFont val="Cambria"/>
            <family val="1"/>
            <scheme val="major"/>
          </rPr>
          <t>Sl.-10, Col.(16) (Sikh Female) should be equal to Sl.-8, Col.(16) (Sikh Female) of Proforma-XVI</t>
        </r>
      </text>
    </comment>
    <comment ref="R22" authorId="0">
      <text>
        <r>
          <rPr>
            <b/>
            <sz val="11"/>
            <color indexed="39"/>
            <rFont val="Cambria"/>
            <family val="1"/>
            <scheme val="major"/>
          </rPr>
          <t>Sl.-10, Col.(17) (Sikh Transgender) should be equal to Sl.-8, Col.(17) (Sikh Transgender) of Proforma-XVI</t>
        </r>
      </text>
    </comment>
    <comment ref="S22" authorId="0">
      <text>
        <r>
          <rPr>
            <b/>
            <sz val="11"/>
            <color indexed="39"/>
            <rFont val="Cambria"/>
            <family val="1"/>
            <scheme val="major"/>
          </rPr>
          <t>Sl.-10, Col.(18) (Sikh Total) should be equal to Sl.-8, Col.(18) (Sikh Total) of Proforma-XVI</t>
        </r>
      </text>
    </comment>
    <comment ref="T22" authorId="0">
      <text>
        <r>
          <rPr>
            <b/>
            <sz val="11"/>
            <color indexed="39"/>
            <rFont val="Cambria"/>
            <family val="1"/>
            <scheme val="major"/>
          </rPr>
          <t>Sl.-10, Col.(19) (Others Male) should be equal to Sl.-8, Col.(19) (Others Male) of Proforma-XVI</t>
        </r>
      </text>
    </comment>
    <comment ref="U22" authorId="0">
      <text>
        <r>
          <rPr>
            <b/>
            <sz val="11"/>
            <color indexed="39"/>
            <rFont val="Cambria"/>
            <family val="1"/>
            <scheme val="major"/>
          </rPr>
          <t>Sl.-10, Col.(20) (Others Female) should be equal to Sl.-8, Col.(20) (Others Female) of Proforma-XVI</t>
        </r>
      </text>
    </comment>
    <comment ref="V22" authorId="0">
      <text>
        <r>
          <rPr>
            <b/>
            <sz val="11"/>
            <color indexed="39"/>
            <rFont val="Cambria"/>
            <family val="1"/>
            <scheme val="major"/>
          </rPr>
          <t>Sl.-10, Col.(21) (Others Transgender) should be equal to Sl.-8, Col.(21) (Others Transgender) of Proforma-XVI</t>
        </r>
      </text>
    </comment>
    <comment ref="W22" authorId="0">
      <text>
        <r>
          <rPr>
            <b/>
            <sz val="11"/>
            <color indexed="39"/>
            <rFont val="Cambria"/>
            <family val="1"/>
            <scheme val="major"/>
          </rPr>
          <t>Sl.-10, Col.(22) (Others Total) should be equal to Sl.-8, Col.(22) (Others Total) of Proforma-XVI</t>
        </r>
      </text>
    </comment>
    <comment ref="X22" authorId="0">
      <text>
        <r>
          <rPr>
            <b/>
            <sz val="11"/>
            <color indexed="39"/>
            <rFont val="Cambria"/>
            <family val="1"/>
            <scheme val="major"/>
          </rPr>
          <t>Sl.-10, Col.(23) (Religion Male Total) should be equal to Sl.-8, Col.(23) (Religion Male Total) of Proforma-XVI</t>
        </r>
      </text>
    </comment>
    <comment ref="Y22" authorId="0">
      <text>
        <r>
          <rPr>
            <b/>
            <sz val="11"/>
            <color indexed="39"/>
            <rFont val="Cambria"/>
            <family val="1"/>
            <scheme val="major"/>
          </rPr>
          <t>Sl.-10, Col.(24) (Religion Female Total) should be equal to Sl.-8, Col.(24) (Religion Female Total) of Proforma-XVI</t>
        </r>
      </text>
    </comment>
    <comment ref="Z22" authorId="0">
      <text>
        <r>
          <rPr>
            <b/>
            <sz val="11"/>
            <color indexed="39"/>
            <rFont val="Cambria"/>
            <family val="1"/>
            <scheme val="major"/>
          </rPr>
          <t>Sl.-10, Col.(25) (Religion Transgender Total) should be equal to Sl.-8, Col.(25) (Religion Transgender Total) of Proforma-XVI</t>
        </r>
      </text>
    </comment>
    <comment ref="AA22" authorId="0">
      <text>
        <r>
          <rPr>
            <b/>
            <sz val="11"/>
            <color indexed="39"/>
            <rFont val="Cambria"/>
            <family val="1"/>
            <scheme val="major"/>
          </rPr>
          <t>Sl.-10, Col.(26) (Religion Total) should be equal to Sl.-8, Col.(26) (Religion Total) of Proforma-XVI</t>
        </r>
      </text>
    </comment>
    <comment ref="AB22" authorId="0">
      <text>
        <r>
          <rPr>
            <b/>
            <sz val="11"/>
            <color indexed="39"/>
            <rFont val="Cambria"/>
            <family val="1"/>
            <scheme val="major"/>
          </rPr>
          <t>Sl.-10, Col.(27) (General Male) should be equal to Sl.-8, Col.(27) (General Male) of Proforma-XVI</t>
        </r>
      </text>
    </comment>
    <comment ref="AC22" authorId="0">
      <text>
        <r>
          <rPr>
            <b/>
            <sz val="11"/>
            <color indexed="39"/>
            <rFont val="Cambria"/>
            <family val="1"/>
            <scheme val="major"/>
          </rPr>
          <t>Sl.-10, Col.(28) (General Female) should be equal to Sl.-8, Col.(28) (General Female) of Proforma-XVI</t>
        </r>
      </text>
    </comment>
    <comment ref="AD22" authorId="0">
      <text>
        <r>
          <rPr>
            <b/>
            <sz val="11"/>
            <color indexed="39"/>
            <rFont val="Cambria"/>
            <family val="1"/>
            <scheme val="major"/>
          </rPr>
          <t>Sl.-10, Col.(29) (General Transgender) should be equal to Sl.-8, Col.(29) (General Transgender) of Proforma-XVI</t>
        </r>
      </text>
    </comment>
    <comment ref="AE22" authorId="0">
      <text>
        <r>
          <rPr>
            <b/>
            <sz val="11"/>
            <color indexed="39"/>
            <rFont val="Cambria"/>
            <family val="1"/>
            <scheme val="major"/>
          </rPr>
          <t>Sl.-10, Col.(30) (General Total) should be equal to Sl.-8, Col.(30) (General Total) of Proforma-XVI</t>
        </r>
      </text>
    </comment>
    <comment ref="AF22" authorId="0">
      <text>
        <r>
          <rPr>
            <b/>
            <sz val="11"/>
            <color indexed="39"/>
            <rFont val="Cambria"/>
            <family val="1"/>
            <scheme val="major"/>
          </rPr>
          <t>Sl.-10, Col.(31) (OBC Male) should be equal to Sl.-8, Col.(31) (OBC Male) of Proforma-XVI</t>
        </r>
      </text>
    </comment>
    <comment ref="AG22" authorId="0">
      <text>
        <r>
          <rPr>
            <b/>
            <sz val="11"/>
            <color indexed="39"/>
            <rFont val="Cambria"/>
            <family val="1"/>
            <scheme val="major"/>
          </rPr>
          <t>Sl.-10, Col.(32) (OBC Female) should be equal to Sl.-8, Col.(32) (OBC Female) of Proforma-XVI</t>
        </r>
      </text>
    </comment>
    <comment ref="AH22" authorId="0">
      <text>
        <r>
          <rPr>
            <b/>
            <sz val="11"/>
            <color indexed="39"/>
            <rFont val="Cambria"/>
            <family val="1"/>
            <scheme val="major"/>
          </rPr>
          <t>Sl.-10, Col.(33) (OBC Transgender) should be equal to Sl.-8, Col.(33) (OBC Transgender) of Proforma-XVI</t>
        </r>
      </text>
    </comment>
    <comment ref="AI22" authorId="0">
      <text>
        <r>
          <rPr>
            <b/>
            <sz val="11"/>
            <color indexed="39"/>
            <rFont val="Cambria"/>
            <family val="1"/>
            <scheme val="major"/>
          </rPr>
          <t>Sl.-10, Col.(34) (OBC Total) should be equal to Sl.-8, Col.(34) (OBC Total) of Proforma-XVI</t>
        </r>
      </text>
    </comment>
    <comment ref="AJ22" authorId="0">
      <text>
        <r>
          <rPr>
            <b/>
            <sz val="11"/>
            <color indexed="39"/>
            <rFont val="Cambria"/>
            <family val="1"/>
            <scheme val="major"/>
          </rPr>
          <t>Sl.-10, Col.(35) (SC Male) should be equal to Sl.-8, Col.(35) (SC Male) of Proforma-XVI</t>
        </r>
      </text>
    </comment>
    <comment ref="AK22" authorId="0">
      <text>
        <r>
          <rPr>
            <b/>
            <sz val="11"/>
            <color indexed="39"/>
            <rFont val="Cambria"/>
            <family val="1"/>
            <scheme val="major"/>
          </rPr>
          <t>Sl.-10, Col.(36) (SC Female) should be equal to Sl.-8, Col.(36) (SC Female) of Proforma-XVI</t>
        </r>
      </text>
    </comment>
    <comment ref="AL22" authorId="0">
      <text>
        <r>
          <rPr>
            <b/>
            <sz val="11"/>
            <color indexed="39"/>
            <rFont val="Cambria"/>
            <family val="1"/>
            <scheme val="major"/>
          </rPr>
          <t>Sl.-10, Col.(37) (SC Transgender) should be equal to Sl.-8, Col.(37) (SC Transgender) of Proforma-XVI</t>
        </r>
      </text>
    </comment>
    <comment ref="AM22" authorId="0">
      <text>
        <r>
          <rPr>
            <b/>
            <sz val="11"/>
            <color indexed="39"/>
            <rFont val="Cambria"/>
            <family val="1"/>
            <scheme val="major"/>
          </rPr>
          <t>Sl.-10, Col.(38) (SC Total) should be equal to Sl.-8, Col.(38) (SC Total) of Proforma-XVI</t>
        </r>
      </text>
    </comment>
    <comment ref="AN22" authorId="0">
      <text>
        <r>
          <rPr>
            <b/>
            <sz val="11"/>
            <color indexed="39"/>
            <rFont val="Cambria"/>
            <family val="1"/>
            <scheme val="major"/>
          </rPr>
          <t>Sl.-10, Col.(39) (ST Male) should be equal to Sl.-8, Col.(39) (ST Male) of Proforma-XVI</t>
        </r>
      </text>
    </comment>
    <comment ref="AO22" authorId="0">
      <text>
        <r>
          <rPr>
            <b/>
            <sz val="11"/>
            <color indexed="39"/>
            <rFont val="Cambria"/>
            <family val="1"/>
            <scheme val="major"/>
          </rPr>
          <t>Sl.-10, Col.(40) (ST Female) should be equal to Sl.-8, Col.(40) (ST Female) of Proforma-XVI</t>
        </r>
      </text>
    </comment>
    <comment ref="AP22" authorId="0">
      <text>
        <r>
          <rPr>
            <b/>
            <sz val="11"/>
            <color indexed="39"/>
            <rFont val="Cambria"/>
            <family val="1"/>
            <scheme val="major"/>
          </rPr>
          <t>Sl.-10, Col.(41) (ST Transgender) should be equal to Sl.-8, Col.(41) (ST Transgender) of Proforma-XVI</t>
        </r>
      </text>
    </comment>
    <comment ref="AQ22" authorId="0">
      <text>
        <r>
          <rPr>
            <b/>
            <sz val="11"/>
            <color indexed="39"/>
            <rFont val="Cambria"/>
            <family val="1"/>
            <scheme val="major"/>
          </rPr>
          <t>Sl.-10, Col.(42) (ST Total) should be equal to Sl.-8, Col.(42) (ST Total) of Proforma-XVI</t>
        </r>
      </text>
    </comment>
    <comment ref="AR22" authorId="0">
      <text>
        <r>
          <rPr>
            <b/>
            <sz val="11"/>
            <color indexed="39"/>
            <rFont val="Cambria"/>
            <family val="1"/>
            <scheme val="major"/>
          </rPr>
          <t>Sl.-10, Col.(43) (Caste Male Total) should be equal to Sl.-8, Col.(43) (Caste Male Total) of Proforma-XVI</t>
        </r>
      </text>
    </comment>
    <comment ref="AS22" authorId="0">
      <text>
        <r>
          <rPr>
            <b/>
            <sz val="11"/>
            <color indexed="39"/>
            <rFont val="Cambria"/>
            <family val="1"/>
            <scheme val="major"/>
          </rPr>
          <t>Sl.-10, Col.(44) (Caste Female Total) should be equal to Sl.-8, Col.(44) (Caste Female Total) of Proforma-XVI</t>
        </r>
      </text>
    </comment>
    <comment ref="AT22" authorId="0">
      <text>
        <r>
          <rPr>
            <b/>
            <sz val="11"/>
            <color indexed="39"/>
            <rFont val="Cambria"/>
            <family val="1"/>
            <scheme val="major"/>
          </rPr>
          <t>Sl.-10, Col.(45) (Caste Transgender Total) should be equal to Sl.-8, Col.(45) (Caste Transgender Total) of Proforma-XVI</t>
        </r>
      </text>
    </comment>
    <comment ref="AU22" authorId="0">
      <text>
        <r>
          <rPr>
            <b/>
            <sz val="11"/>
            <color indexed="39"/>
            <rFont val="Cambria"/>
            <family val="1"/>
            <scheme val="major"/>
          </rPr>
          <t>Sl.-10, Col.(46) (Caste Total) should be equal to Sl.-8, Col.(46) (Caste Total) of Proforma-XVI</t>
        </r>
      </text>
    </comment>
    <comment ref="A26" authorId="0">
      <text>
        <r>
          <rPr>
            <b/>
            <sz val="11"/>
            <color indexed="39"/>
            <rFont val="Cambria"/>
            <family val="1"/>
            <scheme val="major"/>
          </rPr>
          <t>Sl.-10, Col.(23, 24, 25 &amp; 26) (Religion Total of Male, Female, Transgender &amp; Total) should be equal to Sl.-10, Col.(43, 44, 45 &amp; 46) (Caste Total of Male, Female, Transgender &amp; Total)</t>
        </r>
      </text>
    </comment>
    <comment ref="X26" authorId="0">
      <text>
        <r>
          <rPr>
            <b/>
            <sz val="11"/>
            <color indexed="39"/>
            <rFont val="Cambria"/>
            <family val="1"/>
            <scheme val="major"/>
          </rPr>
          <t>Sl.-10, Col.(23) (Religion Male Total) should be equal to Sl.-10, Col.(43) (Caste Male Total)</t>
        </r>
      </text>
    </comment>
    <comment ref="Y26" authorId="0">
      <text>
        <r>
          <rPr>
            <b/>
            <sz val="11"/>
            <color indexed="39"/>
            <rFont val="Cambria"/>
            <family val="1"/>
            <scheme val="major"/>
          </rPr>
          <t>Sl.-10, Col.(24) (Religion Female Total) should be equal to Sl.-10, Col.(44) (Caste Female Total)</t>
        </r>
      </text>
    </comment>
    <comment ref="Z26" authorId="0">
      <text>
        <r>
          <rPr>
            <b/>
            <sz val="11"/>
            <color indexed="39"/>
            <rFont val="Cambria"/>
            <family val="1"/>
            <scheme val="major"/>
          </rPr>
          <t>Sl.-10, Col.(25) (Religion Transgender Total) should be equal to Sl.-10, Col.(45) (Caste Transgender Total)</t>
        </r>
      </text>
    </comment>
    <comment ref="AA26" authorId="0">
      <text>
        <r>
          <rPr>
            <b/>
            <sz val="11"/>
            <color indexed="39"/>
            <rFont val="Cambria"/>
            <family val="1"/>
            <scheme val="major"/>
          </rPr>
          <t>Sl.-10, Col.(26) (Religion Total) should be equal to Sl.-10, Col.(46) (Caste Total)</t>
        </r>
      </text>
    </comment>
    <comment ref="AR26" authorId="0">
      <text>
        <r>
          <rPr>
            <b/>
            <sz val="11"/>
            <color indexed="39"/>
            <rFont val="Cambria"/>
            <family val="1"/>
            <scheme val="major"/>
          </rPr>
          <t>Sl.-10, Col.(43) (Caste Male Total) should be equal to Sl.-10, Col.(23) Religion Male Total)</t>
        </r>
      </text>
    </comment>
    <comment ref="AS26" authorId="0">
      <text>
        <r>
          <rPr>
            <b/>
            <sz val="11"/>
            <color indexed="39"/>
            <rFont val="Cambria"/>
            <family val="1"/>
            <scheme val="major"/>
          </rPr>
          <t>Sl.-10, Col.(44) (Caste Female Total) should be equal to Sl.-10, Col.(24) Religion Female Total)</t>
        </r>
      </text>
    </comment>
    <comment ref="AT26" authorId="0">
      <text>
        <r>
          <rPr>
            <b/>
            <sz val="11"/>
            <color indexed="39"/>
            <rFont val="Cambria"/>
            <family val="1"/>
            <scheme val="major"/>
          </rPr>
          <t>Sl.-10, Col.(45) (Caste Transgender Total) should be equal to Sl.-10, Col.(25) Religion Transgender Total)</t>
        </r>
      </text>
    </comment>
    <comment ref="AU26" authorId="0">
      <text>
        <r>
          <rPr>
            <b/>
            <sz val="11"/>
            <color indexed="39"/>
            <rFont val="Cambria"/>
            <family val="1"/>
            <scheme val="major"/>
          </rPr>
          <t>Sl.-10, Col.(46) (Caste Total) should be equal to Sl.-10, Col.(26) Religion Total)</t>
        </r>
      </text>
    </comment>
    <comment ref="A28" authorId="0">
      <text>
        <r>
          <rPr>
            <b/>
            <sz val="11"/>
            <color indexed="39"/>
            <rFont val="Cambria"/>
            <family val="1"/>
            <scheme val="major"/>
          </rPr>
          <t>Sl.-10  Col.(23, 24, 25 &amp; 26) (Religion Total of Male, Female, Transgender &amp; Total) and Col.(43, 44, 45 &amp; 46) (Caste Total of Male, Female, Transgender &amp; Total) should be equal to Sl.-21 (Total of Male, Female, Transgender &amp; Grand Total) of Proforma-XIV</t>
        </r>
      </text>
    </comment>
    <comment ref="X28" authorId="0">
      <text>
        <r>
          <rPr>
            <b/>
            <sz val="11"/>
            <color indexed="39"/>
            <rFont val="Cambria"/>
            <family val="1"/>
            <scheme val="major"/>
          </rPr>
          <t>Sl.-10, Col.(23) (Religion Male Total) should be equal to Sl.-21, Col.(9) (Male Total) of Proforma-XIV</t>
        </r>
      </text>
    </comment>
    <comment ref="Y28" authorId="0">
      <text>
        <r>
          <rPr>
            <b/>
            <sz val="11"/>
            <color indexed="39"/>
            <rFont val="Cambria"/>
            <family val="1"/>
            <scheme val="major"/>
          </rPr>
          <t>Sl.-10, Col.(24) (Religion Female Total) should be equal to Sl.-21, Col.(16) (Female Total) of Proforma-XIV</t>
        </r>
      </text>
    </comment>
    <comment ref="Z28" authorId="0">
      <text>
        <r>
          <rPr>
            <b/>
            <sz val="11"/>
            <color indexed="39"/>
            <rFont val="Cambria"/>
            <family val="1"/>
            <scheme val="major"/>
          </rPr>
          <t>Sl.-10, Col.(25) (Religion Transgender Total) should be equal to Sl.-21, Col.(23) (Transgender Total) of Proforma-XIV</t>
        </r>
      </text>
    </comment>
    <comment ref="AA28" authorId="0">
      <text>
        <r>
          <rPr>
            <b/>
            <sz val="11"/>
            <color indexed="39"/>
            <rFont val="Cambria"/>
            <family val="1"/>
            <scheme val="major"/>
          </rPr>
          <t>Sl.-10, Col.(26) (Religion Total) should be equal to Sl.-21, Col.(24) (Grand Total) of Proforma-XIV</t>
        </r>
      </text>
    </comment>
    <comment ref="AR28" authorId="0">
      <text>
        <r>
          <rPr>
            <b/>
            <sz val="11"/>
            <color indexed="39"/>
            <rFont val="Cambria"/>
            <family val="1"/>
            <scheme val="major"/>
          </rPr>
          <t>Sl.-10, Col.(43) (Caste Male Total) should be equal to Sl.-21, Col.(9) (Male Total) of Proforma-XIV</t>
        </r>
      </text>
    </comment>
    <comment ref="AS28" authorId="0">
      <text>
        <r>
          <rPr>
            <b/>
            <sz val="11"/>
            <color indexed="39"/>
            <rFont val="Cambria"/>
            <family val="1"/>
            <scheme val="major"/>
          </rPr>
          <t>Sl.-10, Col.(44) (Caste Female Total) should be equal to Sl.-21, Col.(16) (Female Total) of Proforma-XIV</t>
        </r>
      </text>
    </comment>
    <comment ref="AT28" authorId="0">
      <text>
        <r>
          <rPr>
            <b/>
            <sz val="11"/>
            <color indexed="39"/>
            <rFont val="Cambria"/>
            <family val="1"/>
            <scheme val="major"/>
          </rPr>
          <t>Sl.-10, Col.(45) (Caste Transgender Total) should be equal to Sl.-21, Col.(23) (Transgender Total) of Proforma-XIV</t>
        </r>
      </text>
    </comment>
    <comment ref="AU28" authorId="0">
      <text>
        <r>
          <rPr>
            <b/>
            <sz val="11"/>
            <color indexed="39"/>
            <rFont val="Cambria"/>
            <family val="1"/>
            <scheme val="major"/>
          </rPr>
          <t>Sl.-10, Col.(46) (Caste  Total) should be equal to Sl.-21, Col.(24) (Grand Total) of Proforma-XIV</t>
        </r>
      </text>
    </comment>
  </commentList>
</comments>
</file>

<file path=xl/comments19.xml><?xml version="1.0" encoding="utf-8"?>
<comments xmlns="http://schemas.openxmlformats.org/spreadsheetml/2006/main">
  <authors>
    <author>psk</author>
  </authors>
  <commentList>
    <comment ref="A27" authorId="0">
      <text>
        <r>
          <rPr>
            <b/>
            <sz val="11"/>
            <color indexed="39"/>
            <rFont val="Cambria"/>
            <family val="1"/>
            <scheme val="major"/>
          </rPr>
          <t>Sl.-12 (Total) should be equal to Sl.-21 (Total) of Proforma-XIV</t>
        </r>
      </text>
    </comment>
    <comment ref="D27" authorId="0">
      <text>
        <r>
          <rPr>
            <b/>
            <sz val="11"/>
            <color indexed="39"/>
            <rFont val="Cambria"/>
            <family val="1"/>
            <scheme val="major"/>
          </rPr>
          <t>Sl.-12, Col.(3) (Total) should be equal to Sl.-21, Col.(3) (Total) of Proforma-XIV</t>
        </r>
      </text>
    </comment>
    <comment ref="E27" authorId="0">
      <text>
        <r>
          <rPr>
            <b/>
            <sz val="11"/>
            <color indexed="39"/>
            <rFont val="Cambria"/>
            <family val="1"/>
            <scheme val="major"/>
          </rPr>
          <t>Sl.-12, Col.(4) (Total) should be equal to Sl.-21, Col.(4) (Total) of Proforma-XIV</t>
        </r>
      </text>
    </comment>
    <comment ref="F27" authorId="0">
      <text>
        <r>
          <rPr>
            <b/>
            <sz val="11"/>
            <color indexed="39"/>
            <rFont val="Cambria"/>
            <family val="1"/>
            <scheme val="major"/>
          </rPr>
          <t>Sl.-12, Col.(5) (Total) should be equal to Sl.-21, Col.(5) (Total) of Proforma-XIV</t>
        </r>
      </text>
    </comment>
    <comment ref="G27" authorId="0">
      <text>
        <r>
          <rPr>
            <b/>
            <sz val="11"/>
            <color indexed="39"/>
            <rFont val="Cambria"/>
            <family val="1"/>
            <scheme val="major"/>
          </rPr>
          <t>Sl.-12, Col.(6) (Total) should be equal to Sl.-21, Col.(6) (Total) of Proforma-XIV</t>
        </r>
      </text>
    </comment>
    <comment ref="H27" authorId="0">
      <text>
        <r>
          <rPr>
            <b/>
            <sz val="11"/>
            <color indexed="39"/>
            <rFont val="Cambria"/>
            <family val="1"/>
            <scheme val="major"/>
          </rPr>
          <t>Sl.-12, Col.(7) (Total) should be equal to Sl.-21, Col.(7) (Total) of Proforma-XIV</t>
        </r>
      </text>
    </comment>
    <comment ref="I27" authorId="0">
      <text>
        <r>
          <rPr>
            <b/>
            <sz val="11"/>
            <color indexed="39"/>
            <rFont val="Cambria"/>
            <family val="1"/>
            <scheme val="major"/>
          </rPr>
          <t>Sl.-12, Col.(8) (Total) should be equal to Sl.-21, Col.(8) (Total) of Proforma-XIV</t>
        </r>
      </text>
    </comment>
    <comment ref="J27" authorId="0">
      <text>
        <r>
          <rPr>
            <b/>
            <sz val="11"/>
            <color indexed="39"/>
            <rFont val="Cambria"/>
            <family val="1"/>
            <scheme val="major"/>
          </rPr>
          <t>Sl.-12, Col.(9) (Total) should be equal to Sl.-21, Col.(9) (Total) of Proforma-XIV</t>
        </r>
      </text>
    </comment>
    <comment ref="K27" authorId="0">
      <text>
        <r>
          <rPr>
            <b/>
            <sz val="11"/>
            <color indexed="39"/>
            <rFont val="Cambria"/>
            <family val="1"/>
            <scheme val="major"/>
          </rPr>
          <t>Sl.-12, Col.(10) (Total) should be equal to Sl.-21, Col.(10) (Total) of Proforma-XIV</t>
        </r>
      </text>
    </comment>
    <comment ref="L27" authorId="0">
      <text>
        <r>
          <rPr>
            <b/>
            <sz val="11"/>
            <color indexed="39"/>
            <rFont val="Cambria"/>
            <family val="1"/>
            <scheme val="major"/>
          </rPr>
          <t>Sl.-12, Col.(11) (Total) should be equal to Sl.-21, Col.(11) (Total) of Proforma-XIV</t>
        </r>
      </text>
    </comment>
    <comment ref="M27" authorId="0">
      <text>
        <r>
          <rPr>
            <b/>
            <sz val="11"/>
            <color indexed="39"/>
            <rFont val="Cambria"/>
            <family val="1"/>
            <scheme val="major"/>
          </rPr>
          <t>Sl.-12, Col.(12) (Total) should be equal to Sl.-21, Col.(12) (Total) of Proforma-XIV</t>
        </r>
      </text>
    </comment>
    <comment ref="N27" authorId="0">
      <text>
        <r>
          <rPr>
            <b/>
            <sz val="11"/>
            <color indexed="39"/>
            <rFont val="Cambria"/>
            <family val="1"/>
            <scheme val="major"/>
          </rPr>
          <t>Sl.-12, Col.(13) (Total) should be equal to Sl.-21, Col.(13) (Total) of Proforma-XIV</t>
        </r>
      </text>
    </comment>
    <comment ref="O27" authorId="0">
      <text>
        <r>
          <rPr>
            <b/>
            <sz val="11"/>
            <color indexed="39"/>
            <rFont val="Cambria"/>
            <family val="1"/>
            <scheme val="major"/>
          </rPr>
          <t>Sl.-12, Col.(14) (Total) should be equal to Sl.-21, Col.(14) (Total) of Proforma-XIV</t>
        </r>
      </text>
    </comment>
    <comment ref="P27" authorId="0">
      <text>
        <r>
          <rPr>
            <b/>
            <sz val="11"/>
            <color indexed="39"/>
            <rFont val="Cambria"/>
            <family val="1"/>
            <scheme val="major"/>
          </rPr>
          <t>Sl.-12, Col.(15) (Total) should be equal to Sl.-21, Col.(15) (Total) of Proforma-XIV</t>
        </r>
      </text>
    </comment>
    <comment ref="Q27" authorId="0">
      <text>
        <r>
          <rPr>
            <b/>
            <sz val="11"/>
            <color indexed="39"/>
            <rFont val="Cambria"/>
            <family val="1"/>
            <scheme val="major"/>
          </rPr>
          <t>Sl.-12, Col.(16) (Total) should be equal to Sl.-21, Col.(16) (Total) of Proforma-XIV</t>
        </r>
      </text>
    </comment>
    <comment ref="R27" authorId="0">
      <text>
        <r>
          <rPr>
            <b/>
            <sz val="11"/>
            <color indexed="39"/>
            <rFont val="Cambria"/>
            <family val="1"/>
            <scheme val="major"/>
          </rPr>
          <t>Sl.-12, Col.(17) (Total) should be equal to Sl.-21, Col.(17) (Total) of Proforma-XIV</t>
        </r>
      </text>
    </comment>
    <comment ref="S27" authorId="0">
      <text>
        <r>
          <rPr>
            <b/>
            <sz val="11"/>
            <color indexed="39"/>
            <rFont val="Cambria"/>
            <family val="1"/>
            <scheme val="major"/>
          </rPr>
          <t>Sl.-12, Col.(18) (Total) should be equal to Sl.-21, Col.(18) (Total) of Proforma-XIV</t>
        </r>
      </text>
    </comment>
    <comment ref="T27" authorId="0">
      <text>
        <r>
          <rPr>
            <b/>
            <sz val="11"/>
            <color indexed="39"/>
            <rFont val="Cambria"/>
            <family val="1"/>
            <scheme val="major"/>
          </rPr>
          <t>Sl.-12, Col.(19) (Total) should be equal to Sl.-21, Col.(19) (Total) of Proforma-XIV</t>
        </r>
      </text>
    </comment>
    <comment ref="U27" authorId="0">
      <text>
        <r>
          <rPr>
            <b/>
            <sz val="11"/>
            <color indexed="39"/>
            <rFont val="Cambria"/>
            <family val="1"/>
            <scheme val="major"/>
          </rPr>
          <t>Sl.-12, Col.(20) (Total) should be equal to Sl.-21, Col.(20) (Total) of Proforma-XIV</t>
        </r>
      </text>
    </comment>
    <comment ref="V27" authorId="0">
      <text>
        <r>
          <rPr>
            <b/>
            <sz val="11"/>
            <color indexed="39"/>
            <rFont val="Cambria"/>
            <family val="1"/>
            <scheme val="major"/>
          </rPr>
          <t>Sl.-12, Col.(21) (Total) should be equal to Sl.-21, Col.(21) (Total) of Proforma-XIV</t>
        </r>
      </text>
    </comment>
    <comment ref="W27" authorId="0">
      <text>
        <r>
          <rPr>
            <b/>
            <sz val="11"/>
            <color indexed="39"/>
            <rFont val="Cambria"/>
            <family val="1"/>
            <scheme val="major"/>
          </rPr>
          <t>Sl.-12, Col.(22) (Total) should be equal to Sl.-21, Col.(22) (Total) of Proforma-XIV</t>
        </r>
      </text>
    </comment>
    <comment ref="X27" authorId="0">
      <text>
        <r>
          <rPr>
            <b/>
            <sz val="11"/>
            <color indexed="39"/>
            <rFont val="Cambria"/>
            <family val="1"/>
            <scheme val="major"/>
          </rPr>
          <t>Sl.-12, Col.(23) (Total) should be equal to Sl.-21, Col.(23) (Total) of Proforma-XIV</t>
        </r>
      </text>
    </comment>
    <comment ref="Y27" authorId="0">
      <text>
        <r>
          <rPr>
            <b/>
            <sz val="11"/>
            <color indexed="39"/>
            <rFont val="Cambria"/>
            <family val="1"/>
            <scheme val="major"/>
          </rPr>
          <t>Sl.-12, Col.(24) (Total) should be equal to Sl.-21, Col.(24) (Total) of Proforma-XIV</t>
        </r>
      </text>
    </comment>
  </commentList>
</comments>
</file>

<file path=xl/comments20.xml><?xml version="1.0" encoding="utf-8"?>
<comments xmlns="http://schemas.openxmlformats.org/spreadsheetml/2006/main">
  <authors>
    <author>psk</author>
  </authors>
  <commentList>
    <comment ref="C17" authorId="0">
      <text>
        <r>
          <rPr>
            <b/>
            <sz val="10"/>
            <color indexed="25"/>
            <rFont val="Tahoma"/>
            <family val="2"/>
          </rPr>
          <t>Refer to family problems other than marriage related issues.</t>
        </r>
      </text>
    </comment>
    <comment ref="A39" authorId="0">
      <text>
        <r>
          <rPr>
            <b/>
            <sz val="11"/>
            <color indexed="39"/>
            <rFont val="Cambria"/>
            <family val="1"/>
            <scheme val="major"/>
          </rPr>
          <t>Sl.-12 (Total) should be equal to Sl.-6.1 Farmers/Cultivators (Sub-Total) of Proforma-XV</t>
        </r>
      </text>
    </comment>
    <comment ref="D39" authorId="0">
      <text>
        <r>
          <rPr>
            <b/>
            <sz val="11"/>
            <color indexed="39"/>
            <rFont val="Cambria"/>
            <family val="1"/>
            <scheme val="major"/>
          </rPr>
          <t>Sl.-12, Col.(3) (Total) should be equal to Sl.-6.1 Farmers/ Cultivators (Sub-Total) of Proforma-XV</t>
        </r>
      </text>
    </comment>
    <comment ref="E39" authorId="0">
      <text>
        <r>
          <rPr>
            <b/>
            <sz val="11"/>
            <color indexed="39"/>
            <rFont val="Cambria"/>
            <family val="1"/>
            <scheme val="major"/>
          </rPr>
          <t>Sl.-12, Col.(4) (Total) should be equal to Sl.-6.1 Farmers/ Cultivators (Sub-Total) of Proforma-XV</t>
        </r>
      </text>
    </comment>
    <comment ref="F39" authorId="0">
      <text>
        <r>
          <rPr>
            <b/>
            <sz val="11"/>
            <color indexed="39"/>
            <rFont val="Cambria"/>
            <family val="1"/>
            <scheme val="major"/>
          </rPr>
          <t>Sl.-12, Col.(5) (Total) should be equal to Sl.-6.1 Farmers/ Cultivators (Sub-Total) of Proforma-XV</t>
        </r>
      </text>
    </comment>
    <comment ref="G39" authorId="0">
      <text>
        <r>
          <rPr>
            <b/>
            <sz val="11"/>
            <color indexed="39"/>
            <rFont val="Cambria"/>
            <family val="1"/>
            <scheme val="major"/>
          </rPr>
          <t>Sl.-12, Col.(6) (Total) should be equal to Sl.-6.1 Farmers/ Cultivators (Sub-Total) of Proforma-XV</t>
        </r>
      </text>
    </comment>
    <comment ref="H39" authorId="0">
      <text>
        <r>
          <rPr>
            <b/>
            <sz val="11"/>
            <color indexed="39"/>
            <rFont val="Cambria"/>
            <family val="1"/>
            <scheme val="major"/>
          </rPr>
          <t>Sl.-12, Col.(7) (Total) should be equal to Sl.-6.1 Farmers/ Cultivators (Sub-Total) of Proforma-XV</t>
        </r>
      </text>
    </comment>
    <comment ref="I39" authorId="0">
      <text>
        <r>
          <rPr>
            <b/>
            <sz val="11"/>
            <color indexed="39"/>
            <rFont val="Cambria"/>
            <family val="1"/>
            <scheme val="major"/>
          </rPr>
          <t>Sl.-12, Col.(8) (Total) should be equal to Sl.-6.1 Farmers/ Cultivators (Sub-Total) of Proforma-XV</t>
        </r>
      </text>
    </comment>
    <comment ref="J39" authorId="0">
      <text>
        <r>
          <rPr>
            <b/>
            <sz val="11"/>
            <color indexed="39"/>
            <rFont val="Cambria"/>
            <family val="1"/>
            <scheme val="major"/>
          </rPr>
          <t>Sl.-12, Col.(9) (Total) should be equal to Sl.-6.1 Farmers/ Cultivators (Sub-Total) of Proforma-XV</t>
        </r>
      </text>
    </comment>
    <comment ref="K39" authorId="0">
      <text>
        <r>
          <rPr>
            <b/>
            <sz val="11"/>
            <color indexed="39"/>
            <rFont val="Cambria"/>
            <family val="1"/>
            <scheme val="major"/>
          </rPr>
          <t>Sl.-12, Col.(10) (Total) should be equal to Sl.-6.1 Farmers/ Cultivators (Sub-Total) of Proforma-XV</t>
        </r>
      </text>
    </comment>
    <comment ref="L39" authorId="0">
      <text>
        <r>
          <rPr>
            <b/>
            <sz val="11"/>
            <color indexed="39"/>
            <rFont val="Cambria"/>
            <family val="1"/>
            <scheme val="major"/>
          </rPr>
          <t>Sl.-12, Col.(11) (Total) should be equal to Sl.-6.1 Farmers/ Cultivators (Sub-Total) of Proforma-XV</t>
        </r>
      </text>
    </comment>
    <comment ref="M39" authorId="0">
      <text>
        <r>
          <rPr>
            <b/>
            <sz val="11"/>
            <color indexed="39"/>
            <rFont val="Cambria"/>
            <family val="1"/>
            <scheme val="major"/>
          </rPr>
          <t>Sl.-12, Col.(12) (Total) should be equal to Sl.-6.1 Farmers/ Cultivators (Sub-Total) of Proforma-XV</t>
        </r>
      </text>
    </comment>
    <comment ref="N39" authorId="0">
      <text>
        <r>
          <rPr>
            <b/>
            <sz val="11"/>
            <color indexed="39"/>
            <rFont val="Cambria"/>
            <family val="1"/>
            <scheme val="major"/>
          </rPr>
          <t>Sl.-12, Col.(13) (Total) should be equal to Sl.-6.1 Farmers/ Cultivators (Sub-Total) of Proforma-XV</t>
        </r>
      </text>
    </comment>
    <comment ref="O39" authorId="0">
      <text>
        <r>
          <rPr>
            <b/>
            <sz val="11"/>
            <color indexed="39"/>
            <rFont val="Cambria"/>
            <family val="1"/>
            <scheme val="major"/>
          </rPr>
          <t>Sl.-12, Col.(14) (Total) should be equal to Sl.-6.1 Farmers/ Cultivators (Sub-Total) of Proforma-XV</t>
        </r>
      </text>
    </comment>
    <comment ref="P39" authorId="0">
      <text>
        <r>
          <rPr>
            <b/>
            <sz val="11"/>
            <color indexed="39"/>
            <rFont val="Cambria"/>
            <family val="1"/>
            <scheme val="major"/>
          </rPr>
          <t>Sl.-12, Col.(15) (Total) should be equal to Sl.-6.1 Farmers/ Cultivators (Sub-Total) of Proforma-XV</t>
        </r>
      </text>
    </comment>
    <comment ref="Q39" authorId="0">
      <text>
        <r>
          <rPr>
            <b/>
            <sz val="11"/>
            <color indexed="39"/>
            <rFont val="Cambria"/>
            <family val="1"/>
            <scheme val="major"/>
          </rPr>
          <t>Sl.-12, Col.(16) (Total) should be equal to Sl.-6.1 Farmers/Cultivators (Sub-Total) of Proforma-XV</t>
        </r>
      </text>
    </comment>
    <comment ref="R39" authorId="0">
      <text>
        <r>
          <rPr>
            <b/>
            <sz val="11"/>
            <color indexed="39"/>
            <rFont val="Cambria"/>
            <family val="1"/>
            <scheme val="major"/>
          </rPr>
          <t>Sl.-12, Col.(17) (Total) should be equal to Sl.-6.1 Farmers/ Cultivators (Sub-Total) of Proforma-XV</t>
        </r>
      </text>
    </comment>
    <comment ref="S39" authorId="0">
      <text>
        <r>
          <rPr>
            <b/>
            <sz val="11"/>
            <color indexed="39"/>
            <rFont val="Cambria"/>
            <family val="1"/>
            <scheme val="major"/>
          </rPr>
          <t>Sl.-12, Col.(18) (Total) should be equal to Sl.-6.1 Farmers/ Cultivators (Sub-Total) of Proforma-XV</t>
        </r>
      </text>
    </comment>
    <comment ref="T39" authorId="0">
      <text>
        <r>
          <rPr>
            <b/>
            <sz val="11"/>
            <color indexed="39"/>
            <rFont val="Cambria"/>
            <family val="1"/>
            <scheme val="major"/>
          </rPr>
          <t>Sl.-12, Col.(19) (Total) should be equal to Sl.-6.1 Farmers/ Cultivators (Sub-Total) of Proforma-XV</t>
        </r>
      </text>
    </comment>
    <comment ref="U39" authorId="0">
      <text>
        <r>
          <rPr>
            <b/>
            <sz val="11"/>
            <color indexed="39"/>
            <rFont val="Cambria"/>
            <family val="1"/>
            <scheme val="major"/>
          </rPr>
          <t>Sl.-12, Col.(20) (Total) should be equal to Sl.-6.1 Farmers/ Cultivators (Sub-Total) of Proforma-XV</t>
        </r>
      </text>
    </comment>
    <comment ref="V39" authorId="0">
      <text>
        <r>
          <rPr>
            <b/>
            <sz val="11"/>
            <color indexed="39"/>
            <rFont val="Cambria"/>
            <family val="1"/>
            <scheme val="major"/>
          </rPr>
          <t>Sl.-12, Col.(21) (Total) should be equal to Sl.-6.1 Farmers/ Cultivators (Sub-Total) of Proforma-XV</t>
        </r>
      </text>
    </comment>
    <comment ref="W39" authorId="0">
      <text>
        <r>
          <rPr>
            <b/>
            <sz val="11"/>
            <color indexed="39"/>
            <rFont val="Cambria"/>
            <family val="1"/>
            <scheme val="major"/>
          </rPr>
          <t>Sl.-12, Col.(22) (Total) should be equal to Sl.-6.1 Farmers/ Cultivators (Sub-Total) of Proforma-XIV</t>
        </r>
      </text>
    </comment>
    <comment ref="X39" authorId="0">
      <text>
        <r>
          <rPr>
            <b/>
            <sz val="11"/>
            <color indexed="39"/>
            <rFont val="Cambria"/>
            <family val="1"/>
            <scheme val="major"/>
          </rPr>
          <t>Sl.-12, Col.(23) (Total) should be equal to Sl.-6.1 Farmers/ Cultivators (Sub-Total) of Proforma-XV</t>
        </r>
      </text>
    </comment>
    <comment ref="Y39" authorId="0">
      <text>
        <r>
          <rPr>
            <b/>
            <sz val="11"/>
            <color indexed="39"/>
            <rFont val="Cambria"/>
            <family val="1"/>
            <scheme val="major"/>
          </rPr>
          <t>Sl.-12, Col.(24) (Total) should be equal to Sl.-6.1 Farmers/ Cultivators (Sub-Total) of Proforma-XV</t>
        </r>
      </text>
    </comment>
    <comment ref="A41" authorId="0">
      <text>
        <r>
          <rPr>
            <b/>
            <sz val="11"/>
            <color indexed="39"/>
            <rFont val="Cambria"/>
            <family val="1"/>
            <scheme val="major"/>
          </rPr>
          <t>Sl.-12 (Total) should be less than or equal to Sl.-21 (Total) of Proforma-XIV</t>
        </r>
      </text>
    </comment>
    <comment ref="D41" authorId="0">
      <text>
        <r>
          <rPr>
            <b/>
            <sz val="11"/>
            <color indexed="39"/>
            <rFont val="Cambria"/>
            <family val="1"/>
            <scheme val="major"/>
          </rPr>
          <t>Sl.-12, Col.(3) (Total) should be less than or equal to Sl.-21,Col.(3) (Total) of Proforma-XIV</t>
        </r>
      </text>
    </comment>
    <comment ref="E41" authorId="0">
      <text>
        <r>
          <rPr>
            <b/>
            <sz val="11"/>
            <color indexed="39"/>
            <rFont val="Cambria"/>
            <family val="1"/>
            <scheme val="major"/>
          </rPr>
          <t>Sl.-12, Col.(4) (Total) should be less than or equal to Sl.-21,Col.(4) (Total) of Proforma-XIV</t>
        </r>
      </text>
    </comment>
    <comment ref="F41" authorId="0">
      <text>
        <r>
          <rPr>
            <b/>
            <sz val="11"/>
            <color indexed="39"/>
            <rFont val="Cambria"/>
            <family val="1"/>
            <scheme val="major"/>
          </rPr>
          <t>Sl.-12, Col.(5) (Total) should be less than or equal to Sl.-21,Col.(5) (Total) of Proforma-XIV</t>
        </r>
      </text>
    </comment>
    <comment ref="G41" authorId="0">
      <text>
        <r>
          <rPr>
            <b/>
            <sz val="11"/>
            <color indexed="39"/>
            <rFont val="Cambria"/>
            <family val="1"/>
            <scheme val="major"/>
          </rPr>
          <t>Sl.-12, Col.(6) (Total) should be less than or equal to Sl.-21,Col.(6) (Total) of Proforma-XIV</t>
        </r>
      </text>
    </comment>
    <comment ref="H41" authorId="0">
      <text>
        <r>
          <rPr>
            <b/>
            <sz val="11"/>
            <color indexed="39"/>
            <rFont val="Cambria"/>
            <family val="1"/>
            <scheme val="major"/>
          </rPr>
          <t>Sl.-12, Col.(7) (Total) should be less than or equal to Sl.-21,Col.(7) (Total) of Proforma-XIV</t>
        </r>
      </text>
    </comment>
    <comment ref="I41" authorId="0">
      <text>
        <r>
          <rPr>
            <b/>
            <sz val="11"/>
            <color indexed="39"/>
            <rFont val="Cambria"/>
            <family val="1"/>
            <scheme val="major"/>
          </rPr>
          <t>Sl.-12, Col.(8) (Total) should be less than or equal to Sl.-21,Col.(8) (Total) of Proforma-XIV</t>
        </r>
      </text>
    </comment>
    <comment ref="J41" authorId="0">
      <text>
        <r>
          <rPr>
            <b/>
            <sz val="11"/>
            <color indexed="39"/>
            <rFont val="Cambria"/>
            <family val="1"/>
            <scheme val="major"/>
          </rPr>
          <t>Sl.-12, Col.(9) (Total) should be less than or equal to Sl.-21,Col.(9) (Total) of Proforma-XIV</t>
        </r>
      </text>
    </comment>
    <comment ref="K41" authorId="0">
      <text>
        <r>
          <rPr>
            <b/>
            <sz val="11"/>
            <color indexed="39"/>
            <rFont val="Cambria"/>
            <family val="1"/>
            <scheme val="major"/>
          </rPr>
          <t>Sl.-12, Col.(10) (Total) should be less than or equal to Sl.-21,Col.(10) (Total) of Proforma-XIV</t>
        </r>
      </text>
    </comment>
    <comment ref="L41" authorId="0">
      <text>
        <r>
          <rPr>
            <b/>
            <sz val="11"/>
            <color indexed="39"/>
            <rFont val="Cambria"/>
            <family val="1"/>
            <scheme val="major"/>
          </rPr>
          <t>Sl.-12, Col.(11) (Total) should be less than or equal to Sl.-21,Col.(11) (Total) of Proforma-XIV</t>
        </r>
      </text>
    </comment>
    <comment ref="M41" authorId="0">
      <text>
        <r>
          <rPr>
            <b/>
            <sz val="11"/>
            <color indexed="39"/>
            <rFont val="Cambria"/>
            <family val="1"/>
            <scheme val="major"/>
          </rPr>
          <t>Sl.-12, Col.(12) (Total) should be less than or equal to Sl.-21,Col.(12) (Total) of Proforma-XIV</t>
        </r>
      </text>
    </comment>
    <comment ref="N41" authorId="0">
      <text>
        <r>
          <rPr>
            <b/>
            <sz val="11"/>
            <color indexed="39"/>
            <rFont val="Cambria"/>
            <family val="1"/>
            <scheme val="major"/>
          </rPr>
          <t>Sl.-12, Col.(13) (Total) should be less than or equal to Sl.-21,Col.(13) (Total) of Proforma-XIV</t>
        </r>
      </text>
    </comment>
    <comment ref="O41" authorId="0">
      <text>
        <r>
          <rPr>
            <b/>
            <sz val="11"/>
            <color indexed="39"/>
            <rFont val="Cambria"/>
            <family val="1"/>
            <scheme val="major"/>
          </rPr>
          <t>Sl.-12, Col.(14) (Total) should be less than or equal to Sl.-21,Col.(14) (Total) of Proforma-XIV</t>
        </r>
      </text>
    </comment>
    <comment ref="P41" authorId="0">
      <text>
        <r>
          <rPr>
            <b/>
            <sz val="11"/>
            <color indexed="39"/>
            <rFont val="Cambria"/>
            <family val="1"/>
            <scheme val="major"/>
          </rPr>
          <t>Sl.-12, Col.(15) (Total) should be less than or equal to Sl.-21,Col.(15) (Total) of Proforma-XIV</t>
        </r>
      </text>
    </comment>
    <comment ref="Q41" authorId="0">
      <text>
        <r>
          <rPr>
            <b/>
            <sz val="11"/>
            <color indexed="39"/>
            <rFont val="Cambria"/>
            <family val="1"/>
            <scheme val="major"/>
          </rPr>
          <t>Sl.-12, Col.(16) (Total) should be less than or equal to Sl.-21,Col.(16) (Total) of Proforma-XIV</t>
        </r>
      </text>
    </comment>
    <comment ref="R41" authorId="0">
      <text>
        <r>
          <rPr>
            <b/>
            <sz val="11"/>
            <color indexed="39"/>
            <rFont val="Cambria"/>
            <family val="1"/>
            <scheme val="major"/>
          </rPr>
          <t>Sl.-12, Col.(17) (Total) should be less than or equal to Sl.-21,Col.(17) (Total) of Proforma-XIV</t>
        </r>
      </text>
    </comment>
    <comment ref="S41" authorId="0">
      <text>
        <r>
          <rPr>
            <b/>
            <sz val="11"/>
            <color indexed="39"/>
            <rFont val="Cambria"/>
            <family val="1"/>
            <scheme val="major"/>
          </rPr>
          <t>Sl.-12, Col.(18) (Total) should be less than or equal to Sl.-21,Col.(18) (Total) of Proforma-XIV</t>
        </r>
      </text>
    </comment>
    <comment ref="T41" authorId="0">
      <text>
        <r>
          <rPr>
            <b/>
            <sz val="11"/>
            <color indexed="39"/>
            <rFont val="Cambria"/>
            <family val="1"/>
            <scheme val="major"/>
          </rPr>
          <t>Sl.-12, Col.(19) (Total) should be less than or equal to Sl.-21,Col.(19) (Total) of Proforma-XIV</t>
        </r>
      </text>
    </comment>
    <comment ref="U41" authorId="0">
      <text>
        <r>
          <rPr>
            <b/>
            <sz val="11"/>
            <color indexed="39"/>
            <rFont val="Cambria"/>
            <family val="1"/>
            <scheme val="major"/>
          </rPr>
          <t>Sl.-12, Col.(20) (Total) should be less than or equal to Sl.-21,Col.(20) (Total) of Proforma-XIV</t>
        </r>
      </text>
    </comment>
    <comment ref="V41" authorId="0">
      <text>
        <r>
          <rPr>
            <b/>
            <sz val="11"/>
            <color indexed="39"/>
            <rFont val="Cambria"/>
            <family val="1"/>
            <scheme val="major"/>
          </rPr>
          <t>Sl.-12, Col.(21) (Total) should be less than or equal to Sl.-21,Col.(21) (Total) of Proforma-XIV</t>
        </r>
      </text>
    </comment>
    <comment ref="W41" authorId="0">
      <text>
        <r>
          <rPr>
            <b/>
            <sz val="11"/>
            <color indexed="39"/>
            <rFont val="Cambria"/>
            <family val="1"/>
            <scheme val="major"/>
          </rPr>
          <t>Sl.-12, Col.(22) (Total) should be less than or equal to Sl.-21,Col.(22) (Total) of Proforma-XIV</t>
        </r>
      </text>
    </comment>
    <comment ref="X41" authorId="0">
      <text>
        <r>
          <rPr>
            <b/>
            <sz val="11"/>
            <color indexed="39"/>
            <rFont val="Cambria"/>
            <family val="1"/>
            <scheme val="major"/>
          </rPr>
          <t>Sl.-12, Col.(23) (Total) should be less than or equal to Sl.-21,Col.(23) (Total) of Proforma-XIV</t>
        </r>
      </text>
    </comment>
    <comment ref="Y41" authorId="0">
      <text>
        <r>
          <rPr>
            <b/>
            <sz val="11"/>
            <color indexed="39"/>
            <rFont val="Cambria"/>
            <family val="1"/>
            <scheme val="major"/>
          </rPr>
          <t>Sl.-12, Col.(24) (Total) should be less than or equal to Sl.-21,Col.(24) (Total) of Proforma-XIV</t>
        </r>
      </text>
    </comment>
  </commentList>
</comments>
</file>

<file path=xl/comments21.xml><?xml version="1.0" encoding="utf-8"?>
<comments xmlns="http://schemas.openxmlformats.org/spreadsheetml/2006/main">
  <authors>
    <author>psk</author>
  </authors>
  <commentList>
    <comment ref="C13" authorId="0">
      <text>
        <r>
          <rPr>
            <b/>
            <sz val="10"/>
            <color indexed="25"/>
            <rFont val="Tahoma"/>
            <family val="2"/>
          </rPr>
          <t>Refer to family problems other than marriage related issues.</t>
        </r>
      </text>
    </comment>
    <comment ref="A24" authorId="0">
      <text>
        <r>
          <rPr>
            <b/>
            <sz val="11"/>
            <color indexed="39"/>
            <rFont val="Cambria"/>
            <family val="1"/>
            <scheme val="major"/>
          </rPr>
          <t>Sl.-14 (Total) should be equal to Sl.-6.2 (Agricultural labourers) of Proforma-XV</t>
        </r>
      </text>
    </comment>
    <comment ref="D24" authorId="0">
      <text>
        <r>
          <rPr>
            <b/>
            <sz val="11"/>
            <color indexed="39"/>
            <rFont val="Cambria"/>
            <family val="1"/>
            <scheme val="major"/>
          </rPr>
          <t>Sl.-14, Col.(3) (Total) should be equal to Sl.-6.2 (Agricultural labourers) of Proforma-XV</t>
        </r>
      </text>
    </comment>
    <comment ref="E24" authorId="0">
      <text>
        <r>
          <rPr>
            <b/>
            <sz val="11"/>
            <color indexed="39"/>
            <rFont val="Cambria"/>
            <family val="1"/>
            <scheme val="major"/>
          </rPr>
          <t>Sl.-14, Col.(4) (Total) should be equal to Sl.-6.2 (Agricultural labourers) of Proforma-XV</t>
        </r>
      </text>
    </comment>
    <comment ref="F24" authorId="0">
      <text>
        <r>
          <rPr>
            <b/>
            <sz val="11"/>
            <color indexed="39"/>
            <rFont val="Cambria"/>
            <family val="1"/>
            <scheme val="major"/>
          </rPr>
          <t>Sl.-14, Col.(5) (Total) should be equal to Sl.-6.2 (Agricultural labourers) of Proforma-XV</t>
        </r>
      </text>
    </comment>
    <comment ref="G24" authorId="0">
      <text>
        <r>
          <rPr>
            <b/>
            <sz val="11"/>
            <color indexed="39"/>
            <rFont val="Cambria"/>
            <family val="1"/>
            <scheme val="major"/>
          </rPr>
          <t>Sl.-14, Col.(6) (Total) should be equal to Sl.-6.2 (Agricultural labourers) of Proforma-XV</t>
        </r>
      </text>
    </comment>
    <comment ref="H24" authorId="0">
      <text>
        <r>
          <rPr>
            <b/>
            <sz val="11"/>
            <color indexed="39"/>
            <rFont val="Cambria"/>
            <family val="1"/>
            <scheme val="major"/>
          </rPr>
          <t>Sl.-14, Col.(7) (Total) should be equal to Sl.-6.2 (Agricultural labourers) of Proforma-XV</t>
        </r>
      </text>
    </comment>
    <comment ref="I24" authorId="0">
      <text>
        <r>
          <rPr>
            <b/>
            <sz val="11"/>
            <color indexed="39"/>
            <rFont val="Cambria"/>
            <family val="1"/>
            <scheme val="major"/>
          </rPr>
          <t>Sl.-14, Col.(8) (Total) should be equal to Sl.-6.2 (Agricultural labourers) of Proforma-XV</t>
        </r>
      </text>
    </comment>
    <comment ref="J24" authorId="0">
      <text>
        <r>
          <rPr>
            <b/>
            <sz val="11"/>
            <color indexed="39"/>
            <rFont val="Cambria"/>
            <family val="1"/>
            <scheme val="major"/>
          </rPr>
          <t>Sl.-14, Col.(9) (Total) should be equal to Sl.-6.2 (Agricultural labourers) of Proforma-XV</t>
        </r>
      </text>
    </comment>
    <comment ref="K24" authorId="0">
      <text>
        <r>
          <rPr>
            <b/>
            <sz val="11"/>
            <color indexed="39"/>
            <rFont val="Cambria"/>
            <family val="1"/>
            <scheme val="major"/>
          </rPr>
          <t>Sl.-14, Col.(10) (Total) should be equal to Sl.-6.2 (Agricultural labourers) of Proforma-XV</t>
        </r>
      </text>
    </comment>
    <comment ref="L24" authorId="0">
      <text>
        <r>
          <rPr>
            <b/>
            <sz val="11"/>
            <color indexed="39"/>
            <rFont val="Cambria"/>
            <family val="1"/>
            <scheme val="major"/>
          </rPr>
          <t>Sl.-14, Col.(11) (Total) should be equal to Sl.-6.2 (Agricultural labourers) of Proforma-XV</t>
        </r>
      </text>
    </comment>
    <comment ref="M24" authorId="0">
      <text>
        <r>
          <rPr>
            <b/>
            <sz val="11"/>
            <color indexed="39"/>
            <rFont val="Cambria"/>
            <family val="1"/>
            <scheme val="major"/>
          </rPr>
          <t>Sl.-14, Col.(12) (Total) should be equal to Sl.-6.2 (Agricultural labourers) of Proforma-XV</t>
        </r>
      </text>
    </comment>
    <comment ref="N24" authorId="0">
      <text>
        <r>
          <rPr>
            <b/>
            <sz val="11"/>
            <color indexed="39"/>
            <rFont val="Cambria"/>
            <family val="1"/>
            <scheme val="major"/>
          </rPr>
          <t>Sl.-14, Col.(13) (Total) should be equal to Sl.-6.2 (Agricultural labourers) of Proforma-XV</t>
        </r>
      </text>
    </comment>
    <comment ref="O24" authorId="0">
      <text>
        <r>
          <rPr>
            <b/>
            <sz val="11"/>
            <color indexed="39"/>
            <rFont val="Cambria"/>
            <family val="1"/>
            <scheme val="major"/>
          </rPr>
          <t>Sl.-14, Col.(14) (Total) should be equal to Sl.-6.2 (Agricultural labourers) of Proforma-XV</t>
        </r>
      </text>
    </comment>
    <comment ref="P24" authorId="0">
      <text>
        <r>
          <rPr>
            <b/>
            <sz val="11"/>
            <color indexed="39"/>
            <rFont val="Cambria"/>
            <family val="1"/>
            <scheme val="major"/>
          </rPr>
          <t>Sl.-14, Col.(15) (Total) should be equal to Sl.-6.2 (Agricultural labourers) of Proforma-XV</t>
        </r>
      </text>
    </comment>
    <comment ref="Q24" authorId="0">
      <text>
        <r>
          <rPr>
            <b/>
            <sz val="11"/>
            <color indexed="39"/>
            <rFont val="Cambria"/>
            <family val="1"/>
            <scheme val="major"/>
          </rPr>
          <t>Sl.-14, Col.(16) (Total) should be equal to Sl.-6.2 (Agricultural labourers) of Proforma-XV</t>
        </r>
      </text>
    </comment>
    <comment ref="R24" authorId="0">
      <text>
        <r>
          <rPr>
            <b/>
            <sz val="11"/>
            <color indexed="39"/>
            <rFont val="Cambria"/>
            <family val="1"/>
            <scheme val="major"/>
          </rPr>
          <t>Sl.-14, Col.(17) (Total) should be equal to Sl.-6.2 (Agricultural labourers) of Proforma-XV</t>
        </r>
      </text>
    </comment>
    <comment ref="S24" authorId="0">
      <text>
        <r>
          <rPr>
            <b/>
            <sz val="11"/>
            <color indexed="39"/>
            <rFont val="Cambria"/>
            <family val="1"/>
            <scheme val="major"/>
          </rPr>
          <t>Sl.-14, Col.(18) (Total) should be equal to Sl.-6.2 (Agricultural labourers) of Proforma-XV</t>
        </r>
      </text>
    </comment>
    <comment ref="T24" authorId="0">
      <text>
        <r>
          <rPr>
            <b/>
            <sz val="11"/>
            <color indexed="39"/>
            <rFont val="Cambria"/>
            <family val="1"/>
            <scheme val="major"/>
          </rPr>
          <t>Sl.-14, Col.(19) (Total) should be equal to Sl.-6.2 (Agricultural labourers) of Proforma-XV</t>
        </r>
      </text>
    </comment>
    <comment ref="U24" authorId="0">
      <text>
        <r>
          <rPr>
            <b/>
            <sz val="11"/>
            <color indexed="39"/>
            <rFont val="Cambria"/>
            <family val="1"/>
            <scheme val="major"/>
          </rPr>
          <t>Sl.-14, Col.(20) (Total) should be equal to Sl.-6.2 (Agricultural labourers) of Proforma-XV</t>
        </r>
      </text>
    </comment>
    <comment ref="V24" authorId="0">
      <text>
        <r>
          <rPr>
            <b/>
            <sz val="11"/>
            <color indexed="39"/>
            <rFont val="Cambria"/>
            <family val="1"/>
            <scheme val="major"/>
          </rPr>
          <t>Sl.-14, Col.(21) (Total) should be equal to Sl.-6.2 (Agricultural labourers) of Proforma-XV</t>
        </r>
      </text>
    </comment>
    <comment ref="W24" authorId="0">
      <text>
        <r>
          <rPr>
            <b/>
            <sz val="11"/>
            <color indexed="39"/>
            <rFont val="Cambria"/>
            <family val="1"/>
            <scheme val="major"/>
          </rPr>
          <t>Sl.-14, Col.(22) (Total) should be equal to Sl.-6.2 (Agricultural labourers) of Proforma-XIV</t>
        </r>
      </text>
    </comment>
    <comment ref="X24" authorId="0">
      <text>
        <r>
          <rPr>
            <b/>
            <sz val="11"/>
            <color indexed="39"/>
            <rFont val="Cambria"/>
            <family val="1"/>
            <scheme val="major"/>
          </rPr>
          <t>Sl.-14, Col.(23) (Total) should be equal to Sl.-6.2 (Agricultural labourers) of Proforma-XV</t>
        </r>
      </text>
    </comment>
    <comment ref="Y24" authorId="0">
      <text>
        <r>
          <rPr>
            <b/>
            <sz val="11"/>
            <color indexed="39"/>
            <rFont val="Cambria"/>
            <family val="1"/>
            <scheme val="major"/>
          </rPr>
          <t>Sl.-14, Col.(24) (Total) should be equal to Sl.-6.2 (Agricultural labourers) of Proforma-XV</t>
        </r>
      </text>
    </comment>
    <comment ref="A26" authorId="0">
      <text>
        <r>
          <rPr>
            <b/>
            <sz val="11"/>
            <color indexed="39"/>
            <rFont val="Cambria"/>
            <family val="1"/>
            <scheme val="major"/>
          </rPr>
          <t>Sl.-12 (Total) should be less than or equal to Sl.-21 (Total) of Proforma-XIV</t>
        </r>
      </text>
    </comment>
    <comment ref="D26" authorId="0">
      <text>
        <r>
          <rPr>
            <b/>
            <sz val="11"/>
            <color indexed="39"/>
            <rFont val="Cambria"/>
            <family val="1"/>
            <scheme val="major"/>
          </rPr>
          <t>Sl.-12, Col.(3) (Total) should be less than or equal to Sl.-21,Col.(3) (Total) of Proforma-XIV</t>
        </r>
      </text>
    </comment>
    <comment ref="E26" authorId="0">
      <text>
        <r>
          <rPr>
            <b/>
            <sz val="11"/>
            <color indexed="39"/>
            <rFont val="Cambria"/>
            <family val="1"/>
            <scheme val="major"/>
          </rPr>
          <t>Sl.-12, Col.(4) (Total) should be less than or equal to Sl.-21,Col.(4) (Total) of Proforma-XIV</t>
        </r>
      </text>
    </comment>
    <comment ref="F26" authorId="0">
      <text>
        <r>
          <rPr>
            <b/>
            <sz val="11"/>
            <color indexed="39"/>
            <rFont val="Cambria"/>
            <family val="1"/>
            <scheme val="major"/>
          </rPr>
          <t>Sl.-12, Col.(5) (Total) should be less than or equal to Sl.-21,Col.(5) (Total) of Proforma-XIV</t>
        </r>
      </text>
    </comment>
    <comment ref="G26" authorId="0">
      <text>
        <r>
          <rPr>
            <b/>
            <sz val="11"/>
            <color indexed="39"/>
            <rFont val="Cambria"/>
            <family val="1"/>
            <scheme val="major"/>
          </rPr>
          <t>Sl.-12, Col.(6) (Total) should be less than or equal to Sl.-21,Col.(6) (Total) of Proforma-XIV</t>
        </r>
      </text>
    </comment>
    <comment ref="H26" authorId="0">
      <text>
        <r>
          <rPr>
            <b/>
            <sz val="11"/>
            <color indexed="39"/>
            <rFont val="Cambria"/>
            <family val="1"/>
            <scheme val="major"/>
          </rPr>
          <t>Sl.-12, Col.(7) (Total) should be less than or equal to Sl.-21,Col.(7) (Total) of Proforma-XIV</t>
        </r>
      </text>
    </comment>
    <comment ref="I26" authorId="0">
      <text>
        <r>
          <rPr>
            <b/>
            <sz val="11"/>
            <color indexed="39"/>
            <rFont val="Cambria"/>
            <family val="1"/>
            <scheme val="major"/>
          </rPr>
          <t>Sl.-12, Col.(8) (Total) should be less than or equal to Sl.-21,Col.(8) (Total) of Proforma-XIV</t>
        </r>
      </text>
    </comment>
    <comment ref="J26" authorId="0">
      <text>
        <r>
          <rPr>
            <b/>
            <sz val="11"/>
            <color indexed="39"/>
            <rFont val="Cambria"/>
            <family val="1"/>
            <scheme val="major"/>
          </rPr>
          <t>Sl.-12, Col.(9) (Total) should be less than or equal to Sl.-21,Col.(9) (Total) of Proforma-XIV</t>
        </r>
      </text>
    </comment>
    <comment ref="K26" authorId="0">
      <text>
        <r>
          <rPr>
            <b/>
            <sz val="11"/>
            <color indexed="39"/>
            <rFont val="Cambria"/>
            <family val="1"/>
            <scheme val="major"/>
          </rPr>
          <t>Sl.-12, Col.(10) (Total) should be less than or equal to Sl.-21,Col.(10) (Total) of Proforma-XIV</t>
        </r>
      </text>
    </comment>
    <comment ref="L26" authorId="0">
      <text>
        <r>
          <rPr>
            <b/>
            <sz val="11"/>
            <color indexed="39"/>
            <rFont val="Cambria"/>
            <family val="1"/>
            <scheme val="major"/>
          </rPr>
          <t>Sl.-12, Col.(11) (Total) should be less than or equal to Sl.-21,Col.(11) (Total) of Proforma-XIV</t>
        </r>
      </text>
    </comment>
    <comment ref="M26" authorId="0">
      <text>
        <r>
          <rPr>
            <b/>
            <sz val="11"/>
            <color indexed="39"/>
            <rFont val="Cambria"/>
            <family val="1"/>
            <scheme val="major"/>
          </rPr>
          <t>Sl.-12, Col.(12) (Total) should be less than or equal to Sl.-21,Col.(12) (Total) of Proforma-XIV</t>
        </r>
      </text>
    </comment>
    <comment ref="N26" authorId="0">
      <text>
        <r>
          <rPr>
            <b/>
            <sz val="11"/>
            <color indexed="39"/>
            <rFont val="Cambria"/>
            <family val="1"/>
            <scheme val="major"/>
          </rPr>
          <t>Sl.-12, Col.(13) (Total) should be less than or equal to Sl.-21,Col.(13) (Total) of Proforma-XIV</t>
        </r>
      </text>
    </comment>
    <comment ref="O26" authorId="0">
      <text>
        <r>
          <rPr>
            <b/>
            <sz val="11"/>
            <color indexed="39"/>
            <rFont val="Cambria"/>
            <family val="1"/>
            <scheme val="major"/>
          </rPr>
          <t>Sl.-12, Col.(14) (Total) should be less than or equal to Sl.-21,Col.(14) (Total) of Proforma-XIV</t>
        </r>
      </text>
    </comment>
    <comment ref="P26" authorId="0">
      <text>
        <r>
          <rPr>
            <b/>
            <sz val="11"/>
            <color indexed="39"/>
            <rFont val="Cambria"/>
            <family val="1"/>
            <scheme val="major"/>
          </rPr>
          <t>Sl.-12, Col.(15) (Total) should be less than or equal to Sl.-21,Col.(15) (Total) of Proforma-XIV</t>
        </r>
      </text>
    </comment>
    <comment ref="Q26" authorId="0">
      <text>
        <r>
          <rPr>
            <b/>
            <sz val="11"/>
            <color indexed="39"/>
            <rFont val="Cambria"/>
            <family val="1"/>
            <scheme val="major"/>
          </rPr>
          <t>Sl.-12, Col.(16) (Total) should be less than or equal to Sl.-21,Col.(16) (Total) of Proforma-XIV</t>
        </r>
      </text>
    </comment>
    <comment ref="R26" authorId="0">
      <text>
        <r>
          <rPr>
            <b/>
            <sz val="11"/>
            <color indexed="39"/>
            <rFont val="Cambria"/>
            <family val="1"/>
            <scheme val="major"/>
          </rPr>
          <t>Sl.-12, Col.(17) (Total) should be less than or equal to Sl.-21,Col.(17) (Total) of Proforma-XIV</t>
        </r>
      </text>
    </comment>
    <comment ref="S26" authorId="0">
      <text>
        <r>
          <rPr>
            <b/>
            <sz val="11"/>
            <color indexed="39"/>
            <rFont val="Cambria"/>
            <family val="1"/>
            <scheme val="major"/>
          </rPr>
          <t>Sl.-12, Col.(18) (Total) should be less than or equal to Sl.-21,Col.(18) (Total) of Proforma-XIV</t>
        </r>
      </text>
    </comment>
    <comment ref="T26" authorId="0">
      <text>
        <r>
          <rPr>
            <b/>
            <sz val="11"/>
            <color indexed="39"/>
            <rFont val="Cambria"/>
            <family val="1"/>
            <scheme val="major"/>
          </rPr>
          <t>Sl.-12, Col.(19) (Total) should be less than or equal to Sl.-21,Col.(19) (Total) of Proforma-XIV</t>
        </r>
      </text>
    </comment>
    <comment ref="U26" authorId="0">
      <text>
        <r>
          <rPr>
            <b/>
            <sz val="11"/>
            <color indexed="39"/>
            <rFont val="Cambria"/>
            <family val="1"/>
            <scheme val="major"/>
          </rPr>
          <t>Sl.-12, Col.(20) (Total) should be less than or equal to Sl.-21,Col.(20) (Total) of Proforma-XIV</t>
        </r>
      </text>
    </comment>
    <comment ref="V26" authorId="0">
      <text>
        <r>
          <rPr>
            <b/>
            <sz val="11"/>
            <color indexed="39"/>
            <rFont val="Cambria"/>
            <family val="1"/>
            <scheme val="major"/>
          </rPr>
          <t>Sl.-12, Col.(21) (Total) should be less than or equal to Sl.-21,Col.(21) (Total) of Proforma-XIV</t>
        </r>
      </text>
    </comment>
    <comment ref="W26" authorId="0">
      <text>
        <r>
          <rPr>
            <b/>
            <sz val="11"/>
            <color indexed="39"/>
            <rFont val="Cambria"/>
            <family val="1"/>
            <scheme val="major"/>
          </rPr>
          <t>Sl.-12, Col.(22) (Total) should be less than or equal to Sl.-21,Col.(22) (Total) of Proforma-XIV</t>
        </r>
      </text>
    </comment>
    <comment ref="X26" authorId="0">
      <text>
        <r>
          <rPr>
            <b/>
            <sz val="11"/>
            <color indexed="39"/>
            <rFont val="Cambria"/>
            <family val="1"/>
            <scheme val="major"/>
          </rPr>
          <t>Sl.-12, Col.(23) (Total) should be less than or equal to Sl.-21,Col.(23) (Total) of Proforma-XIV</t>
        </r>
      </text>
    </comment>
    <comment ref="Y26" authorId="0">
      <text>
        <r>
          <rPr>
            <b/>
            <sz val="11"/>
            <color indexed="39"/>
            <rFont val="Cambria"/>
            <family val="1"/>
            <scheme val="major"/>
          </rPr>
          <t>Sl.-12, Col.(24) (Total) should be less than or equal to Sl.-21,Col.(24) (Total) of Proforma-XIV</t>
        </r>
      </text>
    </comment>
  </commentList>
</comments>
</file>

<file path=xl/comments22.xml><?xml version="1.0" encoding="utf-8"?>
<comments xmlns="http://schemas.openxmlformats.org/spreadsheetml/2006/main">
  <authors>
    <author>psk</author>
  </authors>
  <commentList>
    <comment ref="A20" authorId="0">
      <text>
        <r>
          <rPr>
            <b/>
            <sz val="11"/>
            <color indexed="39"/>
            <rFont val="Cambria"/>
            <family val="1"/>
            <scheme val="major"/>
          </rPr>
          <t>Sl.-10, Col.(27, 28, 29 &amp; 30) (Grand Total of Male, Female, Transgender &amp; Total) should be equal to Sl.-6.1, Col.(9, 16, 23 &amp; 24 respectively) (Farmers/Cultivators Sub Total of Male, Female, Transgender &amp; Total) of Proforma-XV</t>
        </r>
      </text>
    </comment>
    <comment ref="AB20" authorId="0">
      <text>
        <r>
          <rPr>
            <b/>
            <sz val="11"/>
            <color indexed="39"/>
            <rFont val="Cambria"/>
            <family val="1"/>
            <scheme val="major"/>
          </rPr>
          <t>Sl.-10, Col.(27) (Male Grand Total) should be equal to Sl.-6.1, Col.(9) (Male Total of Farmers/Cultivators Sub Total) of Proforma-XV</t>
        </r>
      </text>
    </comment>
    <comment ref="AC20" authorId="0">
      <text>
        <r>
          <rPr>
            <b/>
            <sz val="11"/>
            <color indexed="39"/>
            <rFont val="Cambria"/>
            <family val="1"/>
            <scheme val="major"/>
          </rPr>
          <t>Sl.-10, Col.(28) (Female Grand Total) should be equal to Sl.-6.1, Col.(16) (Female Total of Farmers/Cultivators Sub Total) of Proforma-XV</t>
        </r>
      </text>
    </comment>
    <comment ref="AD20" authorId="0">
      <text>
        <r>
          <rPr>
            <b/>
            <sz val="11"/>
            <color indexed="39"/>
            <rFont val="Cambria"/>
            <family val="1"/>
            <scheme val="major"/>
          </rPr>
          <t>Sl.-10, Col.(29) (Transgender Grand Total) should be equal to Sl.-6.1, Col.(23) (Transgender Total of Farmers/Cultivators Sub Total) of Proforma-XV</t>
        </r>
      </text>
    </comment>
    <comment ref="AE20" authorId="0">
      <text>
        <r>
          <rPr>
            <b/>
            <sz val="11"/>
            <color indexed="39"/>
            <rFont val="Cambria"/>
            <family val="1"/>
            <scheme val="major"/>
          </rPr>
          <t>Sl.-10, Col.(30) (Grand Total) should be equal to Sl.-6.1, Col.(24) (Grand Total of Farmers/Cultivators Sub Total) of Proforma-XV</t>
        </r>
      </text>
    </comment>
    <comment ref="A22" authorId="0">
      <text>
        <r>
          <rPr>
            <b/>
            <sz val="11"/>
            <color indexed="39"/>
            <rFont val="Cambria"/>
            <family val="1"/>
            <scheme val="major"/>
          </rPr>
          <t>Sl.-10, Col.(27, 28, 29 &amp; 30) (Grand Total of Male, Female, Transgender &amp; Total) should be less than or equal to Sl.-21, Col.(9, 16, 23 &amp; 24 respectively) (Total of Male, Female, Transgender &amp; Grand Total) of Proforma-XIV</t>
        </r>
      </text>
    </comment>
    <comment ref="AB22" authorId="0">
      <text>
        <r>
          <rPr>
            <b/>
            <sz val="11"/>
            <color indexed="39"/>
            <rFont val="Cambria"/>
            <family val="1"/>
            <scheme val="major"/>
          </rPr>
          <t>Sl.-10, Col.(27) (Male Grand Total) should be less than or equal to Sl.-(21), Col.(9) (Male Total) of Proforma-XIV</t>
        </r>
      </text>
    </comment>
    <comment ref="AC22" authorId="0">
      <text>
        <r>
          <rPr>
            <b/>
            <sz val="11"/>
            <color indexed="39"/>
            <rFont val="Cambria"/>
            <family val="1"/>
            <scheme val="major"/>
          </rPr>
          <t>Sl.-10, Col.(28) (Female Grand Total) should be less than or equal to Sl.-(21), Col.(16) (Female Total) of Proforma-XIV</t>
        </r>
      </text>
    </comment>
    <comment ref="AD22" authorId="0">
      <text>
        <r>
          <rPr>
            <b/>
            <sz val="11"/>
            <color indexed="39"/>
            <rFont val="Cambria"/>
            <family val="1"/>
            <scheme val="major"/>
          </rPr>
          <t>Sl.-10, Col.(29) (Transgender Grand Total) should be less than or equal to Sl.-(21), Col.(23) (Transgender Total) of Proforma-XIV</t>
        </r>
      </text>
    </comment>
    <comment ref="AE22" authorId="0">
      <text>
        <r>
          <rPr>
            <b/>
            <sz val="11"/>
            <color indexed="39"/>
            <rFont val="Cambria"/>
            <family val="1"/>
            <scheme val="major"/>
          </rPr>
          <t>Sl.-10, Col.(30) (Grand Total) should be less than or equal to Sl.-(21), Col.(24) (Grand Total) of Proforma-XIV</t>
        </r>
      </text>
    </comment>
  </commentList>
</comments>
</file>

<file path=xl/comments23.xml><?xml version="1.0" encoding="utf-8"?>
<comments xmlns="http://schemas.openxmlformats.org/spreadsheetml/2006/main">
  <authors>
    <author>psk</author>
  </authors>
  <commentList>
    <comment ref="C7" authorId="0">
      <text>
        <r>
          <rPr>
            <b/>
            <sz val="10"/>
            <color indexed="25"/>
            <rFont val="Tahoma"/>
            <family val="2"/>
          </rPr>
          <t>Refers to  Farmers/Cultivators having having less than 1 hectre of agricultural land</t>
        </r>
      </text>
    </comment>
    <comment ref="C10" authorId="0">
      <text>
        <r>
          <rPr>
            <b/>
            <sz val="10"/>
            <color indexed="25"/>
            <rFont val="Tahoma"/>
            <family val="2"/>
          </rPr>
          <t>Refers to  Farmers/ Cultivators having having 1 hectre or more but less than 2 hectre of agricultural land.</t>
        </r>
      </text>
    </comment>
    <comment ref="C13" authorId="0">
      <text>
        <r>
          <rPr>
            <b/>
            <sz val="10"/>
            <color indexed="25"/>
            <rFont val="Tahoma"/>
            <family val="2"/>
          </rPr>
          <t>Refers to  Farmers/Cultivators having having 2 hectre or more but less than 10 hectre of agricultural land.</t>
        </r>
      </text>
    </comment>
    <comment ref="C16" authorId="0">
      <text>
        <r>
          <rPr>
            <b/>
            <sz val="10"/>
            <color indexed="25"/>
            <rFont val="Tahoma"/>
            <family val="2"/>
          </rPr>
          <t>Refers to  Farmers/ Cultivators having having 10 hectre or more of agricultural land.</t>
        </r>
      </text>
    </comment>
    <comment ref="A21" authorId="0">
      <text>
        <r>
          <rPr>
            <b/>
            <sz val="11"/>
            <color indexed="39"/>
            <rFont val="Cambria"/>
            <family val="1"/>
            <scheme val="major"/>
          </rPr>
          <t>Sl.-5, Col.(3 to 6) (Male, Female, Transgender &amp; Total) should be equal to Sl.-6.1, Col.(9, 16, 23 &amp; 24 respectively) Farmers/Cultivators Sub Total of Male, Female, Transgender &amp; Total) of Proforma-XV</t>
        </r>
      </text>
    </comment>
    <comment ref="D21" authorId="0">
      <text>
        <r>
          <rPr>
            <b/>
            <sz val="11"/>
            <color indexed="39"/>
            <rFont val="Cambria"/>
            <family val="1"/>
            <scheme val="major"/>
          </rPr>
          <t>Sl.-5, Col.(3) (Male Total) should be equal to Sl.-6.1, Col.(9) (Male Total of Farmers/Cultivators Sub Total) of Proforma-XV</t>
        </r>
      </text>
    </comment>
    <comment ref="E21" authorId="0">
      <text>
        <r>
          <rPr>
            <b/>
            <sz val="11"/>
            <color indexed="39"/>
            <rFont val="Cambria"/>
            <family val="1"/>
            <scheme val="major"/>
          </rPr>
          <t>Sl.-5, Col.(4) (Female Total) should be equal to Sl.-6.1, Col.(16) (Female Total of Farmers/Cultivators Sub Total) of Proforma-XV</t>
        </r>
      </text>
    </comment>
    <comment ref="F21" authorId="0">
      <text>
        <r>
          <rPr>
            <b/>
            <sz val="11"/>
            <color indexed="39"/>
            <rFont val="Cambria"/>
            <family val="1"/>
            <scheme val="major"/>
          </rPr>
          <t>Sl.-5, Col.(5) (Transgender Total) should be equal to Sl.-6.1, Col.(23) (Transgender Total of Farmers/Cultivators Sub Total) of Proforma-XV</t>
        </r>
      </text>
    </comment>
    <comment ref="G21" authorId="0">
      <text>
        <r>
          <rPr>
            <b/>
            <sz val="11"/>
            <color indexed="39"/>
            <rFont val="Cambria"/>
            <family val="1"/>
            <scheme val="major"/>
          </rPr>
          <t>Sl.-5, Col.(6) (Total) should be equal to Sl.-6.1, Col.(24) (Grand Total of Farmers/Cultivators Sub Total) of Proforma-XV</t>
        </r>
      </text>
    </comment>
    <comment ref="A23" authorId="0">
      <text>
        <r>
          <rPr>
            <b/>
            <sz val="11"/>
            <color indexed="39"/>
            <rFont val="Cambria"/>
            <family val="1"/>
            <scheme val="major"/>
          </rPr>
          <t>Sl.-5, Col.(3 to 6) (Male, Female, Transgender &amp; Total) should be less than or equal to Sl.-21, Col.(9, 16, 23 &amp; 24 respectively) (Total of Male, Female, Transgender &amp; Grand Total) of Proforma-XIV</t>
        </r>
      </text>
    </comment>
    <comment ref="D23" authorId="0">
      <text>
        <r>
          <rPr>
            <b/>
            <sz val="11"/>
            <color indexed="39"/>
            <rFont val="Cambria"/>
            <family val="1"/>
            <scheme val="major"/>
          </rPr>
          <t>Sl.-5, Col.(3) (Male Total) should be less than or equal to Sl.-(21), Col.(9) (Male Total) of Proforma-XIV</t>
        </r>
      </text>
    </comment>
    <comment ref="E23" authorId="0">
      <text>
        <r>
          <rPr>
            <b/>
            <sz val="11"/>
            <color indexed="39"/>
            <rFont val="Cambria"/>
            <family val="1"/>
            <scheme val="major"/>
          </rPr>
          <t>Sl.-5, Col.(4) (Female Total) should be less than or equal to Sl.-(21), Col.(16) (Female Total) of Proforma-XIV</t>
        </r>
      </text>
    </comment>
    <comment ref="F23" authorId="0">
      <text>
        <r>
          <rPr>
            <b/>
            <sz val="11"/>
            <color indexed="39"/>
            <rFont val="Cambria"/>
            <family val="1"/>
            <scheme val="major"/>
          </rPr>
          <t>Sl.-5, Col.(5) (Transgender Total) should be less than or equal to Sl.-(21), Col.(23) (Transgender Total) of Proforma-XIV</t>
        </r>
      </text>
    </comment>
    <comment ref="G23" authorId="0">
      <text>
        <r>
          <rPr>
            <b/>
            <sz val="11"/>
            <color indexed="39"/>
            <rFont val="Cambria"/>
            <family val="1"/>
            <scheme val="major"/>
          </rPr>
          <t>Sl.-5, Col.(6) (Total) should be less than or equal to Sl.-(21), Col.(24) (Grand Total) of Proforma-XIV</t>
        </r>
      </text>
    </comment>
  </commentList>
</comments>
</file>

<file path=xl/comments24.xml><?xml version="1.0" encoding="utf-8"?>
<comments xmlns="http://schemas.openxmlformats.org/spreadsheetml/2006/main">
  <authors>
    <author>psk</author>
  </authors>
  <commentList>
    <comment ref="C18" authorId="0">
      <text>
        <r>
          <rPr>
            <b/>
            <sz val="10"/>
            <color indexed="25"/>
            <rFont val="Tahoma"/>
            <family val="2"/>
          </rPr>
          <t>Refer to family problems other than marriage related issues.</t>
        </r>
      </text>
    </comment>
    <comment ref="A31" authorId="0">
      <text>
        <r>
          <rPr>
            <b/>
            <sz val="11"/>
            <color indexed="39"/>
            <rFont val="Cambria"/>
            <family val="1"/>
            <scheme val="major"/>
          </rPr>
          <t>For each age group, Sl.-11 (Total) should be less than or equal to Sl.-21 (Total) of Proforma-XIV</t>
        </r>
      </text>
    </comment>
    <comment ref="D31" authorId="0">
      <text>
        <r>
          <rPr>
            <b/>
            <sz val="11"/>
            <color indexed="39"/>
            <rFont val="Cambria"/>
            <family val="1"/>
            <scheme val="major"/>
          </rPr>
          <t>Sl.-11, Col.(3) (Total) should be less than or equal to Sl.-21, Col.(5) (Total) of Proforma-XIV</t>
        </r>
      </text>
    </comment>
    <comment ref="E31" authorId="0">
      <text>
        <r>
          <rPr>
            <b/>
            <sz val="11"/>
            <color indexed="39"/>
            <rFont val="Cambria"/>
            <family val="1"/>
            <scheme val="major"/>
          </rPr>
          <t>Sl.-11, Col.(4) (Total) should be less than or equal to Sl.-21, Col.(6) (Total) of Proforma-XIV</t>
        </r>
      </text>
    </comment>
    <comment ref="F31" authorId="0">
      <text>
        <r>
          <rPr>
            <b/>
            <sz val="11"/>
            <color indexed="39"/>
            <rFont val="Cambria"/>
            <family val="1"/>
            <scheme val="major"/>
          </rPr>
          <t>Sl.-11, Col.(5) (Total) should be less than or equal to Sl.-21, Col.(7) (Total) of Proforma-XIV</t>
        </r>
      </text>
    </comment>
    <comment ref="G31" authorId="0">
      <text>
        <r>
          <rPr>
            <b/>
            <sz val="11"/>
            <color indexed="39"/>
            <rFont val="Cambria"/>
            <family val="1"/>
            <scheme val="major"/>
          </rPr>
          <t>Sl.-11, Col.(6) (Total) should be less than or equal to Sl.-21, Col.(8) (Total) of Proforma-XIV</t>
        </r>
      </text>
    </comment>
    <comment ref="H31" authorId="0">
      <text>
        <r>
          <rPr>
            <b/>
            <sz val="11"/>
            <color indexed="39"/>
            <rFont val="Cambria"/>
            <family val="1"/>
            <scheme val="major"/>
          </rPr>
          <t>Sl.-11, Col.(7) (Male Total) should be less than or equal to Sl.-21, Col.(9) (Male Total) of Proforma-XIV</t>
        </r>
      </text>
    </comment>
    <comment ref="I31" authorId="0">
      <text>
        <r>
          <rPr>
            <b/>
            <sz val="11"/>
            <color indexed="39"/>
            <rFont val="Cambria"/>
            <family val="1"/>
            <scheme val="major"/>
          </rPr>
          <t>Sl.-11, Col.(8) (Total) should be less than or equal to Sl.-21, Col.(12) (Total) of Proforma-XIV</t>
        </r>
      </text>
    </comment>
    <comment ref="J31" authorId="0">
      <text>
        <r>
          <rPr>
            <b/>
            <sz val="11"/>
            <color indexed="39"/>
            <rFont val="Cambria"/>
            <family val="1"/>
            <scheme val="major"/>
          </rPr>
          <t>Sl.-11, Col.(9) (Total) should be less than or equal to Sl.-21, Col.(13) (Total) of Proforma-XIV</t>
        </r>
      </text>
    </comment>
    <comment ref="K31" authorId="0">
      <text>
        <r>
          <rPr>
            <b/>
            <sz val="11"/>
            <color indexed="39"/>
            <rFont val="Cambria"/>
            <family val="1"/>
            <scheme val="major"/>
          </rPr>
          <t>Sl.-11, Col.(10) (Total) should be less than or equal to Sl.-21, Col.(14) (Total) of Proforma-XIV</t>
        </r>
      </text>
    </comment>
    <comment ref="L31" authorId="0">
      <text>
        <r>
          <rPr>
            <b/>
            <sz val="11"/>
            <color indexed="39"/>
            <rFont val="Cambria"/>
            <family val="1"/>
            <scheme val="major"/>
          </rPr>
          <t>Sl.-11, Col.(11) (Total) should be less than or equal to Sl.-21, Col.(15) (Total) of Proforma-XIV</t>
        </r>
      </text>
    </comment>
    <comment ref="M31" authorId="0">
      <text>
        <r>
          <rPr>
            <b/>
            <sz val="11"/>
            <color indexed="39"/>
            <rFont val="Cambria"/>
            <family val="1"/>
            <scheme val="major"/>
          </rPr>
          <t>Sl.-11, Col.(12) (Female Total) should be less than or equal to Sl.-21, Col.(16) (Female Total) of Proforma-XIV</t>
        </r>
      </text>
    </comment>
    <comment ref="N31" authorId="0">
      <text>
        <r>
          <rPr>
            <b/>
            <sz val="11"/>
            <color indexed="39"/>
            <rFont val="Cambria"/>
            <family val="1"/>
            <scheme val="major"/>
          </rPr>
          <t>Sl.-11, Col.(13) (Total) should be less than or equal to Sl.-21, Col.(19) (Total) of Proforma-XIV</t>
        </r>
      </text>
    </comment>
    <comment ref="O31" authorId="0">
      <text>
        <r>
          <rPr>
            <b/>
            <sz val="11"/>
            <color indexed="39"/>
            <rFont val="Cambria"/>
            <family val="1"/>
            <scheme val="major"/>
          </rPr>
          <t>Sl.-11, Col.(14) (Total) should be less than or equal to Sl.-21, Col.(20) (Total) of Proforma-XIV</t>
        </r>
      </text>
    </comment>
    <comment ref="P31" authorId="0">
      <text>
        <r>
          <rPr>
            <b/>
            <sz val="11"/>
            <color indexed="39"/>
            <rFont val="Cambria"/>
            <family val="1"/>
            <scheme val="major"/>
          </rPr>
          <t>Sl.-11, Col.(15) (Total) should be less than or equal to Sl.-21, Col.(21) (Total) of Proforma-XIV</t>
        </r>
      </text>
    </comment>
    <comment ref="Q31" authorId="0">
      <text>
        <r>
          <rPr>
            <b/>
            <sz val="11"/>
            <color indexed="39"/>
            <rFont val="Cambria"/>
            <family val="1"/>
            <scheme val="major"/>
          </rPr>
          <t>Sl.-11, Col.(16) (Total) should be less than or equal to Sl.-21, Col.(22) (Total) of Proforma-XIV</t>
        </r>
      </text>
    </comment>
    <comment ref="R31" authorId="0">
      <text>
        <r>
          <rPr>
            <b/>
            <sz val="11"/>
            <color indexed="39"/>
            <rFont val="Cambria"/>
            <family val="1"/>
            <scheme val="major"/>
          </rPr>
          <t>Sl.-11, Col.(17) (Transgender Total) should be less than or equal to Sl.-21, Col.(23) (Transgender Total) of Proforma-XIV</t>
        </r>
      </text>
    </comment>
    <comment ref="S31" authorId="0">
      <text>
        <r>
          <rPr>
            <b/>
            <sz val="11"/>
            <color indexed="39"/>
            <rFont val="Cambria"/>
            <family val="1"/>
            <scheme val="major"/>
          </rPr>
          <t>Sl.-11, Col.(18) (Grand Total) should be less than or equal to Sl.-21, Col.(24) (Grand Total) of Proforma-XIV</t>
        </r>
      </text>
    </comment>
  </commentList>
</comments>
</file>

<file path=xl/comments25.xml><?xml version="1.0" encoding="utf-8"?>
<comments xmlns="http://schemas.openxmlformats.org/spreadsheetml/2006/main">
  <authors>
    <author>psk</author>
  </authors>
  <commentList>
    <comment ref="A18" authorId="0">
      <text>
        <r>
          <rPr>
            <b/>
            <sz val="11"/>
            <color indexed="39"/>
            <rFont val="Cambria"/>
            <family val="1"/>
            <scheme val="major"/>
          </rPr>
          <t>For each age group, if persons died is non zero, cases must be non zero</t>
        </r>
      </text>
    </comment>
    <comment ref="D18" authorId="0">
      <text>
        <r>
          <rPr>
            <b/>
            <sz val="11"/>
            <color indexed="39"/>
            <rFont val="Cambria"/>
            <family val="1"/>
            <scheme val="major"/>
          </rPr>
          <t>For each age group, if persons died is non zero, cases must be non zero</t>
        </r>
      </text>
    </comment>
    <comment ref="A20" authorId="0">
      <text>
        <r>
          <rPr>
            <b/>
            <sz val="11"/>
            <color indexed="39"/>
            <rFont val="Cambria"/>
            <family val="1"/>
            <scheme val="major"/>
          </rPr>
          <t>Sl.-8, Col.(11 to 14) (Male, Female, Transgender &amp; Total) should be less than or equal to Sl.-21, Col.(9, 16, 23 &amp; 24 respectively) (Total of Male, Female, Transgender &amp; Grand Total) of Proforma-XIV</t>
        </r>
      </text>
    </comment>
    <comment ref="L20" authorId="0">
      <text>
        <r>
          <rPr>
            <b/>
            <sz val="11"/>
            <color indexed="39"/>
            <rFont val="Cambria"/>
            <family val="1"/>
            <scheme val="major"/>
          </rPr>
          <t>Sl.-8, Col.(11) (Male Total) should be less than or equal to Sl.-21, Col.(9) (Male Total) of Proforma-XIV</t>
        </r>
      </text>
    </comment>
    <comment ref="M20" authorId="0">
      <text>
        <r>
          <rPr>
            <b/>
            <sz val="11"/>
            <color indexed="39"/>
            <rFont val="Cambria"/>
            <family val="1"/>
            <scheme val="major"/>
          </rPr>
          <t>Sl.-8, Col.(12) (Female Total) should be less than or equal to Sl.-21, Col.(16) (Female Total) of Proforma-XIV</t>
        </r>
      </text>
    </comment>
    <comment ref="N20" authorId="0">
      <text>
        <r>
          <rPr>
            <b/>
            <sz val="11"/>
            <color indexed="39"/>
            <rFont val="Cambria"/>
            <family val="1"/>
            <scheme val="major"/>
          </rPr>
          <t>Sl.-8, Col.(13) (Transgender Total) should be less than or equal to Sl.-21, Col.(23) (Transgender Total) of Proforma-XIV</t>
        </r>
      </text>
    </comment>
    <comment ref="O20" authorId="0">
      <text>
        <r>
          <rPr>
            <b/>
            <sz val="11"/>
            <color indexed="39"/>
            <rFont val="Cambria"/>
            <family val="1"/>
            <scheme val="major"/>
          </rPr>
          <t>Sl.-8, Col.(14) (Grand Total) should be less than or equal to Sl.-21, Col.(24) (Grand Total) of Proforma-XIV</t>
        </r>
      </text>
    </comment>
  </commentList>
</comments>
</file>

<file path=xl/sharedStrings.xml><?xml version="1.0" encoding="utf-8"?>
<sst xmlns="http://schemas.openxmlformats.org/spreadsheetml/2006/main" count="3632" uniqueCount="1827">
  <si>
    <t>Sl. No.</t>
  </si>
  <si>
    <t>Victims</t>
  </si>
  <si>
    <t>Injured</t>
  </si>
  <si>
    <t>Bus</t>
  </si>
  <si>
    <t>Tractor</t>
  </si>
  <si>
    <t>Two Wheeler</t>
  </si>
  <si>
    <t>Other Motor Vehicles</t>
  </si>
  <si>
    <t>Bicycle</t>
  </si>
  <si>
    <t>Animal Drawn Vehicle</t>
  </si>
  <si>
    <t>Others</t>
  </si>
  <si>
    <t>Proforma–V</t>
  </si>
  <si>
    <t>Details of Road Accident According to Type of Vehicle and Mode of Transport involved (Culpability vis-à-vis Fatality)</t>
  </si>
  <si>
    <t>Factors</t>
  </si>
  <si>
    <t>N u m b e r       o f      A c c i d e n t a l       D e a t h s</t>
  </si>
  <si>
    <t>18 and above-below 30 years</t>
  </si>
  <si>
    <t>30 and above – below 45 years</t>
  </si>
  <si>
    <t>60 years &amp; above</t>
  </si>
  <si>
    <t>Total</t>
  </si>
  <si>
    <t>Avalanche</t>
  </si>
  <si>
    <t>Exposure to cold</t>
  </si>
  <si>
    <t>Cyclone</t>
  </si>
  <si>
    <t>Tornado</t>
  </si>
  <si>
    <t>Tsunami</t>
  </si>
  <si>
    <t>Starvation due to natural calamity</t>
  </si>
  <si>
    <t>Earthquake</t>
  </si>
  <si>
    <t>Epidemic</t>
  </si>
  <si>
    <t>Landslide</t>
  </si>
  <si>
    <t>Lightning</t>
  </si>
  <si>
    <t>Torrential Rain</t>
  </si>
  <si>
    <t>Forest Fire</t>
  </si>
  <si>
    <t>Other Natural Causes</t>
  </si>
  <si>
    <t>14 and above – below 18 yrs</t>
  </si>
  <si>
    <t>Proforma–I</t>
  </si>
  <si>
    <t>Accidental Deaths due to Natural Calamities</t>
  </si>
  <si>
    <t>Causes</t>
  </si>
  <si>
    <t>No. of Cases</t>
  </si>
  <si>
    <t>No. of Persons Injured</t>
  </si>
  <si>
    <t>No. of Persons Died</t>
  </si>
  <si>
    <t>Male</t>
  </si>
  <si>
    <t>Female</t>
  </si>
  <si>
    <t>Air Crash</t>
  </si>
  <si>
    <t>Ship Accidents</t>
  </si>
  <si>
    <t>Electrocution</t>
  </si>
  <si>
    <t>Factory/Machine accidents</t>
  </si>
  <si>
    <t>Proforma–II</t>
  </si>
  <si>
    <t>Mines or Quarry disaster</t>
  </si>
  <si>
    <t>Road Accidents</t>
  </si>
  <si>
    <t>Stampede</t>
  </si>
  <si>
    <t>Other Causes</t>
  </si>
  <si>
    <t>Causes not known</t>
  </si>
  <si>
    <t>Place of occurrence</t>
  </si>
  <si>
    <t>Fire in School Buildings</t>
  </si>
  <si>
    <t>Fire in Commercial Buildings</t>
  </si>
  <si>
    <t>Fire in Residential/Dwelling Building</t>
  </si>
  <si>
    <t>Fire in Government Buildings</t>
  </si>
  <si>
    <t>Fire in the Mines</t>
  </si>
  <si>
    <t>Fire in Factory manufacturing combustible materials including Cracker/Match Box Factories</t>
  </si>
  <si>
    <t>Accidental Fire in Train(s)</t>
  </si>
  <si>
    <t xml:space="preserve">Fire Accidents classified according to Place of Occurrence </t>
  </si>
  <si>
    <t>Proforma–III</t>
  </si>
  <si>
    <t>Proforma–IV</t>
  </si>
  <si>
    <t>Killed by animals</t>
  </si>
  <si>
    <t>Suffocation</t>
  </si>
  <si>
    <t>Drug Overdose</t>
  </si>
  <si>
    <t>Driving under influence of drug/alcohol</t>
  </si>
  <si>
    <t>Physical fatigue of Drivers</t>
  </si>
  <si>
    <t>Defect in Mechanical condition of Motor Vehicle</t>
  </si>
  <si>
    <t>Vehicles Parking at road shoulders</t>
  </si>
  <si>
    <t>Animal Crossing</t>
  </si>
  <si>
    <t>Proforma–VI</t>
  </si>
  <si>
    <t>Proforma–VII</t>
  </si>
  <si>
    <t>Classification/Causes</t>
  </si>
  <si>
    <t>Sabotage by Extremist/Terrorist/others</t>
  </si>
  <si>
    <t>Proforma–VIII</t>
  </si>
  <si>
    <t>Classification of Roads</t>
  </si>
  <si>
    <t>National Highways</t>
  </si>
  <si>
    <t>State Highways</t>
  </si>
  <si>
    <t>Expressways</t>
  </si>
  <si>
    <t>Proforma–IX</t>
  </si>
  <si>
    <t>Near School/College/Educational institution</t>
  </si>
  <si>
    <t>Near Factory/Industrial area</t>
  </si>
  <si>
    <t>At Pedestrian crossing</t>
  </si>
  <si>
    <t>Near Residential area</t>
  </si>
  <si>
    <t>Rural Area</t>
  </si>
  <si>
    <t>Urban Area</t>
  </si>
  <si>
    <t>Near Factory</t>
  </si>
  <si>
    <t>Month</t>
  </si>
  <si>
    <t>Railways Crossing Accidents</t>
  </si>
  <si>
    <t>Railway Accidents</t>
  </si>
  <si>
    <t>January</t>
  </si>
  <si>
    <t>February</t>
  </si>
  <si>
    <t>March</t>
  </si>
  <si>
    <t>April</t>
  </si>
  <si>
    <t xml:space="preserve"> May</t>
  </si>
  <si>
    <t>June</t>
  </si>
  <si>
    <t>July</t>
  </si>
  <si>
    <t>August</t>
  </si>
  <si>
    <t>September</t>
  </si>
  <si>
    <t>October</t>
  </si>
  <si>
    <t>November</t>
  </si>
  <si>
    <t>December</t>
  </si>
  <si>
    <t>Proforma–X</t>
  </si>
  <si>
    <t>Proforma–XI</t>
  </si>
  <si>
    <t>Proforma–XII</t>
  </si>
  <si>
    <t>Fratricide</t>
  </si>
  <si>
    <t>Deaths due to Natural Calamities</t>
  </si>
  <si>
    <t>Proforma–XIII</t>
  </si>
  <si>
    <t>Profession Profile of Suicide Victims</t>
  </si>
  <si>
    <t>Students</t>
  </si>
  <si>
    <t>Unemployed Persons</t>
  </si>
  <si>
    <t>Daily Wage Earner</t>
  </si>
  <si>
    <t>Retired Persons</t>
  </si>
  <si>
    <t>Proforma–XIV</t>
  </si>
  <si>
    <t>Distribution of Suicides by Causes</t>
  </si>
  <si>
    <t>Profession</t>
  </si>
  <si>
    <t>Failure in Examination</t>
  </si>
  <si>
    <t>Impotency/Infertility</t>
  </si>
  <si>
    <t>Death of dear person</t>
  </si>
  <si>
    <t>Fall in social reputation</t>
  </si>
  <si>
    <t>Ideological causes/Hero worshipping</t>
  </si>
  <si>
    <t>Love affairs</t>
  </si>
  <si>
    <t>Poverty</t>
  </si>
  <si>
    <t>Unemployment</t>
  </si>
  <si>
    <t>Property dispute</t>
  </si>
  <si>
    <t>Professional/Career Problem</t>
  </si>
  <si>
    <t>Other causes</t>
  </si>
  <si>
    <t>Proforma–XV</t>
  </si>
  <si>
    <t>Family problems</t>
  </si>
  <si>
    <t>Drug abuse/Alcoholic addiction</t>
  </si>
  <si>
    <t>Proforma–XVI</t>
  </si>
  <si>
    <t>No Education</t>
  </si>
  <si>
    <t>Graduate and above</t>
  </si>
  <si>
    <t>Educational Status</t>
  </si>
  <si>
    <t>Land Holding Status</t>
  </si>
  <si>
    <t>Proforma–XVII</t>
  </si>
  <si>
    <t>Daily wage earner excludes Agricultural labourer.</t>
  </si>
  <si>
    <t xml:space="preserve"> Married</t>
  </si>
  <si>
    <t xml:space="preserve"> Separated</t>
  </si>
  <si>
    <t>Sl. No</t>
  </si>
  <si>
    <t>Number of Suicidal Deaths</t>
  </si>
  <si>
    <t>Religion of Victims</t>
  </si>
  <si>
    <t>Hindu</t>
  </si>
  <si>
    <t>Muslim</t>
  </si>
  <si>
    <t>Christian</t>
  </si>
  <si>
    <t>Sikh</t>
  </si>
  <si>
    <t>Caste of Victims</t>
  </si>
  <si>
    <t>General</t>
  </si>
  <si>
    <t>OBC</t>
  </si>
  <si>
    <t>SC</t>
  </si>
  <si>
    <t>ST</t>
  </si>
  <si>
    <t>Grand Total</t>
  </si>
  <si>
    <t>Status not known</t>
  </si>
  <si>
    <t>Married</t>
  </si>
  <si>
    <t>Divorcee</t>
  </si>
  <si>
    <t>Separated</t>
  </si>
  <si>
    <t>Un-Married</t>
  </si>
  <si>
    <t>Proforma–XX</t>
  </si>
  <si>
    <t>Educational Status of Suicide Victims</t>
  </si>
  <si>
    <t>Distribution of Suicides by Means Adopted</t>
  </si>
  <si>
    <t>By consuming Sleeping Pills</t>
  </si>
  <si>
    <t>By Drowning</t>
  </si>
  <si>
    <t>By Fire/Self Immolation</t>
  </si>
  <si>
    <t>By Hanging</t>
  </si>
  <si>
    <t>By Coming under running vehicles/trains</t>
  </si>
  <si>
    <t>By touching electric wire</t>
  </si>
  <si>
    <t>Proforma–XXI</t>
  </si>
  <si>
    <t>Proforma–XXII</t>
  </si>
  <si>
    <t>Mass/Family Suicides</t>
  </si>
  <si>
    <t>No. of Suicides</t>
  </si>
  <si>
    <t>below 14 years</t>
  </si>
  <si>
    <t>14 and above – below 18 years</t>
  </si>
  <si>
    <t>18 and above – below 30 years</t>
  </si>
  <si>
    <t>M a l e</t>
  </si>
  <si>
    <t>F e m a l e</t>
  </si>
  <si>
    <t>Heat/Sun Stroke</t>
  </si>
  <si>
    <t>Part-I; Classification of Railway Accidents</t>
  </si>
  <si>
    <t>Part-II; Causes of Railway Accidents</t>
  </si>
  <si>
    <t>Signalmen's  Error</t>
  </si>
  <si>
    <t>45 and above – below 60 years</t>
  </si>
  <si>
    <t>Pedestrian</t>
  </si>
  <si>
    <t>Time</t>
  </si>
  <si>
    <t>(1)</t>
  </si>
  <si>
    <t>(2)</t>
  </si>
  <si>
    <t>(3)</t>
  </si>
  <si>
    <t>(4)</t>
  </si>
  <si>
    <t>(5)</t>
  </si>
  <si>
    <t>(6)</t>
  </si>
  <si>
    <t>(7)</t>
  </si>
  <si>
    <t>(8)</t>
  </si>
  <si>
    <t>(9)</t>
  </si>
  <si>
    <t>(10)</t>
  </si>
  <si>
    <t>(11)</t>
  </si>
  <si>
    <t>(12)</t>
  </si>
  <si>
    <t>(13)</t>
  </si>
  <si>
    <t>(14)</t>
  </si>
  <si>
    <t>(15)</t>
  </si>
  <si>
    <t>(16)</t>
  </si>
  <si>
    <t>(17)</t>
  </si>
  <si>
    <t xml:space="preserve"> Total [sum of (3) to (8)]</t>
  </si>
  <si>
    <t>Total [sum of (10) to (15)]</t>
  </si>
  <si>
    <t xml:space="preserve"> Male</t>
  </si>
  <si>
    <t xml:space="preserve"> Female</t>
  </si>
  <si>
    <t>Total 
[sum of (10) to (15)]</t>
  </si>
  <si>
    <t>Total [sum of (10) to (15)</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</si>
  <si>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</si>
  <si>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</si>
  <si>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</si>
  <si>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</si>
  <si>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</si>
  <si>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</si>
  <si>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</si>
  <si>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</si>
  <si>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</si>
  <si>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</si>
  <si>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</si>
  <si>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</si>
  <si>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</si>
  <si>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</si>
  <si>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</si>
  <si>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</si>
  <si>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</si>
  <si>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</si>
  <si>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</si>
  <si>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</si>
  <si>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</si>
  <si>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</si>
  <si>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</si>
  <si>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</si>
  <si>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</si>
  <si>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</si>
  <si>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</si>
  <si>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</si>
  <si>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</si>
  <si>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 xml:space="preserve"> Total [sum of 
(4) to (6)]</t>
  </si>
  <si>
    <t xml:space="preserve"> Total
[sum of (4) to (6)]</t>
  </si>
  <si>
    <t>Total
[sum of (8) to (10)]</t>
  </si>
  <si>
    <t>Total 
[sum of (8) to (10)]</t>
  </si>
  <si>
    <t>Total 
[sum of (8) to (11)]</t>
  </si>
  <si>
    <t>Lack of road infrastructure</t>
  </si>
  <si>
    <t>Not known</t>
  </si>
  <si>
    <t>Transgender</t>
  </si>
  <si>
    <t>Total 
[sum of (17) to (22)]</t>
  </si>
  <si>
    <t>Grand Total [sum of (9) + (16) + (23)]</t>
  </si>
  <si>
    <t>Total [sum of (17) to (22)]</t>
  </si>
  <si>
    <t xml:space="preserve"> Total 
[sum of  (3) to (8)]</t>
  </si>
  <si>
    <t>Total [sum of (17) to (22)</t>
  </si>
  <si>
    <t>Total 
[sum of (13) to (16)]</t>
  </si>
  <si>
    <t>Grand Total (9) + (16)+(23)</t>
  </si>
  <si>
    <t>Total    [sum of (10) to (15)]</t>
  </si>
  <si>
    <t>Code</t>
  </si>
  <si>
    <t>Flood</t>
  </si>
  <si>
    <t>Age wise Distribution of Accidental Deaths by Un-Natural Causes</t>
  </si>
  <si>
    <t>Firearm</t>
  </si>
  <si>
    <r>
      <t xml:space="preserve">Deaths Due to consumption of </t>
    </r>
    <r>
      <rPr>
        <sz val="11"/>
        <color theme="1"/>
        <rFont val="Cambria"/>
        <family val="1"/>
        <scheme val="major"/>
      </rPr>
      <t>I</t>
    </r>
    <r>
      <rPr>
        <sz val="11"/>
        <color theme="1"/>
        <rFont val="Calibri"/>
        <family val="2"/>
        <scheme val="minor"/>
      </rPr>
      <t>llicit/Spurious Liquor</t>
    </r>
  </si>
  <si>
    <t>Total [sum of (4) to (6)]</t>
  </si>
  <si>
    <t>Total [sum of (8) to (10)]</t>
  </si>
  <si>
    <t>Dangerous/Over-taking/Careless/etc.</t>
  </si>
  <si>
    <t>Unmanned Railway Crossing</t>
  </si>
  <si>
    <t xml:space="preserve"> Total [sum of (4) to (6)]</t>
  </si>
  <si>
    <t>Over speeding</t>
  </si>
  <si>
    <t>Classification of Railway Accidents and Causes of Railway Accidents</t>
  </si>
  <si>
    <t>Fall from train/Collision with people at tracks</t>
  </si>
  <si>
    <t>Fault of Driver</t>
  </si>
  <si>
    <t>Other Roads</t>
  </si>
  <si>
    <t>Near religious place</t>
  </si>
  <si>
    <t>Near recreation place/cinema hall</t>
  </si>
  <si>
    <t>Road Accidents Classified According to Place of Occurence</t>
  </si>
  <si>
    <t>Place of Occurence</t>
  </si>
  <si>
    <t>No. of Cases
[col. (3)+(6)+(9)]</t>
  </si>
  <si>
    <t>No. of Persons Injured
[co. (4)+(7)+(10)]</t>
  </si>
  <si>
    <t>No. of Persons Died
[col. (5)+(8)+(11)]</t>
  </si>
  <si>
    <t>Killed in Action/Operation/ Encounters/etc.</t>
  </si>
  <si>
    <t>Grand Total [col. (7)+(12)+(17)]</t>
  </si>
  <si>
    <t>Total [sum of (13) to (16)]</t>
  </si>
  <si>
    <t>Total [sum of (8) to (11)]</t>
  </si>
  <si>
    <t xml:space="preserve"> Total [(sum of (3) to (6)]</t>
  </si>
  <si>
    <t>Deaths Due to Unnatural Causes (Except Road/Railway Accidents)</t>
  </si>
  <si>
    <t>Deaths due to Road/Railway Accidents</t>
  </si>
  <si>
    <t>Housewife</t>
  </si>
  <si>
    <t>Grand Total
[col. (9)+(16)+(23)]</t>
  </si>
  <si>
    <t xml:space="preserve"> Total [sum of  (3) to (8)]</t>
  </si>
  <si>
    <t>Grand Total 
[col. (9)+(16)+(23)]</t>
  </si>
  <si>
    <t>Bankruptcy or indebtedness</t>
  </si>
  <si>
    <t>Physical Abuse (Rape, etc.)</t>
  </si>
  <si>
    <t>Grand Total [col. (9)+(16)+(23)]</t>
  </si>
  <si>
    <t>Professionals (MBA, etc.)</t>
  </si>
  <si>
    <t xml:space="preserve"> Divorcee</t>
  </si>
  <si>
    <t xml:space="preserve"> Widowed/Widower</t>
  </si>
  <si>
    <t>StateCode</t>
  </si>
  <si>
    <t>StateList</t>
  </si>
  <si>
    <t>A&amp;N ISLCode</t>
  </si>
  <si>
    <t>A&amp;N ISLANDS</t>
  </si>
  <si>
    <t>ANDHRA Code</t>
  </si>
  <si>
    <t>ANDHRA PRADESH</t>
  </si>
  <si>
    <t>ARUNACHCode</t>
  </si>
  <si>
    <t>ARUNACHAL PRADESH</t>
  </si>
  <si>
    <t>ASSAMCode</t>
  </si>
  <si>
    <t>ASSAM</t>
  </si>
  <si>
    <t>BIHARCode</t>
  </si>
  <si>
    <t>BIHAR</t>
  </si>
  <si>
    <t>CHANDIGCode</t>
  </si>
  <si>
    <t>CHANDIGARH</t>
  </si>
  <si>
    <t>CHHATTICode</t>
  </si>
  <si>
    <t>CHHATTISGARH</t>
  </si>
  <si>
    <t>D&amp;N HAVCode</t>
  </si>
  <si>
    <t>DELHICode</t>
  </si>
  <si>
    <t>DELHI</t>
  </si>
  <si>
    <t>GOACode</t>
  </si>
  <si>
    <t>GOA</t>
  </si>
  <si>
    <t>GUJARATCode</t>
  </si>
  <si>
    <t>GUJARAT</t>
  </si>
  <si>
    <t>HARYANACode</t>
  </si>
  <si>
    <t>HARYANA</t>
  </si>
  <si>
    <t>HIMACHACode</t>
  </si>
  <si>
    <t>HIMACHAL PRADESH</t>
  </si>
  <si>
    <t>JAMMU &amp;Code</t>
  </si>
  <si>
    <t>JAMMU &amp; KASHMIR</t>
  </si>
  <si>
    <t>JHARKHACode</t>
  </si>
  <si>
    <t>JHARKHAND</t>
  </si>
  <si>
    <t>KARNATACode</t>
  </si>
  <si>
    <t>KARNATAKA</t>
  </si>
  <si>
    <t>KERALACode</t>
  </si>
  <si>
    <t>KERALA</t>
  </si>
  <si>
    <t>LAKSHADCode</t>
  </si>
  <si>
    <t>LAKSHADWEEP</t>
  </si>
  <si>
    <t>MADHYA Code</t>
  </si>
  <si>
    <t>MADHYA PRADESH</t>
  </si>
  <si>
    <t>MAHARASCode</t>
  </si>
  <si>
    <t>MAHARASHTRA</t>
  </si>
  <si>
    <t>MANIPURCode</t>
  </si>
  <si>
    <t>MANIPUR</t>
  </si>
  <si>
    <t>MEGHALACode</t>
  </si>
  <si>
    <t>MEGHALAYA</t>
  </si>
  <si>
    <t>MIZORAMCode</t>
  </si>
  <si>
    <t>MIZORAM</t>
  </si>
  <si>
    <t>NAGALANCode</t>
  </si>
  <si>
    <t>NAGALAND</t>
  </si>
  <si>
    <t>ODISHACode</t>
  </si>
  <si>
    <t>ODISHA</t>
  </si>
  <si>
    <t>PUDUCHECode</t>
  </si>
  <si>
    <t>PUDUCHERRY</t>
  </si>
  <si>
    <t>PUNJABCode</t>
  </si>
  <si>
    <t>PUNJAB</t>
  </si>
  <si>
    <t>RAJASTHCode</t>
  </si>
  <si>
    <t>RAJASTHAN</t>
  </si>
  <si>
    <t>SIKKIMCode</t>
  </si>
  <si>
    <t>SIKKIM</t>
  </si>
  <si>
    <t>TAMIL NCode</t>
  </si>
  <si>
    <t>TAMIL NADU</t>
  </si>
  <si>
    <t>TELANGACode</t>
  </si>
  <si>
    <t>TELANGANA</t>
  </si>
  <si>
    <t>TRIPURACode</t>
  </si>
  <si>
    <t>TRIPURA</t>
  </si>
  <si>
    <t>UTTAR PCode</t>
  </si>
  <si>
    <t>UTTAR PRADESH</t>
  </si>
  <si>
    <t>UTTARAKCode</t>
  </si>
  <si>
    <t>UTTARAKHAND</t>
  </si>
  <si>
    <t>WEST BECode</t>
  </si>
  <si>
    <t>WEST BENGAL</t>
  </si>
  <si>
    <t>MegaCityCode</t>
  </si>
  <si>
    <t>MegaCityName</t>
  </si>
  <si>
    <t>AMRITSAR</t>
  </si>
  <si>
    <t>AGRA</t>
  </si>
  <si>
    <t>CHENNAI</t>
  </si>
  <si>
    <t>GRP</t>
  </si>
  <si>
    <t>AHMEDABAD</t>
  </si>
  <si>
    <t>AURANGABAD</t>
  </si>
  <si>
    <t>FARIDABAD</t>
  </si>
  <si>
    <t>ALLAHABAD</t>
  </si>
  <si>
    <t>ASANSOL</t>
  </si>
  <si>
    <t>C.I.D.</t>
  </si>
  <si>
    <t>CID</t>
  </si>
  <si>
    <t>EOW</t>
  </si>
  <si>
    <t>G.R.P.</t>
  </si>
  <si>
    <t>DHANBAD</t>
  </si>
  <si>
    <t>KANNUR</t>
  </si>
  <si>
    <t>BENGALURU</t>
  </si>
  <si>
    <t>BHOPAL</t>
  </si>
  <si>
    <t>CHANDIGARH CITY</t>
  </si>
  <si>
    <t>COIMBATORE</t>
  </si>
  <si>
    <t>MALAPPURAM</t>
  </si>
  <si>
    <t>G.R.P</t>
  </si>
  <si>
    <t>DELHI CITY</t>
  </si>
  <si>
    <t>JAMSHEDPUR</t>
  </si>
  <si>
    <t>DURG-BHILAINAGAR</t>
  </si>
  <si>
    <t>KOLKATA</t>
  </si>
  <si>
    <t>GHAZIABAD</t>
  </si>
  <si>
    <t>GWALIOR</t>
  </si>
  <si>
    <t>LUDHIANA</t>
  </si>
  <si>
    <t>HYDERABAD</t>
  </si>
  <si>
    <t>RAIPUR</t>
  </si>
  <si>
    <t>INDORE</t>
  </si>
  <si>
    <t>K.G.F.</t>
  </si>
  <si>
    <t>JABALPUR</t>
  </si>
  <si>
    <t>JAIPUR</t>
  </si>
  <si>
    <t>RANCHI</t>
  </si>
  <si>
    <t>JODHPUR</t>
  </si>
  <si>
    <t>KANPUR</t>
  </si>
  <si>
    <t>R.P.O.</t>
  </si>
  <si>
    <t>KOCHI</t>
  </si>
  <si>
    <t>SRINAGAR</t>
  </si>
  <si>
    <t>KOLLAM</t>
  </si>
  <si>
    <t>KOTA</t>
  </si>
  <si>
    <t>KOZHIKODE</t>
  </si>
  <si>
    <t>LUCKNOW</t>
  </si>
  <si>
    <t>PATNA</t>
  </si>
  <si>
    <t>MADURAI</t>
  </si>
  <si>
    <t>MEERUT</t>
  </si>
  <si>
    <t>MUMBAI</t>
  </si>
  <si>
    <t>NAGPUR</t>
  </si>
  <si>
    <t>NASIK</t>
  </si>
  <si>
    <t>PUNE</t>
  </si>
  <si>
    <t>RAJKOT</t>
  </si>
  <si>
    <t>SURAT</t>
  </si>
  <si>
    <t>THIRUVANANTHAPURAM</t>
  </si>
  <si>
    <t>THRISSUR</t>
  </si>
  <si>
    <t>TIRUCHIRAPALLI</t>
  </si>
  <si>
    <t>VADODARA</t>
  </si>
  <si>
    <t>VARANASI</t>
  </si>
  <si>
    <t>VASAI VIRAR</t>
  </si>
  <si>
    <t>VIJAYAWADA</t>
  </si>
  <si>
    <t>VISHAKHAPATNAM</t>
  </si>
  <si>
    <t>Select the Name of the State / UT</t>
  </si>
  <si>
    <t>Data Year</t>
  </si>
  <si>
    <t>Select the Name of the District</t>
  </si>
  <si>
    <t>Select the name of the Mega City</t>
  </si>
  <si>
    <t>Police Station Name</t>
  </si>
  <si>
    <t>Name of the Officer preparing this report</t>
  </si>
  <si>
    <t>(Authorized Signatory)</t>
  </si>
  <si>
    <t>Whether Original / Revised data?</t>
  </si>
  <si>
    <t xml:space="preserve">Name :  </t>
  </si>
  <si>
    <t xml:space="preserve">Rank :  </t>
  </si>
  <si>
    <t>Date of Submission of this report</t>
  </si>
  <si>
    <t xml:space="preserve">Office seal :  </t>
  </si>
  <si>
    <r>
      <rPr>
        <b/>
        <u/>
        <sz val="14"/>
        <color rgb="FFFF0000"/>
        <rFont val="Calibri"/>
        <family val="2"/>
        <scheme val="minor"/>
      </rPr>
      <t>Note:</t>
    </r>
    <r>
      <rPr>
        <b/>
        <sz val="14"/>
        <color rgb="FFFF0000"/>
        <rFont val="Calibri"/>
        <family val="2"/>
        <scheme val="minor"/>
      </rPr>
      <t xml:space="preserve">    1. The output file (after data entry) must be saved in .xlsm format only.</t>
    </r>
  </si>
  <si>
    <t>2. NCRB/SCRB can not import/accept the data until the data is error free (i.e. Error count = 0)</t>
  </si>
  <si>
    <t>3. The proformae output can be printed only on LEGAL size paper.</t>
  </si>
  <si>
    <t>Errors:</t>
  </si>
  <si>
    <t>Accidental Deaths &amp; Suicides in India</t>
  </si>
  <si>
    <t xml:space="preserve"> Total [sum of  (3) to (6)]</t>
  </si>
  <si>
    <t>Widowed/Widower</t>
  </si>
  <si>
    <t>Total (sum of sl. 1 to 7)</t>
  </si>
  <si>
    <t>Total number of cases of Mass/Family Suicides</t>
  </si>
  <si>
    <t>Age group wise classification of Mass/Family Suicide Victims</t>
  </si>
  <si>
    <t>By Firearms</t>
  </si>
  <si>
    <t>Died</t>
  </si>
  <si>
    <t>Mechanical Failures (like poor design, track faults, bridge/tunnel collapse, etc.)</t>
  </si>
  <si>
    <t>Number of Accidental Deaths</t>
  </si>
  <si>
    <t>Caste Total</t>
  </si>
  <si>
    <t>Religion Total</t>
  </si>
  <si>
    <t>StateUTCityCode</t>
  </si>
  <si>
    <t>DistrictCode</t>
  </si>
  <si>
    <t>CrimeCode</t>
  </si>
  <si>
    <t>DataYear</t>
  </si>
  <si>
    <t>Male_14 and above – below 18 years</t>
  </si>
  <si>
    <t>Male_18 and above – below 30 years</t>
  </si>
  <si>
    <t>Male_30 and above – below 45 years</t>
  </si>
  <si>
    <t>Male_45 and above – below 60 years</t>
  </si>
  <si>
    <t>Male_60 years &amp; above</t>
  </si>
  <si>
    <t>Male_Total</t>
  </si>
  <si>
    <t>Female_14 and above – below 18 years</t>
  </si>
  <si>
    <t>Female_18 and above – below 30 years</t>
  </si>
  <si>
    <t>Female_30 and above – below 45 years</t>
  </si>
  <si>
    <t>Female_45 and above – below 60 years</t>
  </si>
  <si>
    <t>Female_60 years &amp; above</t>
  </si>
  <si>
    <t>Female_Total</t>
  </si>
  <si>
    <t>Trans_14 and above – below 18 years</t>
  </si>
  <si>
    <t>Trans_18 and above – below 30 years</t>
  </si>
  <si>
    <t>Trans_30 and above – below 45 years</t>
  </si>
  <si>
    <t>Trans_45 and above – below 60 years</t>
  </si>
  <si>
    <t>Trans_60 years &amp; above</t>
  </si>
  <si>
    <t>Trans_Total</t>
  </si>
  <si>
    <t>Number of Cases</t>
  </si>
  <si>
    <t>Injured_Male</t>
  </si>
  <si>
    <t>Injured_Female</t>
  </si>
  <si>
    <t>Injured_Trans</t>
  </si>
  <si>
    <t>Injured_Total</t>
  </si>
  <si>
    <t>Died_Male</t>
  </si>
  <si>
    <t>Died_Female</t>
  </si>
  <si>
    <t>Died_Trans</t>
  </si>
  <si>
    <t>Died_Total</t>
  </si>
  <si>
    <t>Victims Died_Male</t>
  </si>
  <si>
    <t>Victims Died_Female</t>
  </si>
  <si>
    <t>Victims Died_Trans</t>
  </si>
  <si>
    <t>Victims Died_Total</t>
  </si>
  <si>
    <t>Victims Injured_Male</t>
  </si>
  <si>
    <t>Victims Injured_Female</t>
  </si>
  <si>
    <t>Victims Injured_Trans</t>
  </si>
  <si>
    <t>Victims Injured_Total</t>
  </si>
  <si>
    <t>Road Accident_Cases</t>
  </si>
  <si>
    <t>Road Accident_Injured</t>
  </si>
  <si>
    <t>Road Accident_Died</t>
  </si>
  <si>
    <t>Railway Crossing_Cases</t>
  </si>
  <si>
    <t>Railway Crossing_Injured</t>
  </si>
  <si>
    <t>Railway Crossing_Died</t>
  </si>
  <si>
    <t>Railway Accident_Cases</t>
  </si>
  <si>
    <t>Railway Accident_Injured</t>
  </si>
  <si>
    <t>Railway Accident_Died</t>
  </si>
  <si>
    <t>UnMarried_Male</t>
  </si>
  <si>
    <t>UnMarried_Female</t>
  </si>
  <si>
    <t>UnMarried_Trans</t>
  </si>
  <si>
    <t>UnMarried_Total</t>
  </si>
  <si>
    <t>Married_Male</t>
  </si>
  <si>
    <t>Married_Female</t>
  </si>
  <si>
    <t>Married_Trans</t>
  </si>
  <si>
    <t>Married_Total</t>
  </si>
  <si>
    <t>Widow_Male</t>
  </si>
  <si>
    <t>Widow_Female</t>
  </si>
  <si>
    <t>Widow_Trans</t>
  </si>
  <si>
    <t>Widow_Total</t>
  </si>
  <si>
    <t>Divorce_Male</t>
  </si>
  <si>
    <t>Divorce_Female</t>
  </si>
  <si>
    <t>Divorce_Trans</t>
  </si>
  <si>
    <t>Divorce_Total</t>
  </si>
  <si>
    <t>Separated_Male</t>
  </si>
  <si>
    <t>Separated_Female</t>
  </si>
  <si>
    <t>Separated_Trans</t>
  </si>
  <si>
    <t>Separated_Total</t>
  </si>
  <si>
    <t>NotKnown_Male</t>
  </si>
  <si>
    <t>NotKnown_Female</t>
  </si>
  <si>
    <t>NotKnown_Trans</t>
  </si>
  <si>
    <t>NotKnown_Total</t>
  </si>
  <si>
    <t>Total_Male</t>
  </si>
  <si>
    <t>Total_Female</t>
  </si>
  <si>
    <t>Total_Trans</t>
  </si>
  <si>
    <t>Total_Total</t>
  </si>
  <si>
    <t>Trans</t>
  </si>
  <si>
    <t>ReligionHindu_Male</t>
  </si>
  <si>
    <t>ReligionHindu_Female</t>
  </si>
  <si>
    <t>ReligionHindu_Trans</t>
  </si>
  <si>
    <t>ReligionHindu_Total</t>
  </si>
  <si>
    <t>ReligionMuslim_Male</t>
  </si>
  <si>
    <t>ReligionMuslim_Female</t>
  </si>
  <si>
    <t>ReligionMuslim_Trans</t>
  </si>
  <si>
    <t>ReligionMuslim_Total</t>
  </si>
  <si>
    <t>ReligionChristian_Male</t>
  </si>
  <si>
    <t>ReligionChristian_Female</t>
  </si>
  <si>
    <t>ReligionChristian_Trans</t>
  </si>
  <si>
    <t>ReligionChristian_Total</t>
  </si>
  <si>
    <t>ReligionSikh_Male</t>
  </si>
  <si>
    <t>ReligionSikh_Female</t>
  </si>
  <si>
    <t>ReligionSikh_Trans</t>
  </si>
  <si>
    <t>ReligionSikh_Total</t>
  </si>
  <si>
    <t>ReligionOthers_Male</t>
  </si>
  <si>
    <t>ReligionOthers_Female</t>
  </si>
  <si>
    <t>ReligionOthers_Trans</t>
  </si>
  <si>
    <t>ReligionOthers_Total</t>
  </si>
  <si>
    <t>ReligionTotal_Male</t>
  </si>
  <si>
    <t>ReligionTotal_Female</t>
  </si>
  <si>
    <t>ReligionTotal_Trans</t>
  </si>
  <si>
    <t>ReligionTotal_Total</t>
  </si>
  <si>
    <t>CasteGeneral_Male</t>
  </si>
  <si>
    <t>CasteGeneral_Female</t>
  </si>
  <si>
    <t>CasteGeneral_Trans</t>
  </si>
  <si>
    <t>CasteGeneral_Total</t>
  </si>
  <si>
    <t>CasteOBC_Male</t>
  </si>
  <si>
    <t>CasteOBC_Female</t>
  </si>
  <si>
    <t>CasteOBC_Trans</t>
  </si>
  <si>
    <t>CasteOBC_Total</t>
  </si>
  <si>
    <t>CasteSC_Male</t>
  </si>
  <si>
    <t>CasteSC_Female</t>
  </si>
  <si>
    <t>CasteSC_Trans</t>
  </si>
  <si>
    <t>CasteSC_Total</t>
  </si>
  <si>
    <t>CasteST_Male</t>
  </si>
  <si>
    <t>CasteST_Female</t>
  </si>
  <si>
    <t>CasteST_Trans</t>
  </si>
  <si>
    <t>CasteST_Total</t>
  </si>
  <si>
    <t>CasteTotal_Male</t>
  </si>
  <si>
    <t>CasteTotal_Female</t>
  </si>
  <si>
    <t>CasteTotal_Trans</t>
  </si>
  <si>
    <t>CasteTotal_Total</t>
  </si>
  <si>
    <t>Total Cases</t>
  </si>
  <si>
    <t>GrandTotal_Male</t>
  </si>
  <si>
    <t>GrandTotal_Female</t>
  </si>
  <si>
    <t>GrandTotal_Trans</t>
  </si>
  <si>
    <t>GrandTotal_Total</t>
  </si>
  <si>
    <t>Total (sum of Sl. 1 to 15)</t>
  </si>
  <si>
    <t>Three Wheeler/Auto rickshaw</t>
  </si>
  <si>
    <t>Total (Classification) (sum of Sl. 1 to 5)</t>
  </si>
  <si>
    <t>Total (Causes) (sum of Sl. 7 to 11)</t>
  </si>
  <si>
    <t>Total (sum of Sl. 1 to 4)</t>
  </si>
  <si>
    <t>Sub-Total (Rural) (sum of Sl. 1 to 6)</t>
  </si>
  <si>
    <t>Grand Total (sum of Sl. 7 &amp; 15)</t>
  </si>
  <si>
    <t>Total (sum of Sl. 1 to 12)</t>
  </si>
  <si>
    <t>Total (sum of (Sl. 1 to 8))</t>
  </si>
  <si>
    <t>Total (sum of Sl. 1 to 10)</t>
  </si>
  <si>
    <t>VALIDATION WITH PROFORMA–II [Sl.– 9 (Accidental Fire (Total))]</t>
  </si>
  <si>
    <t xml:space="preserve"> PROFORMA–II VALUES [Sl.– 9 (Accidental Fire (Total))]</t>
  </si>
  <si>
    <t>Proforma–II(A)</t>
  </si>
  <si>
    <t>VALIDATION WITH NUMBER OF CASES</t>
  </si>
  <si>
    <t xml:space="preserve"> PROFORMA–II VALUES [Col.–(8) (Male Died)]</t>
  </si>
  <si>
    <t>VALIDATION  WITH PROFORMA-II [Col.–(8) (Male Died)]</t>
  </si>
  <si>
    <t xml:space="preserve"> PROFORMA–II VALUES [Col.–(9) (Female Died)]</t>
  </si>
  <si>
    <t>VALIDATION  WITH PROFORMA-II [Col.–(9) (Female Died)]</t>
  </si>
  <si>
    <t xml:space="preserve"> PROFORMA–II VALUES [Col.–(10) (Transgender Died)]</t>
  </si>
  <si>
    <t>VALIDATION  WITH PROFORMA-II [Col.–(10) (Transgender Died)]</t>
  </si>
  <si>
    <t xml:space="preserve"> PROFORMA–II VALUES [Col.–(11) (Total Died)]</t>
  </si>
  <si>
    <t>VALIDATION  WITH PROFORMA-II [Col.–(11) (Total Died)]</t>
  </si>
  <si>
    <t xml:space="preserve"> Total
 [sum of (4) to (6)]</t>
  </si>
  <si>
    <t>Total (sum of (4) to (6))</t>
  </si>
  <si>
    <t>Total (sum of (8) to (10))</t>
  </si>
  <si>
    <t xml:space="preserve"> PROFORMA–IV VALUES [Col.–(8) (Male Died)]</t>
  </si>
  <si>
    <t>VALIDATION  WITH PROFORMA–IV [Col.–(8) (Male Died)]</t>
  </si>
  <si>
    <t xml:space="preserve"> PROFORMA–IV VALUES [Col.–(9) (Female Died)]</t>
  </si>
  <si>
    <t>VALIDATION  WITH PROFORMA–IV [Col.–(9) (Female Died)]</t>
  </si>
  <si>
    <t xml:space="preserve"> PROFORMA–IV VALUES [Col.–(10) Transgender Died)]</t>
  </si>
  <si>
    <t>VALIDATION  WITH PROFORMA–IV [Col.–(10) Transgender Died)]</t>
  </si>
  <si>
    <t>Grand Total [Col. (9)+(16)+(23)]</t>
  </si>
  <si>
    <t xml:space="preserve"> PROFORMA–IV VALUES [Col.–(11) (Total Died)]</t>
  </si>
  <si>
    <t>VALIDATION  WITH PROFORMA–IV [Col.–(11) (Total Died)]</t>
  </si>
  <si>
    <t>Total [sum of (11) to (13)]</t>
  </si>
  <si>
    <t>Total [sum of (15) to (17)]</t>
  </si>
  <si>
    <t>Mode of Transport</t>
  </si>
  <si>
    <t>Hand Drawn Vehicle/Cycle rickshaw</t>
  </si>
  <si>
    <t>Road Accidents Classified According to classification of Road</t>
  </si>
  <si>
    <t>00:00 hrs. to 03:00 hrs. (Night)</t>
  </si>
  <si>
    <t>03:00 hrs. to 06:00 hrs. (Night)</t>
  </si>
  <si>
    <t>06:00 hrs. to 09:00 hrs. (Day)</t>
  </si>
  <si>
    <t>09:00 hrs. to 12:00 hrs. (Day)</t>
  </si>
  <si>
    <t>12:00 hrs. to 15:00 hrs. (Day)</t>
  </si>
  <si>
    <t>15:00 hrs. to  18:00 hrs. (Day)</t>
  </si>
  <si>
    <t>18:00 hrs. to 21;00 hrs. (Night)</t>
  </si>
  <si>
    <t>21:00 hrs. to 24:00 hrs. (Night)</t>
  </si>
  <si>
    <t>Details on Deaths of Central Armed Police Force (CAPF) Personnel</t>
  </si>
  <si>
    <t>Central Armed Police Force (CAPF) includes Assam Rifles (AR), Border Security Force (BSF), Central Industrial Security Force (CISF), Central Reserve Police Force (CRPF), Indo Tibetan Border Police (ITBP), National Security Guard (NSG) and Sashastra Seema Bal (SSB)</t>
  </si>
  <si>
    <t>Total (sum of Sl. 1 to 20)</t>
  </si>
  <si>
    <t>VALIDATION  WITH PROFORMA–XIV [Sl.–21 (Total)]</t>
  </si>
  <si>
    <t xml:space="preserve"> PROFORMA–XIV VALUES [Sl.–21 (Total)]</t>
  </si>
  <si>
    <t>Social and Economic Status of Suicide Victims</t>
  </si>
  <si>
    <t>Status</t>
  </si>
  <si>
    <t>Part-I: Social Status</t>
  </si>
  <si>
    <t>VALIDATION WITHIN PROFORMA–XVI (Religion vs. Caste of Victims)</t>
  </si>
  <si>
    <t>VALIDATION WITH PROFORMA–XIV [Sl.–21 (Total)]</t>
  </si>
  <si>
    <t>Part-II: Economic Status</t>
  </si>
  <si>
    <t>Total (Economic Status) (sum of Sl. 9 to 12)</t>
  </si>
  <si>
    <t>Primary (upto class–5)</t>
  </si>
  <si>
    <t>Middle (upto class–8)</t>
  </si>
  <si>
    <t>Higher Secondary/ Intermediate/ Pre-University (upto class–12)</t>
  </si>
  <si>
    <t>Diploma/ITI/Certificate</t>
  </si>
  <si>
    <t>Total (sum of Sl. 1 to 9 )</t>
  </si>
  <si>
    <t>Matriculate/Secondary (upto class–10)</t>
  </si>
  <si>
    <t>By Self Inflicting  Injury</t>
  </si>
  <si>
    <t>By Other Means</t>
  </si>
  <si>
    <t>Total (sum of Sl. 1 to 11)</t>
  </si>
  <si>
    <t>Proforma–XIX</t>
  </si>
  <si>
    <t>VALIDATION  WITH  PROFORMA–XIV [Sl.–21 (Total)]</t>
  </si>
  <si>
    <t>Distribution of Suicides of Central Armed Police Force (CAPF) Personnel by Causes</t>
  </si>
  <si>
    <t>Proforma–XXIII</t>
  </si>
  <si>
    <t>Total (sum of Sl. 2 to 7)</t>
  </si>
  <si>
    <t>VALIDATION OF TOTAL WITH PROFORMA–XIV [Sl.–21 (Total)]</t>
  </si>
  <si>
    <t>Proforma-XIV Sl.–21 (Total)</t>
  </si>
  <si>
    <t>TOTAL (Col. 11, 12, 13 &amp; 14 of Sl.–8) should be less than or equal to Sl.–21 (Total) of Proforma-XIV</t>
  </si>
  <si>
    <t>PROFORMA–XIV VALUES [Sl.–21 (Total)]</t>
  </si>
  <si>
    <t>Proforma–XVIII</t>
  </si>
  <si>
    <t>VALIDATION: SOCIAL STATUS</t>
  </si>
  <si>
    <t>VALIDATION: ECONOMIC STATUS</t>
  </si>
  <si>
    <t>ROAD ACCIDENTS TOTAL (EXCLUDING Unmanned Railway Crossing Accidents; Sl.–10)</t>
  </si>
  <si>
    <t>Errors</t>
  </si>
  <si>
    <t>Total Number of Errors</t>
  </si>
  <si>
    <t>VALIDATION  WITHIN PROFORMA–XII PART–I &amp; PART–II</t>
  </si>
  <si>
    <t>Road Accidents Classified According to Causes and Unmanned Railway Crossing Accidents</t>
  </si>
  <si>
    <t>PROFORMA–III VALUES [Sl.– 16  (Total)]</t>
  </si>
  <si>
    <t>VALIDATION  WITH PROFORMA–III [Sl.– 16 (Total)]</t>
  </si>
  <si>
    <t>PROFORMA–XVI VALUES (Religion vs. Caste of Victims)</t>
  </si>
  <si>
    <t xml:space="preserve"> PROFORMA–XVI VALUES (Religion vs. Caste of Victims)</t>
  </si>
  <si>
    <t>PROFORMA–XVII VALUES (Religion vs. Caste of Victims)</t>
  </si>
  <si>
    <t>VALIDATION WITHIN PROFORMA–XVII (Religion vs. Caste of Victims)</t>
  </si>
  <si>
    <t>PROFORMA–XVI VALUES [Sl.–8 (SOCIAL STATUS TOTAL)]</t>
  </si>
  <si>
    <t>VALIDATION WITH PROFORMA–XVI [Sl.–8 (SOCIAL STATUS TOTAL)]</t>
  </si>
  <si>
    <t>OTHER VALIDATIONS</t>
  </si>
  <si>
    <t>Religion  Total</t>
  </si>
  <si>
    <t>Proforma-XIV VALUES [Sl. 21 (Total)]</t>
  </si>
  <si>
    <t>PROFORMA–XIV VALUES</t>
  </si>
  <si>
    <t>Month wise occurence of Traffic Accidents</t>
  </si>
  <si>
    <t>No. of Cases [Col. (3)+(6)+(9)]</t>
  </si>
  <si>
    <t>No. of Persons Injured 
[Col. (4)+(7)+(10)]</t>
  </si>
  <si>
    <t>No. of Persons Died 
[Col. (5)+(8)+(11)]</t>
  </si>
  <si>
    <t>Time wise occurence of Traffic Accidents</t>
  </si>
  <si>
    <t>- All Districts -</t>
  </si>
  <si>
    <t>Nicobar</t>
  </si>
  <si>
    <t>North</t>
  </si>
  <si>
    <t>South</t>
  </si>
  <si>
    <t>Anantapur</t>
  </si>
  <si>
    <t>Chittoor</t>
  </si>
  <si>
    <t>Cuddapah</t>
  </si>
  <si>
    <t>East Godavari</t>
  </si>
  <si>
    <t>Guntur</t>
  </si>
  <si>
    <t>Guntur Urban</t>
  </si>
  <si>
    <t>Krishna</t>
  </si>
  <si>
    <t>Kurnool</t>
  </si>
  <si>
    <t>Nellore</t>
  </si>
  <si>
    <t>Prakasham</t>
  </si>
  <si>
    <t>Rajahmundry</t>
  </si>
  <si>
    <t>Srikakulam</t>
  </si>
  <si>
    <t>Tirupathi Urban</t>
  </si>
  <si>
    <t>Vijayawada City</t>
  </si>
  <si>
    <t>Visakha Rural</t>
  </si>
  <si>
    <t>Visakhapatnam</t>
  </si>
  <si>
    <t>Vizianagaram</t>
  </si>
  <si>
    <t>West Godavari</t>
  </si>
  <si>
    <t>Anjaw</t>
  </si>
  <si>
    <t>Changlang</t>
  </si>
  <si>
    <t>Crime Branch</t>
  </si>
  <si>
    <t>Dibang Valley</t>
  </si>
  <si>
    <t>Kameng East</t>
  </si>
  <si>
    <t>Kameng West</t>
  </si>
  <si>
    <t>Lohit</t>
  </si>
  <si>
    <t>Longding</t>
  </si>
  <si>
    <t>Lower Dibang Valley</t>
  </si>
  <si>
    <t>Papum Pare City</t>
  </si>
  <si>
    <t>Papum Pare Rural</t>
  </si>
  <si>
    <t>Siang East</t>
  </si>
  <si>
    <t>Siang Upper</t>
  </si>
  <si>
    <t>Siang West</t>
  </si>
  <si>
    <t>Subansiri Lower</t>
  </si>
  <si>
    <t>Subansiri Upper</t>
  </si>
  <si>
    <t>Tawang</t>
  </si>
  <si>
    <t>Tirap</t>
  </si>
  <si>
    <t>B.I.E.O</t>
  </si>
  <si>
    <t>Barpeta</t>
  </si>
  <si>
    <t>Bongaigaon</t>
  </si>
  <si>
    <t>Cachar</t>
  </si>
  <si>
    <t>Chirang</t>
  </si>
  <si>
    <t>Darrang</t>
  </si>
  <si>
    <t>Dhemaji</t>
  </si>
  <si>
    <t>Dhubri</t>
  </si>
  <si>
    <t>Dibrugarh</t>
  </si>
  <si>
    <t>Goalpara</t>
  </si>
  <si>
    <t>Golaghat</t>
  </si>
  <si>
    <t>Guwahati City</t>
  </si>
  <si>
    <t>Hailakandi</t>
  </si>
  <si>
    <t>Jorhat</t>
  </si>
  <si>
    <t>Kamrup</t>
  </si>
  <si>
    <t>Karbi Anglong</t>
  </si>
  <si>
    <t>Karimganj</t>
  </si>
  <si>
    <t>Kokrajhar</t>
  </si>
  <si>
    <t>Lakhimpur</t>
  </si>
  <si>
    <t>Morigaon</t>
  </si>
  <si>
    <t>Nagaon</t>
  </si>
  <si>
    <t>Nalbari</t>
  </si>
  <si>
    <t>S.O.U.</t>
  </si>
  <si>
    <t>S.T.F.</t>
  </si>
  <si>
    <t>Sibsagar</t>
  </si>
  <si>
    <t>Sonitpur</t>
  </si>
  <si>
    <t>Tinsukia</t>
  </si>
  <si>
    <t>Udalguri</t>
  </si>
  <si>
    <t>Araria</t>
  </si>
  <si>
    <t>Arwal</t>
  </si>
  <si>
    <t>Aurangabad</t>
  </si>
  <si>
    <t>Bagaha</t>
  </si>
  <si>
    <t>Banka</t>
  </si>
  <si>
    <t>Begusarai</t>
  </si>
  <si>
    <t>Bettiah</t>
  </si>
  <si>
    <t>Bhabhua</t>
  </si>
  <si>
    <t>Bhagalpur</t>
  </si>
  <si>
    <t>Bhojpur</t>
  </si>
  <si>
    <t>Buxar</t>
  </si>
  <si>
    <t>Darbhanga</t>
  </si>
  <si>
    <t>Gaya</t>
  </si>
  <si>
    <t>Gopalganj</t>
  </si>
  <si>
    <t>Jamui</t>
  </si>
  <si>
    <t>Jehanabad</t>
  </si>
  <si>
    <t>Katihar</t>
  </si>
  <si>
    <t>Khagaria</t>
  </si>
  <si>
    <t>Kishanganj</t>
  </si>
  <si>
    <t>Lakhisarai</t>
  </si>
  <si>
    <t>Madhepura</t>
  </si>
  <si>
    <t>Madhubani</t>
  </si>
  <si>
    <t>Motihari</t>
  </si>
  <si>
    <t>Munger</t>
  </si>
  <si>
    <t>Muzaffarpur</t>
  </si>
  <si>
    <t>Nalanda</t>
  </si>
  <si>
    <t>Naugachia</t>
  </si>
  <si>
    <t>Nawadah</t>
  </si>
  <si>
    <t>Patna</t>
  </si>
  <si>
    <t>Purnea</t>
  </si>
  <si>
    <t>Rohtas</t>
  </si>
  <si>
    <t>Saharsa</t>
  </si>
  <si>
    <t>Samastipur</t>
  </si>
  <si>
    <t>Saran</t>
  </si>
  <si>
    <t>Sheikhpura</t>
  </si>
  <si>
    <t>Sheohar</t>
  </si>
  <si>
    <t>Sitamarhi</t>
  </si>
  <si>
    <t>Siwan</t>
  </si>
  <si>
    <t>Supaul</t>
  </si>
  <si>
    <t>Vaishali</t>
  </si>
  <si>
    <t>Chandigarh</t>
  </si>
  <si>
    <t>Balod</t>
  </si>
  <si>
    <t>Balodbazar</t>
  </si>
  <si>
    <t>Balrampur</t>
  </si>
  <si>
    <t>Bemetra</t>
  </si>
  <si>
    <t>Bilaspur</t>
  </si>
  <si>
    <t>Bizapur</t>
  </si>
  <si>
    <t>Dantewara</t>
  </si>
  <si>
    <t>Dhamtari</t>
  </si>
  <si>
    <t>Durg</t>
  </si>
  <si>
    <t>Gariyaband</t>
  </si>
  <si>
    <t>Jagdalpur</t>
  </si>
  <si>
    <t>Janjgir</t>
  </si>
  <si>
    <t>Jashpur</t>
  </si>
  <si>
    <t>Kabirdham</t>
  </si>
  <si>
    <t>Kanker</t>
  </si>
  <si>
    <t>Kondagaon</t>
  </si>
  <si>
    <t>Korba</t>
  </si>
  <si>
    <t>Koria</t>
  </si>
  <si>
    <t>Koriya</t>
  </si>
  <si>
    <t>Mahasamund</t>
  </si>
  <si>
    <t>Mungali</t>
  </si>
  <si>
    <t>Narayanpur</t>
  </si>
  <si>
    <t>Raigarh</t>
  </si>
  <si>
    <t>Raipur</t>
  </si>
  <si>
    <t>Rajnandgaon</t>
  </si>
  <si>
    <t>Sarguja</t>
  </si>
  <si>
    <t>Sukma</t>
  </si>
  <si>
    <t>Surajpur</t>
  </si>
  <si>
    <t>D&amp;N Haveli</t>
  </si>
  <si>
    <t>Daman</t>
  </si>
  <si>
    <t>Diu</t>
  </si>
  <si>
    <t>Central</t>
  </si>
  <si>
    <t>East</t>
  </si>
  <si>
    <t>IGI Airport</t>
  </si>
  <si>
    <t>Metro</t>
  </si>
  <si>
    <t>New Delhi</t>
  </si>
  <si>
    <t>North-East</t>
  </si>
  <si>
    <t>North-West</t>
  </si>
  <si>
    <t>Outer</t>
  </si>
  <si>
    <t>RAILWAY</t>
  </si>
  <si>
    <t>South-East</t>
  </si>
  <si>
    <t>South-West</t>
  </si>
  <si>
    <t>Spl Cell</t>
  </si>
  <si>
    <t>SPUWAC</t>
  </si>
  <si>
    <t>Vigilance</t>
  </si>
  <si>
    <t>West</t>
  </si>
  <si>
    <t>North Goa</t>
  </si>
  <si>
    <t>South Goa</t>
  </si>
  <si>
    <t>Ahmedabad City</t>
  </si>
  <si>
    <t>Ahmedabad Rural</t>
  </si>
  <si>
    <t>Amreli</t>
  </si>
  <si>
    <t>Anand</t>
  </si>
  <si>
    <t>Arvalli</t>
  </si>
  <si>
    <t>Banaskantha</t>
  </si>
  <si>
    <t>Bharuch</t>
  </si>
  <si>
    <t>Bhavnagar</t>
  </si>
  <si>
    <t>Botad</t>
  </si>
  <si>
    <t>Chhotaudepur</t>
  </si>
  <si>
    <t>Dahod</t>
  </si>
  <si>
    <t>Dang</t>
  </si>
  <si>
    <t>Devbhumi Dwarka</t>
  </si>
  <si>
    <t>Gandhinagar</t>
  </si>
  <si>
    <t>Gir Somnath</t>
  </si>
  <si>
    <t>Jamnagar</t>
  </si>
  <si>
    <t>Junagadh</t>
  </si>
  <si>
    <t>Kachchh East(G)</t>
  </si>
  <si>
    <t>Kachchh West(B)</t>
  </si>
  <si>
    <t>Kheda</t>
  </si>
  <si>
    <t>Mahisagar</t>
  </si>
  <si>
    <t>Mehsana</t>
  </si>
  <si>
    <t>Morbi</t>
  </si>
  <si>
    <t>Narmada</t>
  </si>
  <si>
    <t>Navsari</t>
  </si>
  <si>
    <t>Panchmahal</t>
  </si>
  <si>
    <t>Patan</t>
  </si>
  <si>
    <t>Porbandar</t>
  </si>
  <si>
    <t>Rajkot City</t>
  </si>
  <si>
    <t>Rajkot Rural</t>
  </si>
  <si>
    <t>Sabarkantha</t>
  </si>
  <si>
    <t>Surat City</t>
  </si>
  <si>
    <t>Surat Rural</t>
  </si>
  <si>
    <t>Surendranagar</t>
  </si>
  <si>
    <t>Tapi</t>
  </si>
  <si>
    <t>Vadodara City</t>
  </si>
  <si>
    <t>Vadodara Rural</t>
  </si>
  <si>
    <t>Valsad</t>
  </si>
  <si>
    <t>W.Rly Ahmedabad</t>
  </si>
  <si>
    <t>W.Rly Vadodara</t>
  </si>
  <si>
    <t>Bhiwani</t>
  </si>
  <si>
    <t>Faridabad</t>
  </si>
  <si>
    <t>Fatehabad</t>
  </si>
  <si>
    <t>Gurgaon</t>
  </si>
  <si>
    <t>Hissar</t>
  </si>
  <si>
    <t>Irrigation &amp; Power</t>
  </si>
  <si>
    <t>Jhajjar</t>
  </si>
  <si>
    <t>Jind</t>
  </si>
  <si>
    <t>Kaithal</t>
  </si>
  <si>
    <t>Karnal</t>
  </si>
  <si>
    <t>Kurukshetra</t>
  </si>
  <si>
    <t>Mahendergarh</t>
  </si>
  <si>
    <t>Mewat</t>
  </si>
  <si>
    <t>Palwal</t>
  </si>
  <si>
    <t>Panchkula</t>
  </si>
  <si>
    <t>Panipat</t>
  </si>
  <si>
    <t>Rewari</t>
  </si>
  <si>
    <t>Rohtak</t>
  </si>
  <si>
    <t>Sirsa</t>
  </si>
  <si>
    <t>Sonipat</t>
  </si>
  <si>
    <t>Yamunanagar</t>
  </si>
  <si>
    <t>Baddi</t>
  </si>
  <si>
    <t>Chamba</t>
  </si>
  <si>
    <t>Hamirpur</t>
  </si>
  <si>
    <t>Kangra</t>
  </si>
  <si>
    <t>Kinnaur</t>
  </si>
  <si>
    <t>Kullu</t>
  </si>
  <si>
    <t>Lahaul &amp; Spiti</t>
  </si>
  <si>
    <t>Mandi</t>
  </si>
  <si>
    <t>Shimla</t>
  </si>
  <si>
    <t>Sirmaur</t>
  </si>
  <si>
    <t>Solan</t>
  </si>
  <si>
    <t>Una</t>
  </si>
  <si>
    <t>Anantnag</t>
  </si>
  <si>
    <t>Awantipora</t>
  </si>
  <si>
    <t>Bandipora</t>
  </si>
  <si>
    <t>Baramulla</t>
  </si>
  <si>
    <t>Budgam</t>
  </si>
  <si>
    <t>Crime Jammu</t>
  </si>
  <si>
    <t>Crime Srinagar</t>
  </si>
  <si>
    <t>Doda</t>
  </si>
  <si>
    <t>Ganderbal</t>
  </si>
  <si>
    <t>Handwara</t>
  </si>
  <si>
    <t>Jammu</t>
  </si>
  <si>
    <t>Kargil</t>
  </si>
  <si>
    <t>Kathua</t>
  </si>
  <si>
    <t>Kishtwar</t>
  </si>
  <si>
    <t>Kulgam</t>
  </si>
  <si>
    <t>Kupwara</t>
  </si>
  <si>
    <t>Leh</t>
  </si>
  <si>
    <t>Poonch</t>
  </si>
  <si>
    <t>Pulwama</t>
  </si>
  <si>
    <t>Railways Jammu</t>
  </si>
  <si>
    <t>Railways Kashmir</t>
  </si>
  <si>
    <t>Railways Katra</t>
  </si>
  <si>
    <t>Rajouri</t>
  </si>
  <si>
    <t>Ramban</t>
  </si>
  <si>
    <t>Reasi</t>
  </si>
  <si>
    <t>Samba</t>
  </si>
  <si>
    <t>Shopian</t>
  </si>
  <si>
    <t>Sopore</t>
  </si>
  <si>
    <t>Srinagar</t>
  </si>
  <si>
    <t>Udhampur</t>
  </si>
  <si>
    <t>Bokaro</t>
  </si>
  <si>
    <t>Chaibasa</t>
  </si>
  <si>
    <t>Chatra</t>
  </si>
  <si>
    <t>Deoghar</t>
  </si>
  <si>
    <t>Dhanbad</t>
  </si>
  <si>
    <t>Dumka</t>
  </si>
  <si>
    <t>Garhwa</t>
  </si>
  <si>
    <t>Giridih</t>
  </si>
  <si>
    <t>Godda</t>
  </si>
  <si>
    <t>Gumla</t>
  </si>
  <si>
    <t>Hazaribagh</t>
  </si>
  <si>
    <t>Jamshedpur</t>
  </si>
  <si>
    <t>Jamtara</t>
  </si>
  <si>
    <t>Khunti</t>
  </si>
  <si>
    <t>Koderma</t>
  </si>
  <si>
    <t>Latehar</t>
  </si>
  <si>
    <t>Lohardagga</t>
  </si>
  <si>
    <t>Pakur</t>
  </si>
  <si>
    <t>Palamu</t>
  </si>
  <si>
    <t>Ramgarh</t>
  </si>
  <si>
    <t>Ranchi</t>
  </si>
  <si>
    <t>Sahebganj</t>
  </si>
  <si>
    <t>Saraikela</t>
  </si>
  <si>
    <t>Simdega</t>
  </si>
  <si>
    <t>Bagalkot</t>
  </si>
  <si>
    <t>Bidar</t>
  </si>
  <si>
    <t>Chamarajnagar</t>
  </si>
  <si>
    <t>Chitradurga</t>
  </si>
  <si>
    <t>Davanagere</t>
  </si>
  <si>
    <t>Gadag</t>
  </si>
  <si>
    <t>Hassan</t>
  </si>
  <si>
    <t>Haveri</t>
  </si>
  <si>
    <t>Kodagu</t>
  </si>
  <si>
    <t>Kolar</t>
  </si>
  <si>
    <t>Koppal</t>
  </si>
  <si>
    <t>Mandya</t>
  </si>
  <si>
    <t>Raichur</t>
  </si>
  <si>
    <t>Railways</t>
  </si>
  <si>
    <t>Ramanagar</t>
  </si>
  <si>
    <t>Shimoga</t>
  </si>
  <si>
    <t>Udupi</t>
  </si>
  <si>
    <t>Yadgiri</t>
  </si>
  <si>
    <t>Alapuzha</t>
  </si>
  <si>
    <t>Ernakulam Commr.</t>
  </si>
  <si>
    <t>Ernakulam Rural</t>
  </si>
  <si>
    <t>Idukki</t>
  </si>
  <si>
    <t>Kasargod</t>
  </si>
  <si>
    <t>Kollam Commr.</t>
  </si>
  <si>
    <t>Kollam Rural</t>
  </si>
  <si>
    <t>Kottayam</t>
  </si>
  <si>
    <t>Kozhikode Commr.</t>
  </si>
  <si>
    <t>Kozhikode Rural</t>
  </si>
  <si>
    <t>Malappuram</t>
  </si>
  <si>
    <t>Palakkad</t>
  </si>
  <si>
    <t>Pathanamthitta</t>
  </si>
  <si>
    <t>Thrissur Commr.</t>
  </si>
  <si>
    <t>Thrissur Rural</t>
  </si>
  <si>
    <t>Trivandrum Commr.</t>
  </si>
  <si>
    <t>Trivandrum Rural</t>
  </si>
  <si>
    <t>Wayanadu</t>
  </si>
  <si>
    <t>Lakshadweep</t>
  </si>
  <si>
    <t>Agar</t>
  </si>
  <si>
    <t>Ahmednagar</t>
  </si>
  <si>
    <t>Bishnupur</t>
  </si>
  <si>
    <t>Garo Hills East</t>
  </si>
  <si>
    <t>Aizawl</t>
  </si>
  <si>
    <t>Dimapur</t>
  </si>
  <si>
    <t>Angul</t>
  </si>
  <si>
    <t>Karaikal</t>
  </si>
  <si>
    <t>Amritsar Rural</t>
  </si>
  <si>
    <t>Ajmer</t>
  </si>
  <si>
    <t>Ariyalur</t>
  </si>
  <si>
    <t>Dhalai</t>
  </si>
  <si>
    <t>Agra</t>
  </si>
  <si>
    <t>Almora</t>
  </si>
  <si>
    <t>Alirajpur</t>
  </si>
  <si>
    <t>Akola</t>
  </si>
  <si>
    <t>Chandel</t>
  </si>
  <si>
    <t>Garo Hills North</t>
  </si>
  <si>
    <t>Champhai</t>
  </si>
  <si>
    <t>Kiphire</t>
  </si>
  <si>
    <t>Balasore</t>
  </si>
  <si>
    <t>Puducherry</t>
  </si>
  <si>
    <t>Barnala</t>
  </si>
  <si>
    <t>Alwar</t>
  </si>
  <si>
    <t>Chennai</t>
  </si>
  <si>
    <t>Gomati</t>
  </si>
  <si>
    <t>Aligarh</t>
  </si>
  <si>
    <t>Bageshwar</t>
  </si>
  <si>
    <t>Anuppur</t>
  </si>
  <si>
    <t>Amravati Commr.</t>
  </si>
  <si>
    <t>Churachandpur</t>
  </si>
  <si>
    <t>Garo Hills South</t>
  </si>
  <si>
    <t>Kolasib</t>
  </si>
  <si>
    <t>Kohima</t>
  </si>
  <si>
    <t>Baragarh</t>
  </si>
  <si>
    <t>Batala</t>
  </si>
  <si>
    <t>Banswara</t>
  </si>
  <si>
    <t>Allahabad</t>
  </si>
  <si>
    <t>Chamoli</t>
  </si>
  <si>
    <t>Ashok Nagar</t>
  </si>
  <si>
    <t>Amravati Rural</t>
  </si>
  <si>
    <t>Garo Hills South West</t>
  </si>
  <si>
    <t>Lawngtlai</t>
  </si>
  <si>
    <t>Longleng</t>
  </si>
  <si>
    <t>Berhampur</t>
  </si>
  <si>
    <t>Bathinda</t>
  </si>
  <si>
    <t>Baran</t>
  </si>
  <si>
    <t>Coimbatore City</t>
  </si>
  <si>
    <t>Kowai</t>
  </si>
  <si>
    <t>Ambedkar Nagar</t>
  </si>
  <si>
    <t>Champawat</t>
  </si>
  <si>
    <t>Bankura</t>
  </si>
  <si>
    <t>Balaghat</t>
  </si>
  <si>
    <t>Aurangabad Commr.</t>
  </si>
  <si>
    <t>Imphal East</t>
  </si>
  <si>
    <t>Garo Hills West</t>
  </si>
  <si>
    <t>Lunglei</t>
  </si>
  <si>
    <t>Mokokchung</t>
  </si>
  <si>
    <t>Bhadrak</t>
  </si>
  <si>
    <t>CP Amritsar</t>
  </si>
  <si>
    <t>Barmer</t>
  </si>
  <si>
    <t>Cuddalore</t>
  </si>
  <si>
    <t>Amethi</t>
  </si>
  <si>
    <t>Dehradun</t>
  </si>
  <si>
    <t>Barrackpur PC</t>
  </si>
  <si>
    <t>Barwani</t>
  </si>
  <si>
    <t>Aurangabad Rural</t>
  </si>
  <si>
    <t>Imphal West</t>
  </si>
  <si>
    <t>Jaintia Hills East</t>
  </si>
  <si>
    <t>Mamit</t>
  </si>
  <si>
    <t>Mon</t>
  </si>
  <si>
    <t>Bolangir</t>
  </si>
  <si>
    <t>CP Jalandhar</t>
  </si>
  <si>
    <t>Bharatpur</t>
  </si>
  <si>
    <t>Dharmapuri</t>
  </si>
  <si>
    <t>Sipahijala</t>
  </si>
  <si>
    <t>Amroha</t>
  </si>
  <si>
    <t>Haridwar</t>
  </si>
  <si>
    <t>Bidhannagar PC</t>
  </si>
  <si>
    <t>Betul</t>
  </si>
  <si>
    <t>Beed</t>
  </si>
  <si>
    <t>Senapati</t>
  </si>
  <si>
    <t>Jaintia Hills West</t>
  </si>
  <si>
    <t>Saiha</t>
  </si>
  <si>
    <t>Peren</t>
  </si>
  <si>
    <t>Boudh</t>
  </si>
  <si>
    <t>CP Ludhiana</t>
  </si>
  <si>
    <t>Bhilwara</t>
  </si>
  <si>
    <t>Dindigul</t>
  </si>
  <si>
    <t>Medak</t>
  </si>
  <si>
    <t>Auraiya</t>
  </si>
  <si>
    <t>Nainital</t>
  </si>
  <si>
    <t>Birbhum</t>
  </si>
  <si>
    <t>Bhind</t>
  </si>
  <si>
    <t>Bhandara</t>
  </si>
  <si>
    <t>Tamenglong</t>
  </si>
  <si>
    <t>Khasi Hills East</t>
  </si>
  <si>
    <t>Serchhip</t>
  </si>
  <si>
    <t>Phek</t>
  </si>
  <si>
    <t>Cuttack</t>
  </si>
  <si>
    <t>Faridkot</t>
  </si>
  <si>
    <t>Bikaner</t>
  </si>
  <si>
    <t>Erode</t>
  </si>
  <si>
    <t>Nalgonda</t>
  </si>
  <si>
    <t>Unakoti</t>
  </si>
  <si>
    <t>Azamgarh</t>
  </si>
  <si>
    <t>Pauri Garhwal</t>
  </si>
  <si>
    <t>Bhopal</t>
  </si>
  <si>
    <t>Buldhana</t>
  </si>
  <si>
    <t>Thoubal</t>
  </si>
  <si>
    <t>Khasi Hills South West</t>
  </si>
  <si>
    <t>Spl Narcotic</t>
  </si>
  <si>
    <t>Tuensang</t>
  </si>
  <si>
    <t>Fatehgarh Sahib</t>
  </si>
  <si>
    <t>Bundi</t>
  </si>
  <si>
    <t>Kanchipuram</t>
  </si>
  <si>
    <t>Badaun</t>
  </si>
  <si>
    <t>Pithoragarh</t>
  </si>
  <si>
    <t>Coochbehar</t>
  </si>
  <si>
    <t>Chandrapur</t>
  </si>
  <si>
    <t>Ukhrul</t>
  </si>
  <si>
    <t>Khasi Hills West</t>
  </si>
  <si>
    <t>Spl Traffic</t>
  </si>
  <si>
    <t>Wokha</t>
  </si>
  <si>
    <t>Fazilka</t>
  </si>
  <si>
    <t>Chittorgarh</t>
  </si>
  <si>
    <t>Kanyakumari</t>
  </si>
  <si>
    <t>Baghpat</t>
  </si>
  <si>
    <t>Rudra Prayag</t>
  </si>
  <si>
    <t>Dakshin Dinajpur</t>
  </si>
  <si>
    <t>Burhanpur</t>
  </si>
  <si>
    <t>Dhule</t>
  </si>
  <si>
    <t>Ri-Bhoi</t>
  </si>
  <si>
    <t>Zunheboto</t>
  </si>
  <si>
    <t>Deogarh</t>
  </si>
  <si>
    <t>Ferozepur</t>
  </si>
  <si>
    <t>Churu</t>
  </si>
  <si>
    <t>Karur</t>
  </si>
  <si>
    <t>Bahraich</t>
  </si>
  <si>
    <t>Tehri Garhwal</t>
  </si>
  <si>
    <t>Darjeeling</t>
  </si>
  <si>
    <t>Chhatarpur</t>
  </si>
  <si>
    <t>Gadchiroli</t>
  </si>
  <si>
    <t>Dhenkanal</t>
  </si>
  <si>
    <t>Dausa</t>
  </si>
  <si>
    <t>Krishnagiri</t>
  </si>
  <si>
    <t>Ballia</t>
  </si>
  <si>
    <t>Udhamsingh Nagar</t>
  </si>
  <si>
    <t>Chhindwara</t>
  </si>
  <si>
    <t>Gondia</t>
  </si>
  <si>
    <t>Gajapati</t>
  </si>
  <si>
    <t>Gurdaspur</t>
  </si>
  <si>
    <t>Dholpur</t>
  </si>
  <si>
    <t>Madurai City</t>
  </si>
  <si>
    <t>Uttarkashi</t>
  </si>
  <si>
    <t>Damoh</t>
  </si>
  <si>
    <t>Hingoli</t>
  </si>
  <si>
    <t>Ganjam</t>
  </si>
  <si>
    <t>Hoshiarpur</t>
  </si>
  <si>
    <t>Dungarpur</t>
  </si>
  <si>
    <t>Nagapattinam</t>
  </si>
  <si>
    <t>Banda</t>
  </si>
  <si>
    <t>Jalgaon</t>
  </si>
  <si>
    <t>Jagatsinghpur</t>
  </si>
  <si>
    <t>Jalandhar Rural</t>
  </si>
  <si>
    <t>G.R.P.Ajmer</t>
  </si>
  <si>
    <t>Namakkal</t>
  </si>
  <si>
    <t>Barabanki</t>
  </si>
  <si>
    <t>Dewas</t>
  </si>
  <si>
    <t>Jalna</t>
  </si>
  <si>
    <t>Jajpur</t>
  </si>
  <si>
    <t>Kapurthala</t>
  </si>
  <si>
    <t>G.R.P.Jodhpur</t>
  </si>
  <si>
    <t>Nilgiris</t>
  </si>
  <si>
    <t>Bareilly</t>
  </si>
  <si>
    <t>Dhar</t>
  </si>
  <si>
    <t>Kolhapur</t>
  </si>
  <si>
    <t>Jharsuguda</t>
  </si>
  <si>
    <t>Khanna</t>
  </si>
  <si>
    <t>Ganganagar</t>
  </si>
  <si>
    <t>Perambalur</t>
  </si>
  <si>
    <t>Basti</t>
  </si>
  <si>
    <t>Jalpaiguri</t>
  </si>
  <si>
    <t>Dindori</t>
  </si>
  <si>
    <t>Latur</t>
  </si>
  <si>
    <t>Kalahandi</t>
  </si>
  <si>
    <t>Ludhiana Rural</t>
  </si>
  <si>
    <t>Hanumangarh</t>
  </si>
  <si>
    <t>Pudukottai</t>
  </si>
  <si>
    <t>Guna</t>
  </si>
  <si>
    <t>Mumbai Commr.</t>
  </si>
  <si>
    <t>Kandhamal</t>
  </si>
  <si>
    <t>Mansa</t>
  </si>
  <si>
    <t>Jaipur East</t>
  </si>
  <si>
    <t>Ramnathapuram</t>
  </si>
  <si>
    <t>Bijnor</t>
  </si>
  <si>
    <t>Gwalior</t>
  </si>
  <si>
    <t>Kendrapara</t>
  </si>
  <si>
    <t>Moga</t>
  </si>
  <si>
    <t>Jaipur North</t>
  </si>
  <si>
    <t>Salem City</t>
  </si>
  <si>
    <t>Bulandshahar</t>
  </si>
  <si>
    <t>Kolkata</t>
  </si>
  <si>
    <t>Harda</t>
  </si>
  <si>
    <t>Nagpur Commr.</t>
  </si>
  <si>
    <t>Keonjhar</t>
  </si>
  <si>
    <t>Muktsar</t>
  </si>
  <si>
    <t>Jaipur Rural</t>
  </si>
  <si>
    <t>Sivagangai</t>
  </si>
  <si>
    <t>Chandoli</t>
  </si>
  <si>
    <t>Malda</t>
  </si>
  <si>
    <t>Hoshangabad</t>
  </si>
  <si>
    <t>Khurda</t>
  </si>
  <si>
    <t>Pathankot</t>
  </si>
  <si>
    <t>Jaipur South</t>
  </si>
  <si>
    <t>Thanjavur</t>
  </si>
  <si>
    <t>Chitrakoot</t>
  </si>
  <si>
    <t>Indore</t>
  </si>
  <si>
    <t>Nagpur Rural</t>
  </si>
  <si>
    <t>Koraput</t>
  </si>
  <si>
    <t>Patiala</t>
  </si>
  <si>
    <t>Jaipur West</t>
  </si>
  <si>
    <t>Theni</t>
  </si>
  <si>
    <t>Nanded</t>
  </si>
  <si>
    <t>Ropar</t>
  </si>
  <si>
    <t>Jaisalmer</t>
  </si>
  <si>
    <t>Thirunelveli City</t>
  </si>
  <si>
    <t>Jabalpur</t>
  </si>
  <si>
    <t>Nandurbar</t>
  </si>
  <si>
    <t>Mayurbhanj</t>
  </si>
  <si>
    <t>Sangrur</t>
  </si>
  <si>
    <t>Jalore</t>
  </si>
  <si>
    <t>Thiruvallur</t>
  </si>
  <si>
    <t>Deoria</t>
  </si>
  <si>
    <t>Nasik Commr.</t>
  </si>
  <si>
    <t>Nayagarh</t>
  </si>
  <si>
    <t>SAS Nagar</t>
  </si>
  <si>
    <t>Jhalawar</t>
  </si>
  <si>
    <t>Thiruvannamalai</t>
  </si>
  <si>
    <t>Etah</t>
  </si>
  <si>
    <t>Purulia</t>
  </si>
  <si>
    <t>Jhabua</t>
  </si>
  <si>
    <t>Nasik Rural</t>
  </si>
  <si>
    <t>SBS Nagar</t>
  </si>
  <si>
    <t>Jhunjhunu</t>
  </si>
  <si>
    <t>Thiruvarur</t>
  </si>
  <si>
    <t>Etawah</t>
  </si>
  <si>
    <t>Katni</t>
  </si>
  <si>
    <t>Navi Mumbai</t>
  </si>
  <si>
    <t>Nuapada</t>
  </si>
  <si>
    <t>Tarn Taran</t>
  </si>
  <si>
    <t>Thoothugudi</t>
  </si>
  <si>
    <t>Faizabad</t>
  </si>
  <si>
    <t>Khandwa</t>
  </si>
  <si>
    <t>Osmanabad</t>
  </si>
  <si>
    <t>Puri</t>
  </si>
  <si>
    <t>Jodhpur Rural</t>
  </si>
  <si>
    <t>Tiruppur</t>
  </si>
  <si>
    <t>Fatehgarh</t>
  </si>
  <si>
    <t>Siliguri PC</t>
  </si>
  <si>
    <t>Palghar</t>
  </si>
  <si>
    <t>Rayagada</t>
  </si>
  <si>
    <t>Karauli</t>
  </si>
  <si>
    <t>Tiruppur City</t>
  </si>
  <si>
    <t>Fatehpur</t>
  </si>
  <si>
    <t>Mandla</t>
  </si>
  <si>
    <t>Parbhani</t>
  </si>
  <si>
    <t>Rourkela</t>
  </si>
  <si>
    <t>Kota City</t>
  </si>
  <si>
    <t>Trichy City</t>
  </si>
  <si>
    <t>Firozabad</t>
  </si>
  <si>
    <t>Mandsaur</t>
  </si>
  <si>
    <t>Pune Commr.</t>
  </si>
  <si>
    <t>Sambalpur</t>
  </si>
  <si>
    <t>Kota Rural</t>
  </si>
  <si>
    <t>Morena</t>
  </si>
  <si>
    <t>Sonepur</t>
  </si>
  <si>
    <t>Nagaur</t>
  </si>
  <si>
    <t>Vellore</t>
  </si>
  <si>
    <t>Narsinghpur</t>
  </si>
  <si>
    <t>Pune Rural</t>
  </si>
  <si>
    <t>Pali</t>
  </si>
  <si>
    <t>Villupuram</t>
  </si>
  <si>
    <t>Ghaziabad</t>
  </si>
  <si>
    <t>Neemuch</t>
  </si>
  <si>
    <t>Raigad</t>
  </si>
  <si>
    <t>Pratapgarh</t>
  </si>
  <si>
    <t>Virudhunagar</t>
  </si>
  <si>
    <t>Ghazipur</t>
  </si>
  <si>
    <t>Panna</t>
  </si>
  <si>
    <t>Ratnagiri</t>
  </si>
  <si>
    <t>Sundargarh</t>
  </si>
  <si>
    <t>Rajsamand</t>
  </si>
  <si>
    <t>Gonda</t>
  </si>
  <si>
    <t>Raisen</t>
  </si>
  <si>
    <t>Sangli</t>
  </si>
  <si>
    <t>Sawai Madhopur</t>
  </si>
  <si>
    <t>Gorakhpur</t>
  </si>
  <si>
    <t>Rajgarh</t>
  </si>
  <si>
    <t>Satara</t>
  </si>
  <si>
    <t>Sikar</t>
  </si>
  <si>
    <t>Ratlam</t>
  </si>
  <si>
    <t>Sindhudurg</t>
  </si>
  <si>
    <t>Sirohi</t>
  </si>
  <si>
    <t>Hapur</t>
  </si>
  <si>
    <t>Rewa</t>
  </si>
  <si>
    <t>Solapur Commr.</t>
  </si>
  <si>
    <t>Tonk</t>
  </si>
  <si>
    <t>Hardoi</t>
  </si>
  <si>
    <t>Sagar</t>
  </si>
  <si>
    <t>Solapur Rural</t>
  </si>
  <si>
    <t>Udaipur</t>
  </si>
  <si>
    <t>Hathras</t>
  </si>
  <si>
    <t>Satna</t>
  </si>
  <si>
    <t>Thane Commr.</t>
  </si>
  <si>
    <t>Seoni</t>
  </si>
  <si>
    <t>Thane Rural</t>
  </si>
  <si>
    <t>Jalaun</t>
  </si>
  <si>
    <t>Shahdol</t>
  </si>
  <si>
    <t>Wardha</t>
  </si>
  <si>
    <t>Jaunpur</t>
  </si>
  <si>
    <t>Shajapur</t>
  </si>
  <si>
    <t>Washim</t>
  </si>
  <si>
    <t>Jhansi</t>
  </si>
  <si>
    <t>Sheopur</t>
  </si>
  <si>
    <t>Yavatmal</t>
  </si>
  <si>
    <t>Kannauj</t>
  </si>
  <si>
    <t>Shivpuri</t>
  </si>
  <si>
    <t>Kanpur Dehat</t>
  </si>
  <si>
    <t>Sidhi</t>
  </si>
  <si>
    <t>Singrauli</t>
  </si>
  <si>
    <t>Kasganj</t>
  </si>
  <si>
    <t>Tikamgarh</t>
  </si>
  <si>
    <t>Kaushambi</t>
  </si>
  <si>
    <t>Ujjain</t>
  </si>
  <si>
    <t>Khiri</t>
  </si>
  <si>
    <t>Kushi Nagar</t>
  </si>
  <si>
    <t>Vidisha</t>
  </si>
  <si>
    <t>Lalitpur</t>
  </si>
  <si>
    <t>Maharajganj</t>
  </si>
  <si>
    <t>Mahoba</t>
  </si>
  <si>
    <t>Mainpuri</t>
  </si>
  <si>
    <t>Mathura</t>
  </si>
  <si>
    <t>Mau</t>
  </si>
  <si>
    <t>Meerut</t>
  </si>
  <si>
    <t>Mirzapur</t>
  </si>
  <si>
    <t>Moradabad</t>
  </si>
  <si>
    <t>Muzaffarnagar</t>
  </si>
  <si>
    <t>Pilibhit</t>
  </si>
  <si>
    <t>Raibareilly</t>
  </si>
  <si>
    <t>Rampur</t>
  </si>
  <si>
    <t>Saharanpur</t>
  </si>
  <si>
    <t>Sambhal</t>
  </si>
  <si>
    <t>Sant Kabirnagar</t>
  </si>
  <si>
    <t>Shahjahanpur</t>
  </si>
  <si>
    <t>Shamli</t>
  </si>
  <si>
    <t>Shrawasti</t>
  </si>
  <si>
    <t>Sidharthnagar</t>
  </si>
  <si>
    <t>Sitapur</t>
  </si>
  <si>
    <t>Sonbhadra</t>
  </si>
  <si>
    <t>St.Ravidasnagar</t>
  </si>
  <si>
    <t>Sultanpur</t>
  </si>
  <si>
    <t>Unnao</t>
  </si>
  <si>
    <t>Datia</t>
  </si>
  <si>
    <t>Khargone</t>
  </si>
  <si>
    <t>Umaria</t>
  </si>
  <si>
    <t>Male_below 14 years</t>
  </si>
  <si>
    <t>Female_below 14 years</t>
  </si>
  <si>
    <t>Trans_below 14 years</t>
  </si>
  <si>
    <t>Total Traffic_Cases</t>
  </si>
  <si>
    <t>Total Traffic_Injured</t>
  </si>
  <si>
    <t>Total Traffic_Died</t>
  </si>
  <si>
    <t>Anti Terrorist Squad</t>
  </si>
  <si>
    <t>North &amp; Middle Andaman</t>
  </si>
  <si>
    <t>Ballari</t>
  </si>
  <si>
    <t>South Andaman</t>
  </si>
  <si>
    <t>Coimbatore</t>
  </si>
  <si>
    <t>Alipurduar</t>
  </si>
  <si>
    <t>Bengaluru City</t>
  </si>
  <si>
    <t>Guntakal Railway</t>
  </si>
  <si>
    <t>Bengaluru District</t>
  </si>
  <si>
    <t>Dhanbad Railway</t>
  </si>
  <si>
    <t>Chikkaballapura</t>
  </si>
  <si>
    <t>Chikkamagaluru</t>
  </si>
  <si>
    <t>DCP BBSR</t>
  </si>
  <si>
    <t>Bhopal Railway</t>
  </si>
  <si>
    <t>DCP CTC</t>
  </si>
  <si>
    <t>GRP Raipur</t>
  </si>
  <si>
    <t>CID Crime</t>
  </si>
  <si>
    <t>Dakshina Kannada</t>
  </si>
  <si>
    <t>Dharwad</t>
  </si>
  <si>
    <t>Madurai</t>
  </si>
  <si>
    <t>Economic Offences Unit</t>
  </si>
  <si>
    <t>Jamshedpur Railway</t>
  </si>
  <si>
    <t>Vijayawada Railway</t>
  </si>
  <si>
    <t>Howrah G. R. P.</t>
  </si>
  <si>
    <t>Jamalpur Railway</t>
  </si>
  <si>
    <t>Hubballi Dharwad City</t>
  </si>
  <si>
    <t>Jhargram</t>
  </si>
  <si>
    <t>K.Railways</t>
  </si>
  <si>
    <t>Kharagpur G. R. P.</t>
  </si>
  <si>
    <t>Mumbai Railway</t>
  </si>
  <si>
    <t>Railway Chennai</t>
  </si>
  <si>
    <t>Katihar Railway</t>
  </si>
  <si>
    <t>Railway Trichy</t>
  </si>
  <si>
    <t>Nagpur Railway</t>
  </si>
  <si>
    <t>Salem</t>
  </si>
  <si>
    <t>Indore Railway</t>
  </si>
  <si>
    <t>Malkangiri</t>
  </si>
  <si>
    <t>Mangaluru City</t>
  </si>
  <si>
    <t>Mysuru City</t>
  </si>
  <si>
    <t>Jabalpur Railway</t>
  </si>
  <si>
    <t>Nabarangpur</t>
  </si>
  <si>
    <t>Mysuru District</t>
  </si>
  <si>
    <t>Sealdah G. R. P.</t>
  </si>
  <si>
    <t>Thirunelveli</t>
  </si>
  <si>
    <t>Siliguri G. R. P.</t>
  </si>
  <si>
    <t>Muzaffarpur Railway</t>
  </si>
  <si>
    <t>Tumakuru</t>
  </si>
  <si>
    <t>Uttara Kannada</t>
  </si>
  <si>
    <t>Pune Railway</t>
  </si>
  <si>
    <t>Vijayapura</t>
  </si>
  <si>
    <t>SRP(Cuttack)</t>
  </si>
  <si>
    <t>Patna Railway</t>
  </si>
  <si>
    <t>SRP(Rourkela)</t>
  </si>
  <si>
    <t>Trichy</t>
  </si>
  <si>
    <t>Sehore</t>
  </si>
  <si>
    <t>Special Unit Vigilence</t>
  </si>
  <si>
    <t>State Vigilence</t>
  </si>
  <si>
    <t>LangCode</t>
  </si>
  <si>
    <t>LangName</t>
  </si>
  <si>
    <t>English</t>
  </si>
  <si>
    <t>Hindi</t>
  </si>
  <si>
    <t>Regional Language</t>
  </si>
  <si>
    <t>Jodhpur (East)</t>
  </si>
  <si>
    <t>Jodhpur (West)</t>
  </si>
  <si>
    <t>Sub-Total (Urban) (sum of Sl. 8 to 14)</t>
  </si>
  <si>
    <t>Collapse of Structure (Total) (sum of 3.1 to 3.5)</t>
  </si>
  <si>
    <t>3.1 Collapse of Dwelling House/Residential building</t>
  </si>
  <si>
    <t>3.2 Collapse of Official/Commercial Building</t>
  </si>
  <si>
    <t>3.3 Collapse of Dam</t>
  </si>
  <si>
    <t>3.4 Collapse of  Bridge</t>
  </si>
  <si>
    <t>3.5 Others</t>
  </si>
  <si>
    <t>Drowning (Total) (sum of 4.1 to 4.3)</t>
  </si>
  <si>
    <t>4.1 Boat Capsize</t>
  </si>
  <si>
    <t>4.2 Accidental Falls into Waterbody</t>
  </si>
  <si>
    <t>4.3 Other Cases</t>
  </si>
  <si>
    <t>Accidental Explosion (Total) (sum of 6.1 to 6.4)</t>
  </si>
  <si>
    <t>6.1 Domestic Gas Cylinder</t>
  </si>
  <si>
    <t>6.2 Industrial Boiler/Gas cylinder explosion</t>
  </si>
  <si>
    <t>6.3 Ammunition explosion in Armed Forces/Police/CPMF</t>
  </si>
  <si>
    <t>6.4 Other</t>
  </si>
  <si>
    <t>7.1 Fall from Height</t>
  </si>
  <si>
    <t>7.2 Fall from Vehicles (Automobile like Bus, Trucks, etc.)</t>
  </si>
  <si>
    <t>7.4 Fall into Pit</t>
  </si>
  <si>
    <t>Falls (Total) (sum of 7.1 to 7.6)</t>
  </si>
  <si>
    <t>7.5 Fall into Borewell</t>
  </si>
  <si>
    <t>7.6 Others</t>
  </si>
  <si>
    <t>Accidental Fire (Total) (sum of 9.1 to 9.5)</t>
  </si>
  <si>
    <t>9.1 Electrical Short circuit</t>
  </si>
  <si>
    <t>9.2 Riot/Agitation</t>
  </si>
  <si>
    <t>9.3 Fireworks</t>
  </si>
  <si>
    <t>9.4 Cooking Gas cylinder/stove burst</t>
  </si>
  <si>
    <t>9.5 Other Causes</t>
  </si>
  <si>
    <t>Traffic Accidents (Total) (sum of 12.1, 12.2 and 12.3)</t>
  </si>
  <si>
    <t>12.1 Road Accidents Total (sum of 12.1.1 and 12.1.2)</t>
  </si>
  <si>
    <t>12.1.1 Which led into Road Rage incidents</t>
  </si>
  <si>
    <t>12.2 Railway Crossing Accidents</t>
  </si>
  <si>
    <t xml:space="preserve">12.3 Railway Accidents </t>
  </si>
  <si>
    <t>Accidental Fire in Vehicles (Automobiles) (Total) (sum of 9.1 to 9.3)</t>
  </si>
  <si>
    <t>9.1 Passenger Vehicle (e.g. Bus/Taxi/ Auto/etc.)</t>
  </si>
  <si>
    <t>9.2 Private Vehicle</t>
  </si>
  <si>
    <t>9.3 Goods Carriers</t>
  </si>
  <si>
    <t>1.1 Industrial Accidents</t>
  </si>
  <si>
    <t>1.2 Heart Attack</t>
  </si>
  <si>
    <t>1.3 Others</t>
  </si>
  <si>
    <t>Deaths of Women during Pregnancy (Total) (sum of 2.1 and 2.2)</t>
  </si>
  <si>
    <t>2.1 Due  to Abortions</t>
  </si>
  <si>
    <t>2.2 Due to Other accidents during Pregnancy</t>
  </si>
  <si>
    <t>Poisoning (Total) (sum of 5.1 to 5.3 &amp; 5.4 to 5.6)</t>
  </si>
  <si>
    <t>5.1 Food Poisoning</t>
  </si>
  <si>
    <t>5.2 Accidental intake of Insecticides/Pesticides</t>
  </si>
  <si>
    <t>5.3  Poisonous Gases (Total) (sum of 5.3.1 &amp; 5.3.2)</t>
  </si>
  <si>
    <t>5.3.1 Carbon Monoxide (CO) Gas</t>
  </si>
  <si>
    <t>5.3.2 Other poisonous Gases</t>
  </si>
  <si>
    <t xml:space="preserve">5.4 Snake bite </t>
  </si>
  <si>
    <t>5.5 Animal/Reptiles/Insects bite</t>
  </si>
  <si>
    <t>5.6 Other</t>
  </si>
  <si>
    <t>Profile of Accidents due to Other than Un-natural Causes</t>
  </si>
  <si>
    <t>Total (sum of Sl. 1 to 7)</t>
  </si>
  <si>
    <t>Total (sum of 7.1 &amp; 7.2)</t>
  </si>
  <si>
    <t>VALIDATION  WITH PROFORMA–II [Sl.–12.1 (Road Accidents Total)]</t>
  </si>
  <si>
    <t xml:space="preserve"> PROFORMA–II VALUES [Sl.– 12.1 (Road Accidents Total)]</t>
  </si>
  <si>
    <t>VALIDATION  WITH PROFORMA–II [Sl.– 12.1 (Road Accidents Total)]</t>
  </si>
  <si>
    <t>PROFORMA–II VALUES [Sl.– 12.1 (Road Accidents Total)]</t>
  </si>
  <si>
    <t>Weather condition (sum of 7.1 &amp; 7.2)</t>
  </si>
  <si>
    <t>7.1 Poor visibility</t>
  </si>
  <si>
    <t>7.2 Others causes of weather condition</t>
  </si>
  <si>
    <t>PROFORMA–II VALUES [Sl.– 12.1 (Road), Sl.– 12.2 (Railway Crossing) and Sl.– 12.3 (Railway) Accidents]</t>
  </si>
  <si>
    <t>VALIDATION  WITH PROFORMA–II [Sl.– 12.1 (Road), Sl.– 12.2 (Railway Crossing) and Sl.– 12.3 (Railway) Accidents]</t>
  </si>
  <si>
    <t xml:space="preserve"> PROFORMA–II VALUES [Sl.– 12.3 (Railway Accidents)]</t>
  </si>
  <si>
    <t>VALIDATION  FOR PART-I WITH PROFORMA–II [Sl.– 12.3 (Railway Accidents)]</t>
  </si>
  <si>
    <t>VALIDATION  FOR PART–II WITH PROFORMA–II [Sl.– 12.3 (Railway Accidents)]</t>
  </si>
  <si>
    <t>Total (sum of Sl. 1 to 6)</t>
  </si>
  <si>
    <t>Other/Unknown Causes</t>
  </si>
  <si>
    <t>Marriage Related Issues (sum of 2.1 to 2.5)</t>
  </si>
  <si>
    <t>2.1 Non Settlement of Marriage</t>
  </si>
  <si>
    <t>2.2 Dowry Related Issues</t>
  </si>
  <si>
    <t>2.3 Extra Marital affairs</t>
  </si>
  <si>
    <t>2.4 Divorce</t>
  </si>
  <si>
    <t>2.5 Others</t>
  </si>
  <si>
    <r>
      <rPr>
        <b/>
        <sz val="11"/>
        <color rgb="FF990099"/>
        <rFont val="Cambria"/>
        <family val="1"/>
        <scheme val="major"/>
      </rPr>
      <t>I</t>
    </r>
    <r>
      <rPr>
        <b/>
        <sz val="11"/>
        <color rgb="FF990099"/>
        <rFont val="Calibri"/>
        <family val="2"/>
        <scheme val="minor"/>
      </rPr>
      <t>llness (sum of 6.1 to 6.5)</t>
    </r>
  </si>
  <si>
    <t>6.1 AIDS/STD</t>
  </si>
  <si>
    <t>6.2 Cancer</t>
  </si>
  <si>
    <t>6.3 Paralysis</t>
  </si>
  <si>
    <t>6.4 Insanity/Mental illness</t>
  </si>
  <si>
    <t>6.5 Other prolonged illness</t>
  </si>
  <si>
    <r>
      <t>Suspected/</t>
    </r>
    <r>
      <rPr>
        <sz val="11"/>
        <color theme="1"/>
        <rFont val="Cambria"/>
        <family val="1"/>
        <scheme val="major"/>
      </rPr>
      <t>I</t>
    </r>
    <r>
      <rPr>
        <sz val="11"/>
        <color theme="1"/>
        <rFont val="Calibri"/>
        <family val="2"/>
        <scheme val="minor"/>
      </rPr>
      <t>llicit relation (other than item 2.3)</t>
    </r>
  </si>
  <si>
    <r>
      <rPr>
        <sz val="11"/>
        <color theme="1"/>
        <rFont val="Cambria"/>
        <family val="1"/>
        <scheme val="major"/>
      </rPr>
      <t>I</t>
    </r>
    <r>
      <rPr>
        <sz val="11"/>
        <color theme="1"/>
        <rFont val="Calibri"/>
        <family val="2"/>
        <scheme val="minor"/>
      </rPr>
      <t>llegitimate Pregnancy (other than item 2.3)</t>
    </r>
  </si>
  <si>
    <t>2.1. Govt.</t>
  </si>
  <si>
    <t>Govt. Servants (Total) (sum of 2.1.1 to 2.1.3)</t>
  </si>
  <si>
    <t>2.1.1 Central/UT Govt. Servants</t>
  </si>
  <si>
    <t>2.1.2 State Govt. Servants</t>
  </si>
  <si>
    <t>2.1.3 Other Statutory Body/etc.</t>
  </si>
  <si>
    <t>2.2 Private Sector Enterprises</t>
  </si>
  <si>
    <t>2.3 Public Sector Undertaking</t>
  </si>
  <si>
    <t>5.1.1 Vendor</t>
  </si>
  <si>
    <t>5.1.2 Tradesmen</t>
  </si>
  <si>
    <t>Other Unnatural Causes</t>
  </si>
  <si>
    <t>12.1.2 Other Road Accidents</t>
  </si>
  <si>
    <t>Age Wise Distribution of Accidental Deaths by Other than Un-natural Causes</t>
  </si>
  <si>
    <t>Train Collisions</t>
  </si>
  <si>
    <t>Train Derailments</t>
  </si>
  <si>
    <t>Explosion/Fire in Train</t>
  </si>
  <si>
    <t>5.2 Other Self-employed Persons</t>
  </si>
  <si>
    <t>5.1 Business (Total) (sum of 5.1.1 to 5.1.3)</t>
  </si>
  <si>
    <t>Persons engaged in Farming Sector (Total) (sum of 6.1 &amp; 6.2)</t>
  </si>
  <si>
    <t>6.1 Farmers/Cultivators (Sub-Total) (sum of 6.1.1 &amp; 6.1.2)</t>
  </si>
  <si>
    <t>6.1.1 who cultivate their own land with or without assistance of agricultural labourers</t>
  </si>
  <si>
    <t>6.1.2 who cultivate on lease land/work on lease/on other's land (known by different nomenclature) with or without assistance of agricultural labourers</t>
  </si>
  <si>
    <t>6.2 Agricultural labourers</t>
  </si>
  <si>
    <t>Total (sum of Sl. 1 to 9)</t>
  </si>
  <si>
    <r>
      <rPr>
        <b/>
        <sz val="11"/>
        <color rgb="FF0000FF"/>
        <rFont val="Times New Roman"/>
        <family val="1"/>
      </rPr>
      <t>Note2:</t>
    </r>
    <r>
      <rPr>
        <b/>
        <i/>
        <sz val="11"/>
        <color rgb="FF0000FF"/>
        <rFont val="Times New Roman"/>
        <family val="1"/>
      </rPr>
      <t xml:space="preserve"> 'Agricultural labourer' person who primarily work in farming sector (agriculture/horticulture) whose main source of income is from agriculture labour activities.</t>
    </r>
  </si>
  <si>
    <r>
      <rPr>
        <b/>
        <sz val="11"/>
        <color rgb="FF0000FF"/>
        <rFont val="Times New Roman"/>
        <family val="1"/>
      </rPr>
      <t xml:space="preserve">Disclaimer:  </t>
    </r>
    <r>
      <rPr>
        <b/>
        <i/>
        <sz val="11"/>
        <color rgb="FF0000FF"/>
        <rFont val="Times New Roman"/>
        <family val="1"/>
      </rPr>
      <t>“This data depicts only profession of persons who have committed suicide and has no linkage whatsoever regarding cause of suicide.”</t>
    </r>
  </si>
  <si>
    <t>5.1.3 Other Business</t>
  </si>
  <si>
    <t>Other Persons</t>
  </si>
  <si>
    <t>By Poison (sum of 6.1 &amp; 6.2)</t>
  </si>
  <si>
    <t>6.1 By Consuming Insecticides</t>
  </si>
  <si>
    <t>6.2 By Consuming other Poison</t>
  </si>
  <si>
    <t>By Jumping from (sum of 8.1 to 8.3)</t>
  </si>
  <si>
    <t>8.1 Building</t>
  </si>
  <si>
    <t>8.2 Other sites</t>
  </si>
  <si>
    <t>8.3 by Jumping off moving trains/ vehicles</t>
  </si>
  <si>
    <t>VALIDATION  WITH PROFORMA–XV [Sl.-6.1 Farmers/Cultivators (Sub-Total)]</t>
  </si>
  <si>
    <t>PROFORMA–XV VALUES [Sl.-6.1 Farmers/Cultivators (Sub-Total)]</t>
  </si>
  <si>
    <t xml:space="preserve">Note: Marginal (below 1 ha), Small (1 ha &amp; above – below 2 ha),  Medium (2 ha &amp; above – below 10 ha) and Large (10 ha &amp; above) Cultivators as per Agricultural Census </t>
  </si>
  <si>
    <t>Marriage Related Isuues (sum of 2.1 to 2.5)</t>
  </si>
  <si>
    <t>Service Related Issues (sum of 6.1 to 6.5)</t>
  </si>
  <si>
    <t>6.1 Physical  fatigue</t>
  </si>
  <si>
    <t>6.2 Mental Depression</t>
  </si>
  <si>
    <t>6.3 Promotion related issues</t>
  </si>
  <si>
    <t>6.4 Leave related issues</t>
  </si>
  <si>
    <t>6.5 Other service conditions</t>
  </si>
  <si>
    <t>Proforma–XIX(A)</t>
  </si>
  <si>
    <t>Marriage Related Issues (Dowry, Non settlement of marriage, divorce/extra-marital affairs etc.)</t>
  </si>
  <si>
    <r>
      <rPr>
        <sz val="11"/>
        <rFont val="Cambria"/>
        <family val="1"/>
        <scheme val="major"/>
      </rPr>
      <t>I</t>
    </r>
    <r>
      <rPr>
        <sz val="11"/>
        <rFont val="Calibri"/>
        <family val="2"/>
        <scheme val="minor"/>
      </rPr>
      <t>llness</t>
    </r>
  </si>
  <si>
    <t>Physical Abuse (rape etc.)</t>
  </si>
  <si>
    <t>Total (sum of Sl. 1 to 13)</t>
  </si>
  <si>
    <t>PROFORMA–XV VALUES [6.2 Agricultural labourers]</t>
  </si>
  <si>
    <t>VALIDATION  WITH PROFORMA–XV [6.2 Agricultural labourers]</t>
  </si>
  <si>
    <t>Total Abnormal Variations in Data</t>
  </si>
  <si>
    <t>Abnormal Variations</t>
  </si>
  <si>
    <t>SL-12.1.1 ABNORMAL VARIATION IN "ROAD RAGE INCIDENTS" DATA</t>
  </si>
  <si>
    <t>SL-15 ABNORMAL VARIATION IN "OTHER NATURAL CAUSES" DATA</t>
  </si>
  <si>
    <t>SL-14 ABNORMAL VARIATION IN "OTHER UNNATURAL CAUSES" DATA</t>
  </si>
  <si>
    <t>SL-10 ABNORMAL VARIATION IN "OTHERS" DATA</t>
  </si>
  <si>
    <t>Other Rural Area</t>
  </si>
  <si>
    <t>Other Urban Area</t>
  </si>
  <si>
    <t>SL-6 ABNORMAL VARIATION IN "OTHER RURAL AREA" DATA</t>
  </si>
  <si>
    <t>SL-14 ABNORMAL VARIATION IN "OTHER URBAN AREA" DATA</t>
  </si>
  <si>
    <t>SL-12 ABNORMAL VARIATION IN "OTHER CAUSES" DATA</t>
  </si>
  <si>
    <t>SL-11 ABNORMAL VARIATION IN "OTHER CAUSES" DATA</t>
  </si>
  <si>
    <t>Other Classifications</t>
  </si>
  <si>
    <t>SL-5 ABNORMAL VARIATION IN "OTHER CLASSIFICATIONS" DATA</t>
  </si>
  <si>
    <t>SL-6 ABNORMAL VARIATION IN "OTHER/UNKNOWN CAUSES" DATA</t>
  </si>
  <si>
    <t>SL-2.5 ABNORMAL VARIATION IN "OTHERS" DATA</t>
  </si>
  <si>
    <t>SL-6.5 ABNORMAL VARIATION IN "OTHER PROLONGED ILLNESS" DATA</t>
  </si>
  <si>
    <t>SL-19 ABNORMAL VARIATION IN "CAUSES NOT KNOWN" DATA</t>
  </si>
  <si>
    <t>SL-20 ABNORMAL VARIATION IN "OTHER CAUSES" DATA</t>
  </si>
  <si>
    <t>SL-5.1.3 ABNORMAL VARIATION IN "OTHER BUSINESS" DATA</t>
  </si>
  <si>
    <t>SL-5.2 ABNORMAL VARIATION IN "OTHER SELF-EMPLOYED PERSONS" DATA</t>
  </si>
  <si>
    <t>SL-9 ABNORMAL VARIATION IN "OTHER PERSONS" DATA</t>
  </si>
  <si>
    <t>SL-6 ABNORMAL VARIATION IN "OTHERS" DATA</t>
  </si>
  <si>
    <t>SL-7 ABNORMAL VARIATION IN "STATUS NOT KNOWN" DATA</t>
  </si>
  <si>
    <t>SL-9 ABNORMAL VARIATION IN "STATUS NOT KNOWN" DATA</t>
  </si>
  <si>
    <t>SL-6.2 ABNORMAL VARIATION IN "BY CONSUMING OTHER POISON" DATA</t>
  </si>
  <si>
    <t>SL-8.2 ABNORMAL VARIATION IN "OTHER SITES" DATA</t>
  </si>
  <si>
    <t>SL-11 ABNORMAL VARIATION IN "BY OTHER MEANS" DATA</t>
  </si>
  <si>
    <t>SL-10 ABNORMAL VARIATION IN "CAUSES NOT KNOWN" DATA</t>
  </si>
  <si>
    <t>SL-12 ABNORMAL VARIATION IN "CAUSES NOT KNOWN" DATA</t>
  </si>
  <si>
    <t>SL-13 ABNORMAL VARIATION IN "OTHER CAUSES" DATA</t>
  </si>
  <si>
    <t>SL-9 ABNORMAL VARIATION IN "NOT KNOWN" DATA</t>
  </si>
  <si>
    <t>SL-6.5 ABNORMAL VARIATION IN "OTHER SERVICE CONDITIONS" DATA</t>
  </si>
  <si>
    <t>SL-9 ABNORMAL VARIATION IN "CAUSES NOT KNOWN" DATA</t>
  </si>
  <si>
    <t>SL-10 ABNORMAL VARIATION IN "OTHER CAUSES" DATA</t>
  </si>
  <si>
    <t>Marriage Related Issues (sum of 3.1 to 3.5)</t>
  </si>
  <si>
    <t>3.1 Non Settlement of Marriage</t>
  </si>
  <si>
    <t>3.2 Dowry Related Issues</t>
  </si>
  <si>
    <t>3.3 Extra Marital affairs</t>
  </si>
  <si>
    <t>3.4 Divorce</t>
  </si>
  <si>
    <t>Farming related Issues (sum of 5.1 &amp; 5.2)</t>
  </si>
  <si>
    <t>5.1 Failure of  Crop (sum of 5.1.1 &amp; 5.1.2)</t>
  </si>
  <si>
    <t>5.1.1 Due to Natural Calamities</t>
  </si>
  <si>
    <t>5.1.2 Due to Other reasons</t>
  </si>
  <si>
    <t>5.2 Inability to Sell</t>
  </si>
  <si>
    <t>SL-11 ABNORMAL VARIATION IN "CAUSES NOT KNOWN" DATA</t>
  </si>
  <si>
    <t>Self-employed Persons (Total) 
(sum of 5.1 &amp; 5.2)</t>
  </si>
  <si>
    <t>Fire in the factories (other than Sl.-6)</t>
  </si>
  <si>
    <t>Professional/Salaried Persons (Total) (sum of 2.1 to 2.3)</t>
  </si>
  <si>
    <t>Marginal Farmers (sum of 1.1 &amp; 1.2)</t>
  </si>
  <si>
    <t>1.1 Irrigated</t>
  </si>
  <si>
    <t>1.2 Un-irrigated</t>
  </si>
  <si>
    <t>Small Farmers (sum of 2.1 &amp; 2.2)</t>
  </si>
  <si>
    <t>2.1 Irrigated</t>
  </si>
  <si>
    <t>2.2 Un-irrigated</t>
  </si>
  <si>
    <t>Medium  Farmers (sum of 3.1 &amp; 3.2)</t>
  </si>
  <si>
    <t>3.1 Irrigated</t>
  </si>
  <si>
    <t>3.2 Un-irrigated</t>
  </si>
  <si>
    <t>Large  Farmers (sum of 4.1 &amp; 4.2)</t>
  </si>
  <si>
    <t>4.1 Irrigated</t>
  </si>
  <si>
    <t>4.2 Un-irrigated</t>
  </si>
  <si>
    <t>Baksa</t>
  </si>
  <si>
    <t>Hamren</t>
  </si>
  <si>
    <t>Dima Hasao</t>
  </si>
  <si>
    <t>Sadia</t>
  </si>
  <si>
    <t>Majuli</t>
  </si>
  <si>
    <t>Biswanath</t>
  </si>
  <si>
    <t>Hojai</t>
  </si>
  <si>
    <t>South Salmara</t>
  </si>
  <si>
    <t>SL-15 ABNORMAL VARIATION IN "CAUSES NOT KNOWN" DATA</t>
  </si>
  <si>
    <t>Bankruptcy or Indebtedness (sum of 9.1 to 9.3)</t>
  </si>
  <si>
    <t>9.1 Bankruptcy or Indebtedness due to Loan taken from Financial Institutions like Bank/Registered Micro Financial Institutions</t>
  </si>
  <si>
    <t>9.2 Due to loan taken from Money Lenders/ Non-Financial Institutions</t>
  </si>
  <si>
    <t>9.3 Due to loan taken from both Financial Institutions as well as Money Lenders/Non-Financial Institutions</t>
  </si>
  <si>
    <t>Kurung Kumey</t>
  </si>
  <si>
    <t>Namsai</t>
  </si>
  <si>
    <t>Siang</t>
  </si>
  <si>
    <t>Belagavi District</t>
  </si>
  <si>
    <t>Belagavi City</t>
  </si>
  <si>
    <t>Sudden Deaths (Total) (sum of 1.1 to 1.3)</t>
  </si>
  <si>
    <t>VALIDATION  WITH PROFORMA–II [Sl.– 12.2 (Railway Crossing) with "Unmanned Railway Crossing"]</t>
  </si>
  <si>
    <t>SL-13 ABNORMAL VARIATION IN "PEDESTRIAN CROSSING" DATA WITH PROFORMA-VI "PEDESTRIAN" DATA</t>
  </si>
  <si>
    <t>SL-1 ABNORMAL VARIATION IN "TRAIN COLLISIONS" DATA</t>
  </si>
  <si>
    <t>SL-2 ABNORMAL VARIATION IN "TRAIN DERAILMENTS" DATA</t>
  </si>
  <si>
    <t>ADSI v3.0</t>
  </si>
  <si>
    <t>Place of occurrence refers to the nearest point from the spot of accident occurred.</t>
  </si>
  <si>
    <r>
      <rPr>
        <b/>
        <sz val="11"/>
        <color rgb="FF0000FF"/>
        <rFont val="Times New Roman"/>
        <family val="1"/>
      </rPr>
      <t>Note1:</t>
    </r>
    <r>
      <rPr>
        <b/>
        <i/>
        <sz val="11"/>
        <color rgb="FF0000FF"/>
        <rFont val="Times New Roman"/>
        <family val="1"/>
      </rPr>
      <t xml:space="preserve"> 'Farmer/Cultivator' are those whose profession is farming and include those who cultivate on their own land as well as those who cultivate on leased land/other's land with or without the assistance of agricultural labourers irrespective of causes of suicides.</t>
    </r>
  </si>
  <si>
    <t>less than Rs. 1 lakh</t>
  </si>
  <si>
    <t>Rs. 1 lakh &amp; above – less than Rs. 5 lakhs</t>
  </si>
  <si>
    <t>Rs. 5 lakhs &amp; above – less than Rs. 10 lakhs</t>
  </si>
  <si>
    <t>Rs. 10 lakhs and above</t>
  </si>
  <si>
    <t>Cause-wise distribution of suicides committed by Farmers/Cultivators</t>
  </si>
  <si>
    <t>Cause-wise distribution of suicides committed by Agricultural Labourers</t>
  </si>
  <si>
    <t>Bankruptcy or Indebtedness from  Non-Financial Institutions/Money Lenders</t>
  </si>
  <si>
    <t>Bankruptcy or Indebtedness from Financial Institutions</t>
  </si>
  <si>
    <t>Educational Status-wise distribution of suicides committed by Farmers/Cultivators</t>
  </si>
  <si>
    <t>Note: If causes of suicides is found as more than one, the most immediate cause of suicides should be considered.</t>
  </si>
  <si>
    <t>Land Holding Status-wise distribution of  suicides committed by Farmers/Cultivators</t>
  </si>
  <si>
    <t>Cause-wise distribution of Un-natural Accidents</t>
  </si>
  <si>
    <t>Abnormal Variations/Re-check</t>
  </si>
  <si>
    <t>(Proformae Revision year 2016)</t>
  </si>
  <si>
    <r>
      <t xml:space="preserve">VALIDATION WITHIN PROFORMA–XVI (Social &amp; Economic Status with Religion &amp; Caste) </t>
    </r>
    <r>
      <rPr>
        <b/>
        <sz val="11"/>
        <color rgb="FFC00000"/>
        <rFont val="Calibri"/>
        <family val="2"/>
        <scheme val="minor"/>
      </rPr>
      <t>[Column (23), (24), (25), (26) with Column (43), (44), (45), (46)]</t>
    </r>
  </si>
  <si>
    <r>
      <t xml:space="preserve">VALIDATION WITHIN PROFORMA–XVII (Educational Status with Religion &amp; Caste) </t>
    </r>
    <r>
      <rPr>
        <b/>
        <sz val="11"/>
        <color rgb="FFC00000"/>
        <rFont val="Calibri"/>
        <family val="2"/>
        <scheme val="minor"/>
      </rPr>
      <t>[Column (23), (24), (25), (26) with Column (43), (44), (45), (46)]</t>
    </r>
  </si>
  <si>
    <t>Jaipur Metro</t>
  </si>
  <si>
    <t>DISCOM</t>
  </si>
  <si>
    <t>SCRB</t>
  </si>
  <si>
    <t>SOG</t>
  </si>
  <si>
    <t>SSB</t>
  </si>
  <si>
    <t>Charaideo</t>
  </si>
  <si>
    <t>Badhradhri Kothagudem</t>
  </si>
  <si>
    <t>Jagityal</t>
  </si>
  <si>
    <t>Jayashankar Bhupalpalli</t>
  </si>
  <si>
    <t>Jogulamba Gadwal</t>
  </si>
  <si>
    <t>Mahabubbad</t>
  </si>
  <si>
    <t>Mahabubnagar</t>
  </si>
  <si>
    <t>Nagarkurnool</t>
  </si>
  <si>
    <t>Nirmal</t>
  </si>
  <si>
    <t>Rajanna Siricilla</t>
  </si>
  <si>
    <t>Suryapet</t>
  </si>
  <si>
    <t>Vikarabad</t>
  </si>
  <si>
    <t>Wanaparthy</t>
  </si>
  <si>
    <t>30</t>
  </si>
  <si>
    <t xml:space="preserve">Adilabad </t>
  </si>
  <si>
    <t>Cyberabad Commissionerate</t>
  </si>
  <si>
    <t>Hyderabad Commissionerate</t>
  </si>
  <si>
    <t xml:space="preserve">Kamareddy </t>
  </si>
  <si>
    <t>Karimnagar Commissionerate</t>
  </si>
  <si>
    <t>Khammam Commissionerate</t>
  </si>
  <si>
    <t>Komarmbheem Asifabad</t>
  </si>
  <si>
    <t>Nizamabad Commissionerate</t>
  </si>
  <si>
    <t>Rachakonda Commissionerate</t>
  </si>
  <si>
    <t>Railway Police Secunderabad</t>
  </si>
  <si>
    <t>Ramagundam Commissionerate</t>
  </si>
  <si>
    <t>Sangareddy</t>
  </si>
  <si>
    <t>Siddipet Commissionerate</t>
  </si>
  <si>
    <t>Warangal Commissionerate</t>
  </si>
  <si>
    <t>Asansol-Durgapur PC</t>
  </si>
  <si>
    <t xml:space="preserve">Baruipur Police </t>
  </si>
  <si>
    <t>Chandannagar PC</t>
  </si>
  <si>
    <t>Diamond Harbour Police</t>
  </si>
  <si>
    <t>Hooghly Rural Police</t>
  </si>
  <si>
    <t>Howrah PC</t>
  </si>
  <si>
    <t>Howrah Rural</t>
  </si>
  <si>
    <t>Kalimpong</t>
  </si>
  <si>
    <t>Paschim Medinipur</t>
  </si>
  <si>
    <t>Purab Medinipur</t>
  </si>
  <si>
    <t>Purba Bardhaman</t>
  </si>
  <si>
    <t>D&amp;N HAVELI AND DAMAN&amp;DIU</t>
  </si>
  <si>
    <t>LADAKHCode</t>
  </si>
  <si>
    <t>LADAKH</t>
  </si>
  <si>
    <t>Ambala</t>
  </si>
  <si>
    <t>Chengalpattu</t>
  </si>
  <si>
    <t>Dwarka</t>
  </si>
  <si>
    <t>Charkhi Dadri</t>
  </si>
  <si>
    <t>Hnahthial</t>
  </si>
  <si>
    <t>Khawzawl</t>
  </si>
  <si>
    <t>Barasat Police District</t>
  </si>
  <si>
    <t>Aurangabad Railway</t>
  </si>
  <si>
    <t>D&amp;N HAVELI AND DAMAN &amp; DIU</t>
  </si>
  <si>
    <t>Kamle</t>
  </si>
  <si>
    <t>Jiribam</t>
  </si>
  <si>
    <t>Basirhat Police District</t>
  </si>
  <si>
    <t>Kra Daadi</t>
  </si>
  <si>
    <t>Hansi</t>
  </si>
  <si>
    <t>Kakching</t>
  </si>
  <si>
    <t>Bhiwadi</t>
  </si>
  <si>
    <t>Kamjong</t>
  </si>
  <si>
    <t>Lepa Rada</t>
  </si>
  <si>
    <t>Kangpokpi</t>
  </si>
  <si>
    <t>Saitual</t>
  </si>
  <si>
    <t>Kallakurichi</t>
  </si>
  <si>
    <t>Bongaon Police District</t>
  </si>
  <si>
    <t>Gaurela-Pendra-Marwahi</t>
  </si>
  <si>
    <t>Noney</t>
  </si>
  <si>
    <t>Pherzawl</t>
  </si>
  <si>
    <t>Outer North</t>
  </si>
  <si>
    <t>Lower Siang</t>
  </si>
  <si>
    <t>Rohini</t>
  </si>
  <si>
    <t>Tengnoupal</t>
  </si>
  <si>
    <t>Mulug</t>
  </si>
  <si>
    <t>Pakke Kessang</t>
  </si>
  <si>
    <t>Shahdara</t>
  </si>
  <si>
    <t>Mayiladuthurai</t>
  </si>
  <si>
    <t>Narayanpet</t>
  </si>
  <si>
    <t>Shiyomi</t>
  </si>
  <si>
    <t>Mira Bhayandar Vasai Virar</t>
  </si>
  <si>
    <t>Islampore Police District</t>
  </si>
  <si>
    <t>Kalaburagi</t>
  </si>
  <si>
    <t>Jaipur Crime</t>
  </si>
  <si>
    <t>Kalaburagi City</t>
  </si>
  <si>
    <t>Jangipur Police District</t>
  </si>
  <si>
    <t>Ranipet</t>
  </si>
  <si>
    <t>Krishna Nagar Police District</t>
  </si>
  <si>
    <t>Murshidabad Police District</t>
  </si>
  <si>
    <t>Tenkasi</t>
  </si>
  <si>
    <t>Pimpri Chinchwad City</t>
  </si>
  <si>
    <t>Raiganj Police District</t>
  </si>
  <si>
    <t>Ranaghat Police District</t>
  </si>
  <si>
    <t>Niwari</t>
  </si>
  <si>
    <t>Tiruppattur</t>
  </si>
  <si>
    <t>Sundarban Police District</t>
  </si>
  <si>
    <t>7.3 Fall into Manhole / Sewer</t>
  </si>
  <si>
    <t>Lucknow Grameen</t>
  </si>
  <si>
    <t>Lucknow Commissionerate</t>
  </si>
  <si>
    <t>Gautambudh Nagar Commissionerate</t>
  </si>
  <si>
    <t>Data Entry Module v4.0</t>
  </si>
  <si>
    <t>Number of Persons Travelling in the Involved mode of Transport</t>
  </si>
  <si>
    <t>Truck/Lorry/Mini Truck</t>
  </si>
  <si>
    <t>SUV / Car / Jeep / etc.</t>
  </si>
  <si>
    <t>5.1 Passenger Carriers</t>
  </si>
  <si>
    <t>5.2 Goods Carriers</t>
  </si>
  <si>
    <t>Sub-Total (sum of Sl. 1 to 7)</t>
  </si>
  <si>
    <t>Sub-Total (sum of Sl. 9 to 13)</t>
  </si>
  <si>
    <t xml:space="preserve"> Total</t>
  </si>
  <si>
    <t>VALIDATION FOR INJURED and DIED [sum of Offending Driver/Pedestrian and Victims]</t>
  </si>
  <si>
    <t>SL-7 ABNORMAL VARIATION  IN "OTHER MOTOR VEHICLES" DATA</t>
  </si>
  <si>
    <t>SL-12 ABNORMAL VARIATION  IN "PEDESTRIAN" DATA</t>
  </si>
  <si>
    <t>Kannur City</t>
  </si>
  <si>
    <t>Kannur Rural</t>
  </si>
  <si>
    <t>Kanpur Commissionerate</t>
  </si>
  <si>
    <t>Varanasi Commissionerate</t>
  </si>
  <si>
    <t>Kanpur Outer</t>
  </si>
  <si>
    <t>Varanasi Dehat</t>
  </si>
  <si>
    <t>SL-12 ABNORMAL VARIATION  IN "OTHERS" DATA</t>
  </si>
  <si>
    <t>Total (sum of Sl. 8 &amp; 14)</t>
  </si>
  <si>
    <t>Malerkotla</t>
  </si>
  <si>
    <t>Consolidation Status</t>
  </si>
  <si>
    <t>(File generated on 22-04-2022 11:02:33)</t>
  </si>
  <si>
    <t>SNo</t>
  </si>
  <si>
    <t>StateName</t>
  </si>
  <si>
    <t>DistCode</t>
  </si>
  <si>
    <t>DistName</t>
  </si>
  <si>
    <t>MCityCode</t>
  </si>
  <si>
    <t>MCityName</t>
  </si>
  <si>
    <t>PSName</t>
  </si>
  <si>
    <t>TotalError</t>
  </si>
  <si>
    <t>TotalVariation</t>
  </si>
  <si>
    <t>FileName</t>
  </si>
  <si>
    <t>DateOn</t>
  </si>
  <si>
    <t>2021</t>
  </si>
  <si>
    <t>6</t>
  </si>
  <si>
    <t>3</t>
  </si>
  <si>
    <t>-</t>
  </si>
  <si>
    <t>0</t>
  </si>
  <si>
    <t>4</t>
  </si>
  <si>
    <t>D:\ADSI 2021\CID DIST.xlsm</t>
  </si>
  <si>
    <t>22-04-2022 11:01:40</t>
  </si>
  <si>
    <t>1</t>
  </si>
  <si>
    <t>47</t>
  </si>
  <si>
    <t>D:\ADSI 2021\NORTH DIST.xlsm</t>
  </si>
  <si>
    <t>22-04-2022 11:01:42</t>
  </si>
  <si>
    <t>2</t>
  </si>
  <si>
    <t>46</t>
  </si>
  <si>
    <t>D:\ADSI 2021\SOUTH DIST.xlsm</t>
  </si>
  <si>
    <t>22-04-2022 11:01:44</t>
  </si>
  <si>
    <t>Original data</t>
  </si>
  <si>
    <t>Shri Bossuet Silva, GPS</t>
  </si>
  <si>
    <t>Superintendent of Police, SCRB, GOA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</si>
</sst>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m\-yyyy\ \ \ h:mm\ AM/PM"/>
    <numFmt numFmtId="165" formatCode="dd/mmm/yyyy"/>
    <numFmt numFmtId="166" formatCode="0.0"/>
  </numFmts>
  <fonts count="73" x14ac:knownFonts="1">
    <font>
      <sz val="11"/>
      <color theme="1"/>
      <name val="Calibri"/>
      <family val="2"/>
      <scheme val="minor"/>
    </font>
    <font>
      <b/>
      <sz val="12"/>
      <color theme="1"/>
      <name val="Times New Roman"/>
      <family val="1"/>
    </font>
    <font>
      <sz val="12"/>
      <color theme="1"/>
      <name val="Calibri"/>
      <family val="2"/>
      <scheme val="minor"/>
    </font>
    <font>
      <b/>
      <sz val="11"/>
      <color theme="1"/>
      <name val="Calibri"/>
      <family val="2"/>
      <scheme val="minor"/>
    </font>
    <font>
      <b/>
      <sz val="12"/>
      <color indexed="8"/>
      <name val="Calibri"/>
      <family val="2"/>
      <scheme val="minor"/>
    </font>
    <font>
      <b/>
      <sz val="11"/>
      <color indexed="8"/>
      <name val="Calibri"/>
      <family val="2"/>
      <scheme val="minor"/>
    </font>
    <font>
      <sz val="11"/>
      <color indexed="8"/>
      <name val="Calibri"/>
      <family val="2"/>
      <scheme val="minor"/>
    </font>
    <font>
      <sz val="9"/>
      <color theme="1"/>
      <name val="Calibri"/>
      <family val="2"/>
      <scheme val="minor"/>
    </font>
    <font>
      <b/>
      <sz val="9"/>
      <color theme="1"/>
      <name val="Calibri"/>
      <family val="2"/>
      <scheme val="minor"/>
    </font>
    <font>
      <sz val="11"/>
      <color theme="1"/>
      <name val="Calibri"/>
      <family val="2"/>
      <scheme val="minor"/>
    </font>
    <font>
      <b/>
      <sz val="12"/>
      <color rgb="FFC00000"/>
      <name val="Cambria"/>
      <family val="1"/>
      <scheme val="major"/>
    </font>
    <font>
      <b/>
      <sz val="12"/>
      <color indexed="8"/>
      <name val="Cambria"/>
      <family val="1"/>
      <scheme val="major"/>
    </font>
    <font>
      <sz val="11"/>
      <color theme="1"/>
      <name val="Cambria"/>
      <family val="1"/>
      <scheme val="major"/>
    </font>
    <font>
      <b/>
      <sz val="11"/>
      <color rgb="FFC00000"/>
      <name val="Calibri"/>
      <family val="2"/>
      <scheme val="minor"/>
    </font>
    <font>
      <sz val="11"/>
      <color rgb="FFC00000"/>
      <name val="Calibri"/>
      <family val="2"/>
      <scheme val="minor"/>
    </font>
    <font>
      <b/>
      <sz val="11"/>
      <color rgb="FFC00000"/>
      <name val="Cambria"/>
      <family val="1"/>
      <scheme val="major"/>
    </font>
    <font>
      <sz val="11"/>
      <color theme="0"/>
      <name val="Calibri"/>
      <family val="2"/>
      <scheme val="minor"/>
    </font>
    <font>
      <b/>
      <sz val="9"/>
      <color rgb="FF000000"/>
      <name val="Calibri"/>
      <family val="2"/>
      <scheme val="minor"/>
    </font>
    <font>
      <b/>
      <sz val="9"/>
      <color rgb="FF000000"/>
      <name val="Calibri"/>
      <family val="2"/>
    </font>
    <font>
      <b/>
      <sz val="10"/>
      <color rgb="FF000000"/>
      <name val="Calibri"/>
      <family val="2"/>
    </font>
    <font>
      <sz val="10"/>
      <color rgb="FF000000"/>
      <name val="Calibri"/>
      <family val="2"/>
      <scheme val="minor"/>
    </font>
    <font>
      <sz val="10"/>
      <color rgb="FF000000"/>
      <name val="Calibri"/>
      <family val="2"/>
    </font>
    <font>
      <b/>
      <sz val="28"/>
      <color rgb="FF3333CC"/>
      <name val="Calibri"/>
      <family val="2"/>
      <scheme val="minor"/>
    </font>
    <font>
      <b/>
      <sz val="14"/>
      <color rgb="FF3333CC"/>
      <name val="Calibri"/>
      <family val="2"/>
      <scheme val="minor"/>
    </font>
    <font>
      <b/>
      <sz val="18"/>
      <color rgb="FF006600"/>
      <name val="Calibri"/>
      <family val="2"/>
      <scheme val="minor"/>
    </font>
    <font>
      <b/>
      <sz val="11"/>
      <name val="Calibri"/>
      <family val="2"/>
      <scheme val="minor"/>
    </font>
    <font>
      <b/>
      <sz val="11"/>
      <color rgb="FFFF0000"/>
      <name val="Calibri"/>
      <family val="2"/>
      <scheme val="minor"/>
    </font>
    <font>
      <b/>
      <sz val="14"/>
      <color rgb="FFFF0000"/>
      <name val="Calibri"/>
      <family val="2"/>
      <scheme val="minor"/>
    </font>
    <font>
      <b/>
      <u/>
      <sz val="14"/>
      <color rgb="FFFF0000"/>
      <name val="Calibri"/>
      <family val="2"/>
      <scheme val="minor"/>
    </font>
    <font>
      <b/>
      <sz val="12"/>
      <color rgb="FFC00000"/>
      <name val="Calibri"/>
      <family val="2"/>
      <scheme val="minor"/>
    </font>
    <font>
      <b/>
      <sz val="14"/>
      <color rgb="FFC00000"/>
      <name val="Calibri"/>
      <family val="2"/>
      <scheme val="minor"/>
    </font>
    <font>
      <b/>
      <u/>
      <sz val="11"/>
      <color rgb="FFFF0000"/>
      <name val="Calibri"/>
      <family val="2"/>
      <scheme val="minor"/>
    </font>
    <font>
      <b/>
      <sz val="8"/>
      <color theme="1"/>
      <name val="Arial Narrow"/>
      <family val="2"/>
    </font>
    <font>
      <sz val="8"/>
      <color theme="1"/>
      <name val="Arial Narrow"/>
      <family val="2"/>
    </font>
    <font>
      <b/>
      <sz val="10"/>
      <color theme="1"/>
      <name val="Arial Narrow"/>
      <family val="2"/>
    </font>
    <font>
      <sz val="11"/>
      <name val="Calibri"/>
      <family val="2"/>
      <scheme val="minor"/>
    </font>
    <font>
      <sz val="10"/>
      <color indexed="8"/>
      <name val="Calibri"/>
      <family val="2"/>
      <scheme val="minor"/>
    </font>
    <font>
      <sz val="10"/>
      <color indexed="8"/>
      <name val="Arial"/>
      <family val="2"/>
    </font>
    <font>
      <sz val="11"/>
      <color indexed="8"/>
      <name val="Calibri"/>
      <family val="2"/>
    </font>
    <font>
      <sz val="10"/>
      <color indexed="8"/>
      <name val="Arial"/>
      <family val="2"/>
    </font>
    <font>
      <sz val="11"/>
      <color theme="9" tint="0.59999389629810485"/>
      <name val="Calibri"/>
      <family val="2"/>
      <scheme val="minor"/>
    </font>
    <font>
      <b/>
      <sz val="11"/>
      <color theme="9" tint="0.59999389629810485"/>
      <name val="Calibri"/>
      <family val="2"/>
      <scheme val="minor"/>
    </font>
    <font>
      <b/>
      <sz val="11"/>
      <color rgb="FF0000FF"/>
      <name val="Calibri"/>
      <family val="2"/>
      <scheme val="minor"/>
    </font>
    <font>
      <b/>
      <sz val="10"/>
      <color theme="1"/>
      <name val="Times New Roman"/>
      <family val="1"/>
    </font>
    <font>
      <b/>
      <sz val="11"/>
      <color rgb="FF0000FF"/>
      <name val="Times New Roman"/>
      <family val="1"/>
    </font>
    <font>
      <b/>
      <i/>
      <sz val="11"/>
      <color rgb="FF0000FF"/>
      <name val="Times New Roman"/>
      <family val="1"/>
    </font>
    <font>
      <b/>
      <sz val="12"/>
      <color rgb="FF0000FF"/>
      <name val="Cambria"/>
      <family val="1"/>
      <scheme val="major"/>
    </font>
    <font>
      <b/>
      <sz val="12"/>
      <color rgb="FFFF0000"/>
      <name val="Cambria"/>
      <family val="1"/>
      <scheme val="major"/>
    </font>
    <font>
      <sz val="12"/>
      <color theme="1"/>
      <name val="Cambria"/>
      <family val="1"/>
      <scheme val="major"/>
    </font>
    <font>
      <b/>
      <sz val="11"/>
      <color rgb="FF0000FF"/>
      <name val="Cambria"/>
      <family val="1"/>
      <scheme val="major"/>
    </font>
    <font>
      <b/>
      <sz val="14"/>
      <color rgb="FFFF0000"/>
      <name val="Cambria"/>
      <family val="1"/>
      <scheme val="major"/>
    </font>
    <font>
      <b/>
      <sz val="12"/>
      <color theme="9" tint="0.59999389629810485"/>
      <name val="Calibri"/>
      <family val="2"/>
      <scheme val="minor"/>
    </font>
    <font>
      <b/>
      <sz val="11"/>
      <color indexed="39"/>
      <name val="Cambria"/>
      <family val="1"/>
      <scheme val="major"/>
    </font>
    <font>
      <sz val="11"/>
      <color rgb="FF0000FF"/>
      <name val="Calibri"/>
      <family val="2"/>
      <scheme val="minor"/>
    </font>
    <font>
      <b/>
      <sz val="10"/>
      <color rgb="FF0000FF"/>
      <name val="Calibri"/>
      <family val="2"/>
      <scheme val="minor"/>
    </font>
    <font>
      <sz val="10"/>
      <color theme="1"/>
      <name val="Calibri"/>
      <family val="2"/>
      <scheme val="minor"/>
    </font>
    <font>
      <b/>
      <sz val="11"/>
      <color rgb="FF660066"/>
      <name val="Calibri"/>
      <family val="2"/>
      <scheme val="minor"/>
    </font>
    <font>
      <b/>
      <sz val="11"/>
      <color rgb="FF7030A0"/>
      <name val="Calibri"/>
      <family val="2"/>
      <scheme val="minor"/>
    </font>
    <font>
      <b/>
      <sz val="11"/>
      <color rgb="FF990099"/>
      <name val="Calibri"/>
      <family val="2"/>
      <scheme val="minor"/>
    </font>
    <font>
      <sz val="11"/>
      <color rgb="FF990099"/>
      <name val="Calibri"/>
      <family val="2"/>
      <scheme val="minor"/>
    </font>
    <font>
      <b/>
      <sz val="11"/>
      <color rgb="FF990099"/>
      <name val="Cambria"/>
      <family val="1"/>
      <scheme val="major"/>
    </font>
    <font>
      <b/>
      <sz val="12"/>
      <color rgb="FF990099"/>
      <name val="Cambria"/>
      <family val="1"/>
      <scheme val="major"/>
    </font>
    <font>
      <b/>
      <sz val="8"/>
      <color theme="1"/>
      <name val="Arial"/>
      <family val="2"/>
    </font>
    <font>
      <sz val="11"/>
      <name val="Cambria"/>
      <family val="1"/>
      <scheme val="major"/>
    </font>
    <font>
      <b/>
      <sz val="14"/>
      <color rgb="FF990099"/>
      <name val="Cambria"/>
      <family val="1"/>
      <scheme val="major"/>
    </font>
    <font>
      <b/>
      <sz val="11"/>
      <color rgb="FF006600"/>
      <name val="Calibri"/>
      <family val="2"/>
      <scheme val="minor"/>
    </font>
    <font>
      <b/>
      <sz val="11"/>
      <color theme="0"/>
      <name val="Calibri"/>
      <family val="2"/>
      <scheme val="minor"/>
    </font>
    <font>
      <b/>
      <sz val="10"/>
      <color indexed="25"/>
      <name val="Tahoma"/>
      <family val="2"/>
    </font>
    <font>
      <b/>
      <i/>
      <sz val="11"/>
      <color rgb="FF0000FF"/>
      <name val="Cambria"/>
      <family val="1"/>
      <scheme val="major"/>
    </font>
    <font>
      <b/>
      <sz val="10.5"/>
      <color rgb="FF990099"/>
      <name val="Cambria"/>
      <family val="1"/>
      <scheme val="major"/>
    </font>
    <font>
      <sz val="11"/>
      <color rgb="FF222222"/>
      <name val="Arial"/>
      <family val="2"/>
    </font>
    <font>
      <b/>
      <sz val="14"/>
      <color theme="1"/>
      <name val="Calibri"/>
      <family val="2"/>
      <scheme val="minor"/>
    </font>
    <font>
      <b/>
      <sz val="12"/>
      <color theme="1"/>
      <name val="Calibri"/>
      <family val="2"/>
      <scheme val="minor"/>
    </font>
  </fonts>
  <fills count="27">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D8F9FC"/>
        <bgColor indexed="64"/>
      </patternFill>
    </fill>
    <fill>
      <patternFill patternType="solid">
        <fgColor rgb="FF00B0F0"/>
        <bgColor indexed="64"/>
      </patternFill>
    </fill>
    <fill>
      <patternFill patternType="solid">
        <fgColor rgb="FFDBF9FC"/>
        <bgColor indexed="64"/>
      </patternFill>
    </fill>
    <fill>
      <patternFill patternType="solid">
        <fgColor theme="9" tint="0.79998168889431442"/>
        <bgColor indexed="64"/>
      </patternFill>
    </fill>
    <fill>
      <patternFill patternType="solid">
        <fgColor theme="4" tint="0.79998168889431442"/>
        <bgColor indexed="65"/>
      </patternFill>
    </fill>
    <fill>
      <patternFill patternType="solid">
        <fgColor rgb="FF9FE6FF"/>
        <bgColor indexed="64"/>
      </patternFill>
    </fill>
    <fill>
      <patternFill patternType="solid">
        <fgColor theme="9" tint="0.59999389629810485"/>
        <bgColor indexed="64"/>
      </patternFill>
    </fill>
    <fill>
      <patternFill patternType="solid">
        <fgColor rgb="FFE1EACC"/>
        <bgColor indexed="64"/>
      </patternFill>
    </fill>
    <fill>
      <patternFill patternType="solid">
        <fgColor rgb="FFCDDCAC"/>
        <bgColor indexed="64"/>
      </patternFill>
    </fill>
    <fill>
      <patternFill patternType="solid">
        <fgColor theme="0" tint="-0.14999847407452621"/>
        <bgColor rgb="FFC0C0C0"/>
      </patternFill>
    </fill>
    <fill>
      <patternFill patternType="solid">
        <fgColor theme="0" tint="-0.14999847407452621"/>
        <bgColor indexed="64"/>
      </patternFill>
    </fill>
    <fill>
      <patternFill patternType="solid">
        <fgColor rgb="FF92D050"/>
        <bgColor indexed="64"/>
      </patternFill>
    </fill>
    <fill>
      <patternFill patternType="solid">
        <fgColor rgb="FFFFC000"/>
        <bgColor indexed="64"/>
      </patternFill>
    </fill>
    <fill>
      <patternFill patternType="solid">
        <fgColor indexed="22"/>
        <bgColor indexed="0"/>
      </patternFill>
    </fill>
    <fill>
      <patternFill patternType="solid">
        <fgColor theme="6" tint="0.79998168889431442"/>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rgb="FFF8FED2"/>
        <bgColor indexed="64"/>
      </patternFill>
    </fill>
    <fill>
      <patternFill patternType="solid">
        <fgColor theme="5" tint="0.59999389629810485"/>
        <bgColor indexed="64"/>
      </patternFill>
    </fill>
    <fill>
      <patternFill patternType="solid">
        <fgColor rgb="FFD2B4E6"/>
        <bgColor indexed="64"/>
      </patternFill>
    </fill>
    <fill>
      <patternFill patternType="solid">
        <fgColor rgb="FFFFE1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rgb="FFD0D7E5"/>
      </right>
      <top style="thin">
        <color rgb="FFD0D7E5"/>
      </top>
      <bottom style="thin">
        <color rgb="FFD0D7E5"/>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style="thin">
        <color rgb="FFD0D7E5"/>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8"/>
      </left>
      <right style="thin">
        <color indexed="8"/>
      </right>
      <top style="thin">
        <color indexed="8"/>
      </top>
      <bottom style="thin">
        <color indexed="8"/>
      </bottom>
      <diagonal/>
    </border>
    <border>
      <left style="double">
        <color rgb="FFFF0000"/>
      </left>
      <right style="double">
        <color rgb="FFFF0000"/>
      </right>
      <top style="double">
        <color rgb="FFFF0000"/>
      </top>
      <bottom style="double">
        <color rgb="FFFF0000"/>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double">
        <color rgb="FF990099"/>
      </left>
      <right style="double">
        <color rgb="FF990099"/>
      </right>
      <top style="double">
        <color rgb="FF990099"/>
      </top>
      <bottom style="double">
        <color rgb="FF990099"/>
      </bottom>
      <diagonal/>
    </border>
    <border>
      <left style="thin">
        <color indexed="22"/>
      </left>
      <right/>
      <top/>
      <bottom/>
      <diagonal/>
    </border>
    <border>
      <left style="thin">
        <color rgb="FFD0D7E5"/>
      </left>
      <right style="thin">
        <color rgb="FFD0D7E5"/>
      </right>
      <top/>
      <bottom/>
      <diagonal/>
    </border>
  </borders>
  <cellStyleXfs count="33">
    <xf numFmtId="0" fontId="0" fillId="0" borderId="0"/>
    <xf numFmtId="0" fontId="5" fillId="9" borderId="1">
      <alignment vertical="center"/>
    </xf>
    <xf numFmtId="0" fontId="6" fillId="4" borderId="1">
      <alignment horizontal="right" vertical="center"/>
    </xf>
    <xf numFmtId="0" fontId="9" fillId="8" borderId="1">
      <alignment horizontal="center" vertical="top"/>
    </xf>
    <xf numFmtId="9" fontId="9" fillId="0" borderId="0" applyFont="0" applyFill="0" applyBorder="0" applyAlignment="0" applyProtection="0"/>
    <xf numFmtId="0" fontId="37" fillId="0" borderId="0"/>
    <xf numFmtId="0" fontId="39" fillId="0" borderId="0"/>
    <xf numFmtId="0" fontId="39" fillId="0" borderId="0"/>
    <xf numFmtId="0" fontId="39"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cellStyleXfs>
  <cellXfs count="878">
    <xf numFmtId="0" fontId="0" fillId="0" borderId="0" xfId="0"/>
    <xf numFmtId="0" fontId="0" fillId="0" borderId="0" xfId="0" applyFill="1"/>
    <xf numFmtId="0" fontId="0" fillId="0" borderId="0" xfId="0" applyFont="1"/>
    <xf numFmtId="0" fontId="1" fillId="0" borderId="0" xfId="0" applyFont="1" applyAlignment="1"/>
    <xf numFmtId="0" fontId="0" fillId="0" borderId="0" xfId="0" applyAlignment="1">
      <alignment vertical="center"/>
    </xf>
    <xf numFmtId="0" fontId="0" fillId="2" borderId="0" xfId="0" applyFill="1" applyAlignment="1">
      <alignment vertical="center"/>
    </xf>
    <xf numFmtId="0" fontId="2" fillId="0" borderId="0" xfId="0" applyFont="1" applyFill="1"/>
    <xf numFmtId="0" fontId="0" fillId="0" borderId="0" xfId="0" applyFont="1" applyAlignment="1">
      <alignment vertical="center"/>
    </xf>
    <xf numFmtId="0" fontId="5" fillId="3" borderId="4" xfId="0" quotePrefix="1" applyFont="1" applyFill="1" applyBorder="1" applyAlignment="1">
      <alignment horizontal="center" vertical="center" wrapText="1"/>
    </xf>
    <xf numFmtId="0" fontId="5" fillId="3" borderId="1" xfId="0" quotePrefix="1" applyFont="1" applyFill="1" applyBorder="1" applyAlignment="1">
      <alignment horizontal="center" vertical="center" wrapText="1"/>
    </xf>
    <xf numFmtId="0" fontId="0" fillId="0" borderId="1" xfId="0" applyFont="1" applyFill="1" applyBorder="1" applyAlignment="1">
      <alignment vertical="center" wrapText="1"/>
    </xf>
    <xf numFmtId="0" fontId="0" fillId="0" borderId="1" xfId="0" applyFont="1" applyFill="1" applyBorder="1" applyAlignment="1">
      <alignment horizontal="left" vertical="center" wrapText="1"/>
    </xf>
    <xf numFmtId="0" fontId="0" fillId="0" borderId="1" xfId="0" applyFont="1" applyBorder="1" applyAlignment="1">
      <alignment vertical="center" wrapText="1"/>
    </xf>
    <xf numFmtId="0" fontId="0" fillId="0" borderId="1" xfId="0" applyFont="1" applyBorder="1" applyAlignment="1">
      <alignment vertical="center"/>
    </xf>
    <xf numFmtId="0" fontId="0" fillId="0" borderId="1" xfId="0" applyFont="1" applyBorder="1" applyAlignment="1">
      <alignment horizontal="left" vertical="center" wrapText="1"/>
    </xf>
    <xf numFmtId="0" fontId="3" fillId="5" borderId="1" xfId="0" applyFont="1" applyFill="1" applyBorder="1" applyAlignment="1">
      <alignment horizontal="left" vertical="center" wrapText="1"/>
    </xf>
    <xf numFmtId="0" fontId="3" fillId="5" borderId="1" xfId="0" applyFont="1" applyFill="1" applyBorder="1" applyAlignment="1">
      <alignment vertical="center" wrapText="1"/>
    </xf>
    <xf numFmtId="0" fontId="3" fillId="3" borderId="1" xfId="0" applyFont="1" applyFill="1" applyBorder="1" applyAlignment="1">
      <alignment horizontal="center" vertical="center" wrapText="1"/>
    </xf>
    <xf numFmtId="0" fontId="3" fillId="5" borderId="1" xfId="0" applyFont="1" applyFill="1" applyBorder="1" applyAlignment="1">
      <alignment vertical="center"/>
    </xf>
    <xf numFmtId="0" fontId="8" fillId="0" borderId="0" xfId="0" applyFont="1"/>
    <xf numFmtId="0" fontId="7" fillId="0" borderId="0" xfId="0" applyFont="1"/>
    <xf numFmtId="0" fontId="3" fillId="3" borderId="1" xfId="0" applyFont="1" applyFill="1" applyBorder="1" applyAlignment="1">
      <alignment vertical="center" wrapText="1"/>
    </xf>
    <xf numFmtId="0" fontId="3" fillId="5" borderId="1" xfId="0" applyFont="1" applyFill="1" applyBorder="1" applyAlignment="1">
      <alignment horizontal="left" vertical="center"/>
    </xf>
    <xf numFmtId="0" fontId="0" fillId="0" borderId="1" xfId="0" applyBorder="1" applyAlignment="1">
      <alignment horizontal="left" vertical="center" wrapText="1"/>
    </xf>
    <xf numFmtId="0" fontId="3" fillId="3" borderId="1" xfId="0" applyFont="1" applyFill="1" applyBorder="1" applyAlignment="1">
      <alignment horizontal="center" vertical="center" wrapText="1"/>
    </xf>
    <xf numFmtId="0" fontId="0" fillId="0" borderId="0" xfId="0" applyAlignment="1" applyProtection="1">
      <alignment vertical="center"/>
    </xf>
    <xf numFmtId="0" fontId="3" fillId="3" borderId="1" xfId="0" applyFont="1" applyFill="1" applyBorder="1" applyAlignment="1" applyProtection="1">
      <alignment horizontal="center" vertical="center" wrapText="1"/>
    </xf>
    <xf numFmtId="0" fontId="5" fillId="3" borderId="1" xfId="0" quotePrefix="1" applyFont="1" applyFill="1" applyBorder="1" applyAlignment="1" applyProtection="1">
      <alignment horizontal="center" vertical="center" wrapText="1"/>
    </xf>
    <xf numFmtId="0" fontId="5" fillId="3" borderId="12" xfId="0" quotePrefix="1" applyFont="1" applyFill="1" applyBorder="1" applyAlignment="1" applyProtection="1">
      <alignment horizontal="center" vertical="center" wrapText="1"/>
    </xf>
    <xf numFmtId="0" fontId="5" fillId="3" borderId="4" xfId="0" quotePrefix="1" applyFont="1" applyFill="1" applyBorder="1" applyAlignment="1" applyProtection="1">
      <alignment horizontal="center" vertical="center" wrapText="1"/>
    </xf>
    <xf numFmtId="0" fontId="0" fillId="0" borderId="4" xfId="0" applyFont="1" applyFill="1" applyBorder="1" applyAlignment="1" applyProtection="1">
      <alignment vertical="center" wrapText="1"/>
    </xf>
    <xf numFmtId="0" fontId="0" fillId="0" borderId="1" xfId="0" applyFont="1" applyFill="1" applyBorder="1" applyAlignment="1" applyProtection="1">
      <alignment vertical="center" wrapText="1"/>
    </xf>
    <xf numFmtId="0" fontId="0" fillId="0" borderId="1" xfId="0" applyFill="1" applyBorder="1" applyAlignment="1" applyProtection="1">
      <alignment vertical="center" wrapText="1"/>
    </xf>
    <xf numFmtId="0" fontId="0" fillId="0" borderId="4" xfId="0" applyFont="1" applyFill="1" applyBorder="1" applyAlignment="1" applyProtection="1">
      <alignment horizontal="center" vertical="center" wrapText="1"/>
    </xf>
    <xf numFmtId="0" fontId="0" fillId="0" borderId="1" xfId="0" applyFont="1" applyFill="1" applyBorder="1" applyAlignment="1" applyProtection="1">
      <alignment horizontal="center" vertical="center" wrapText="1"/>
    </xf>
    <xf numFmtId="0" fontId="4" fillId="0" borderId="0" xfId="0" applyFont="1" applyAlignment="1" applyProtection="1">
      <alignment horizontal="left" vertical="center"/>
    </xf>
    <xf numFmtId="0" fontId="4" fillId="0" borderId="8" xfId="0" applyFont="1" applyBorder="1" applyAlignment="1" applyProtection="1">
      <alignment vertical="center"/>
    </xf>
    <xf numFmtId="0" fontId="10" fillId="0" borderId="0" xfId="0" applyFont="1" applyAlignment="1" applyProtection="1">
      <alignment horizontal="left" vertical="center"/>
    </xf>
    <xf numFmtId="0" fontId="0" fillId="0" borderId="0" xfId="0" applyFill="1" applyAlignment="1" applyProtection="1">
      <alignment vertical="center"/>
    </xf>
    <xf numFmtId="0" fontId="0" fillId="0" borderId="1" xfId="0" applyFont="1" applyBorder="1" applyAlignment="1" applyProtection="1">
      <alignment vertical="center" wrapText="1"/>
    </xf>
    <xf numFmtId="0" fontId="0" fillId="0" borderId="0" xfId="0" applyFill="1" applyBorder="1" applyAlignment="1" applyProtection="1">
      <alignment vertical="center"/>
    </xf>
    <xf numFmtId="0" fontId="11" fillId="0" borderId="0" xfId="0" applyFont="1" applyAlignment="1" applyProtection="1">
      <alignment horizontal="left" vertical="center"/>
    </xf>
    <xf numFmtId="0" fontId="3" fillId="3" borderId="1" xfId="0" applyFont="1" applyFill="1" applyBorder="1" applyAlignment="1">
      <alignment horizontal="center" vertical="center" wrapText="1"/>
    </xf>
    <xf numFmtId="0" fontId="0" fillId="0" borderId="1" xfId="0" applyFont="1" applyFill="1" applyBorder="1" applyAlignment="1">
      <alignment horizontal="center" vertical="center" wrapText="1"/>
    </xf>
    <xf numFmtId="0" fontId="3" fillId="3" borderId="1" xfId="0" applyFont="1" applyFill="1" applyBorder="1" applyAlignment="1">
      <alignment horizontal="center" vertical="top" wrapText="1"/>
    </xf>
    <xf numFmtId="0" fontId="0" fillId="2" borderId="1"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0" fillId="0" borderId="1" xfId="0" applyFont="1" applyFill="1" applyBorder="1" applyAlignment="1">
      <alignment horizontal="center" vertical="center" wrapText="1"/>
    </xf>
    <xf numFmtId="0" fontId="4" fillId="0" borderId="0" xfId="0" applyFont="1" applyAlignment="1">
      <alignment horizontal="left" vertical="center"/>
    </xf>
    <xf numFmtId="0" fontId="1" fillId="0" borderId="0" xfId="0" applyFont="1" applyFill="1" applyAlignment="1">
      <alignment vertical="center"/>
    </xf>
    <xf numFmtId="0" fontId="1" fillId="0" borderId="0" xfId="0" applyFont="1" applyAlignment="1">
      <alignment vertical="center"/>
    </xf>
    <xf numFmtId="0" fontId="0" fillId="0" borderId="1" xfId="0" applyFont="1" applyFill="1" applyBorder="1" applyAlignment="1">
      <alignment horizontal="center" vertical="center" wrapText="1"/>
    </xf>
    <xf numFmtId="0" fontId="4" fillId="0" borderId="0" xfId="0" applyFont="1" applyAlignment="1">
      <alignment horizontal="left" vertical="center"/>
    </xf>
    <xf numFmtId="0" fontId="0" fillId="0" borderId="4"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0" fillId="0" borderId="1" xfId="0" applyFont="1" applyFill="1" applyBorder="1" applyAlignment="1">
      <alignment horizontal="center" vertical="center" wrapText="1"/>
    </xf>
    <xf numFmtId="0" fontId="4" fillId="0" borderId="0" xfId="0" applyFont="1" applyAlignment="1">
      <alignment horizontal="left" vertical="center"/>
    </xf>
    <xf numFmtId="0" fontId="0" fillId="0" borderId="4" xfId="0" applyFont="1" applyBorder="1" applyAlignment="1">
      <alignment horizontal="left" vertical="center" wrapText="1"/>
    </xf>
    <xf numFmtId="0" fontId="0" fillId="0" borderId="0" xfId="0" applyFont="1" applyFill="1"/>
    <xf numFmtId="0" fontId="15" fillId="0" borderId="0" xfId="0" applyFont="1" applyAlignment="1" applyProtection="1">
      <alignment horizontal="left" vertical="center"/>
    </xf>
    <xf numFmtId="0" fontId="5" fillId="0" borderId="0" xfId="0" applyFont="1" applyAlignment="1">
      <alignment horizontal="left" vertical="center"/>
    </xf>
    <xf numFmtId="0" fontId="3" fillId="3" borderId="5"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0" fillId="0" borderId="1" xfId="0" applyFont="1" applyFill="1" applyBorder="1" applyAlignment="1">
      <alignment horizontal="center" vertical="center" wrapText="1"/>
    </xf>
    <xf numFmtId="0" fontId="4" fillId="0" borderId="0" xfId="0" applyFont="1" applyAlignment="1">
      <alignment horizontal="left" vertical="center"/>
    </xf>
    <xf numFmtId="0" fontId="0" fillId="0" borderId="1" xfId="0" applyFont="1" applyFill="1" applyBorder="1" applyAlignment="1">
      <alignment horizontal="center" vertical="center" wrapText="1"/>
    </xf>
    <xf numFmtId="0" fontId="0" fillId="0" borderId="4" xfId="0" applyFont="1" applyBorder="1" applyAlignment="1">
      <alignment vertical="center" wrapText="1"/>
    </xf>
    <xf numFmtId="0" fontId="3" fillId="3" borderId="1" xfId="0" applyFont="1" applyFill="1" applyBorder="1" applyAlignment="1">
      <alignment horizontal="center" vertical="center" wrapText="1"/>
    </xf>
    <xf numFmtId="0" fontId="0" fillId="0" borderId="5" xfId="0" applyFont="1" applyBorder="1" applyAlignment="1">
      <alignment horizontal="left" vertical="center"/>
    </xf>
    <xf numFmtId="0" fontId="0" fillId="0" borderId="1" xfId="0" applyFont="1" applyFill="1" applyBorder="1" applyAlignment="1">
      <alignment horizontal="center" vertical="center" wrapText="1"/>
    </xf>
    <xf numFmtId="0" fontId="4" fillId="0" borderId="0" xfId="0" applyFont="1" applyAlignment="1">
      <alignment horizontal="left" vertical="center"/>
    </xf>
    <xf numFmtId="0" fontId="0" fillId="0" borderId="5" xfId="0" applyFont="1" applyFill="1" applyBorder="1" applyAlignment="1">
      <alignment horizontal="center" vertical="center" wrapText="1"/>
    </xf>
    <xf numFmtId="0" fontId="13" fillId="0" borderId="0" xfId="0" applyFont="1" applyAlignment="1" applyProtection="1">
      <alignment horizontal="left" vertical="center"/>
    </xf>
    <xf numFmtId="0" fontId="0" fillId="0" borderId="0" xfId="0" applyFont="1" applyAlignment="1">
      <alignment horizontal="left" vertical="center"/>
    </xf>
    <xf numFmtId="0" fontId="3" fillId="3" borderId="1" xfId="0" applyFont="1" applyFill="1" applyBorder="1" applyAlignment="1">
      <alignment horizontal="center" vertical="center" wrapText="1"/>
    </xf>
    <xf numFmtId="0" fontId="0" fillId="0" borderId="5" xfId="0" applyFont="1" applyBorder="1" applyAlignment="1">
      <alignment horizontal="left" vertical="center"/>
    </xf>
    <xf numFmtId="0" fontId="0" fillId="0" borderId="1" xfId="0" applyFont="1" applyFill="1" applyBorder="1" applyAlignment="1">
      <alignment horizontal="center" vertical="center" wrapText="1"/>
    </xf>
    <xf numFmtId="0" fontId="0" fillId="0" borderId="1" xfId="0" applyFont="1" applyFill="1" applyBorder="1" applyAlignment="1">
      <alignment horizontal="center" vertical="center" wrapText="1"/>
    </xf>
    <xf numFmtId="0" fontId="3" fillId="3" borderId="1" xfId="0" applyFont="1" applyFill="1" applyBorder="1" applyAlignment="1">
      <alignment horizontal="center"/>
    </xf>
    <xf numFmtId="0" fontId="3" fillId="0" borderId="0" xfId="0" applyFont="1" applyAlignment="1">
      <alignment horizontal="center"/>
    </xf>
    <xf numFmtId="0" fontId="17" fillId="13" borderId="1" xfId="0" applyFont="1" applyFill="1" applyBorder="1" applyAlignment="1" applyProtection="1">
      <alignment horizontal="center" vertical="center"/>
    </xf>
    <xf numFmtId="0" fontId="22" fillId="0" borderId="0" xfId="0" applyFont="1" applyAlignment="1">
      <alignment horizontal="center"/>
    </xf>
    <xf numFmtId="0" fontId="23" fillId="0" borderId="0" xfId="0" applyFont="1" applyAlignment="1">
      <alignment horizontal="center"/>
    </xf>
    <xf numFmtId="0" fontId="0" fillId="0" borderId="0" xfId="0" applyFont="1" applyAlignment="1"/>
    <xf numFmtId="0" fontId="24" fillId="0" borderId="0" xfId="0" applyFont="1" applyAlignment="1">
      <alignment horizontal="center"/>
    </xf>
    <xf numFmtId="0" fontId="4" fillId="0" borderId="0" xfId="0" applyFont="1" applyAlignment="1">
      <alignment horizontal="right" vertical="center"/>
    </xf>
    <xf numFmtId="0" fontId="0" fillId="0" borderId="0" xfId="0" applyFont="1" applyProtection="1"/>
    <xf numFmtId="0" fontId="0" fillId="0" borderId="0" xfId="0" applyFont="1" applyAlignment="1" applyProtection="1">
      <alignment horizontal="right"/>
    </xf>
    <xf numFmtId="2" fontId="3" fillId="0" borderId="0" xfId="4" applyNumberFormat="1" applyFont="1" applyBorder="1" applyAlignment="1" applyProtection="1">
      <alignment horizontal="left" vertical="center"/>
    </xf>
    <xf numFmtId="0" fontId="3" fillId="0" borderId="0" xfId="0" applyFont="1" applyAlignment="1">
      <alignment vertical="center"/>
    </xf>
    <xf numFmtId="0" fontId="0" fillId="0" borderId="0" xfId="0" applyFont="1" applyAlignment="1">
      <alignment horizontal="center"/>
    </xf>
    <xf numFmtId="0" fontId="16" fillId="0" borderId="0" xfId="0" applyFont="1" applyAlignment="1">
      <alignment horizontal="center"/>
    </xf>
    <xf numFmtId="0" fontId="25" fillId="0" borderId="1" xfId="0" applyFont="1" applyBorder="1" applyAlignment="1">
      <alignment horizontal="center" vertical="center"/>
    </xf>
    <xf numFmtId="0" fontId="3" fillId="0" borderId="1" xfId="0" applyFont="1" applyBorder="1" applyAlignment="1" applyProtection="1">
      <alignment horizontal="center" vertical="center"/>
      <protection locked="0"/>
    </xf>
    <xf numFmtId="0" fontId="16" fillId="0" borderId="0" xfId="0" applyFont="1" applyProtection="1">
      <protection hidden="1"/>
    </xf>
    <xf numFmtId="0" fontId="3" fillId="0" borderId="1" xfId="0" applyFont="1" applyBorder="1" applyProtection="1">
      <protection locked="0"/>
    </xf>
    <xf numFmtId="0" fontId="3" fillId="0" borderId="1" xfId="0" applyFont="1" applyBorder="1" applyAlignment="1">
      <alignment horizontal="center"/>
    </xf>
    <xf numFmtId="0" fontId="3" fillId="0" borderId="1" xfId="0" applyFont="1" applyBorder="1" applyProtection="1"/>
    <xf numFmtId="0" fontId="3" fillId="0" borderId="1" xfId="0" applyFont="1" applyBorder="1" applyAlignment="1" applyProtection="1">
      <alignment horizontal="left" vertical="center"/>
    </xf>
    <xf numFmtId="0" fontId="0" fillId="0" borderId="0" xfId="0" applyFont="1" applyBorder="1"/>
    <xf numFmtId="0" fontId="0" fillId="0" borderId="0" xfId="0" applyFont="1" applyAlignment="1">
      <alignment horizontal="center" vertical="center"/>
    </xf>
    <xf numFmtId="0" fontId="0" fillId="0" borderId="0" xfId="0" applyFont="1" applyAlignment="1">
      <alignment horizontal="right" vertical="center"/>
    </xf>
    <xf numFmtId="0" fontId="3" fillId="0" borderId="1" xfId="0" applyFont="1" applyBorder="1" applyAlignment="1" applyProtection="1">
      <alignment vertical="center"/>
      <protection locked="0"/>
    </xf>
    <xf numFmtId="164" fontId="3" fillId="0" borderId="1" xfId="0" applyNumberFormat="1" applyFont="1" applyBorder="1" applyAlignment="1" applyProtection="1">
      <alignment horizontal="center" vertical="center"/>
    </xf>
    <xf numFmtId="0" fontId="27" fillId="0" borderId="0" xfId="0" applyFont="1"/>
    <xf numFmtId="0" fontId="3" fillId="3" borderId="1" xfId="0" applyFont="1" applyFill="1" applyBorder="1" applyAlignment="1">
      <alignment horizontal="center" vertical="center" wrapText="1"/>
    </xf>
    <xf numFmtId="0" fontId="3" fillId="3" borderId="1" xfId="0" applyFont="1" applyFill="1" applyBorder="1" applyAlignment="1">
      <alignment horizontal="center" vertical="center"/>
    </xf>
    <xf numFmtId="0" fontId="0" fillId="0" borderId="1" xfId="0" applyFont="1" applyFill="1" applyBorder="1" applyAlignment="1">
      <alignment horizontal="center" vertical="center" wrapText="1"/>
    </xf>
    <xf numFmtId="0" fontId="0" fillId="0" borderId="5" xfId="0" applyFont="1" applyBorder="1" applyAlignment="1">
      <alignment horizontal="left" vertical="center"/>
    </xf>
    <xf numFmtId="0" fontId="0" fillId="0" borderId="1" xfId="0" applyFont="1" applyBorder="1" applyAlignment="1">
      <alignment horizontal="center" vertical="center" wrapText="1"/>
    </xf>
    <xf numFmtId="0" fontId="0" fillId="0" borderId="1" xfId="0" applyFont="1" applyBorder="1" applyAlignment="1">
      <alignment horizontal="left" vertical="center"/>
    </xf>
    <xf numFmtId="0" fontId="5" fillId="0" borderId="0" xfId="0" applyFont="1" applyAlignment="1">
      <alignment horizontal="left" vertical="center"/>
    </xf>
    <xf numFmtId="0" fontId="3" fillId="0" borderId="0" xfId="0" applyFont="1" applyAlignment="1"/>
    <xf numFmtId="0" fontId="3" fillId="3" borderId="1" xfId="0" applyFont="1" applyFill="1" applyBorder="1" applyAlignment="1">
      <alignment horizontal="center" vertical="center" wrapText="1"/>
    </xf>
    <xf numFmtId="0" fontId="5" fillId="0" borderId="0" xfId="0" applyFont="1" applyAlignment="1">
      <alignment horizontal="left" vertical="center"/>
    </xf>
    <xf numFmtId="0" fontId="0" fillId="0" borderId="1" xfId="0" applyFont="1" applyBorder="1" applyAlignment="1">
      <alignment horizontal="center" vertical="center"/>
    </xf>
    <xf numFmtId="0" fontId="3" fillId="3" borderId="1" xfId="0" applyFont="1" applyFill="1" applyBorder="1" applyAlignment="1">
      <alignment horizontal="center" vertical="center" wrapText="1"/>
    </xf>
    <xf numFmtId="0" fontId="0" fillId="0" borderId="1" xfId="0" applyFont="1" applyFill="1" applyBorder="1" applyAlignment="1">
      <alignment horizontal="center" vertical="center" wrapText="1"/>
    </xf>
    <xf numFmtId="0" fontId="5" fillId="0" borderId="0" xfId="0" applyFont="1" applyAlignment="1">
      <alignment horizontal="left" vertical="center"/>
    </xf>
    <xf numFmtId="0" fontId="0" fillId="2" borderId="0" xfId="0" applyFont="1" applyFill="1"/>
    <xf numFmtId="0" fontId="29" fillId="2" borderId="1" xfId="0" applyFont="1" applyFill="1" applyBorder="1" applyAlignment="1">
      <alignment vertical="center" wrapText="1"/>
    </xf>
    <xf numFmtId="0" fontId="0" fillId="0" borderId="0" xfId="0" applyFont="1" applyFill="1" applyBorder="1" applyAlignment="1">
      <alignment horizontal="center" vertical="center" wrapText="1"/>
    </xf>
    <xf numFmtId="0" fontId="6" fillId="2" borderId="4" xfId="0" quotePrefix="1" applyFont="1" applyFill="1" applyBorder="1" applyAlignment="1">
      <alignment horizontal="center" vertical="center" wrapText="1"/>
    </xf>
    <xf numFmtId="0" fontId="0" fillId="0" borderId="0" xfId="0" applyFont="1" applyAlignment="1">
      <alignment wrapText="1"/>
    </xf>
    <xf numFmtId="0" fontId="26" fillId="15" borderId="2" xfId="0" applyFont="1" applyFill="1" applyBorder="1" applyAlignment="1" applyProtection="1">
      <alignment horizontal="center" vertical="center" wrapText="1"/>
    </xf>
    <xf numFmtId="0" fontId="26" fillId="15" borderId="1" xfId="0" applyFont="1" applyFill="1" applyBorder="1" applyAlignment="1" applyProtection="1">
      <alignment vertical="center"/>
    </xf>
    <xf numFmtId="0" fontId="3" fillId="3" borderId="4" xfId="0" applyFont="1" applyFill="1" applyBorder="1" applyAlignment="1">
      <alignment horizontal="center" vertical="top" wrapText="1"/>
    </xf>
    <xf numFmtId="0" fontId="26" fillId="15" borderId="1" xfId="0" applyFont="1" applyFill="1" applyBorder="1" applyAlignment="1" applyProtection="1">
      <alignment horizontal="center" vertical="center" wrapText="1"/>
    </xf>
    <xf numFmtId="0" fontId="5" fillId="0" borderId="0" xfId="0" applyFont="1" applyAlignment="1">
      <alignment horizontal="right" vertical="center"/>
    </xf>
    <xf numFmtId="0" fontId="31" fillId="0" borderId="0" xfId="0" applyFont="1" applyAlignment="1" applyProtection="1">
      <alignment horizontal="right" vertical="center"/>
    </xf>
    <xf numFmtId="0" fontId="31" fillId="0" borderId="0" xfId="0" applyFont="1" applyAlignment="1" applyProtection="1">
      <alignment horizontal="center" vertical="center"/>
    </xf>
    <xf numFmtId="0" fontId="33" fillId="0" borderId="0" xfId="0" applyFont="1" applyAlignment="1">
      <alignment vertical="center"/>
    </xf>
    <xf numFmtId="0" fontId="33" fillId="0" borderId="0" xfId="0" applyFont="1" applyAlignment="1">
      <alignment horizontal="right" vertical="center"/>
    </xf>
    <xf numFmtId="0" fontId="32" fillId="0" borderId="0" xfId="0" applyFont="1" applyAlignment="1">
      <alignment horizontal="right" vertical="center"/>
    </xf>
    <xf numFmtId="0" fontId="32" fillId="0" borderId="1" xfId="0" applyFont="1" applyBorder="1" applyAlignment="1">
      <alignment vertical="center"/>
    </xf>
    <xf numFmtId="0" fontId="33" fillId="0" borderId="1" xfId="0" applyFont="1" applyBorder="1" applyAlignment="1">
      <alignment vertical="center"/>
    </xf>
    <xf numFmtId="0" fontId="32" fillId="0" borderId="1" xfId="0" applyFont="1" applyBorder="1" applyAlignment="1">
      <alignment horizontal="center" vertical="center"/>
    </xf>
    <xf numFmtId="0" fontId="33" fillId="0" borderId="1" xfId="0" applyFont="1" applyBorder="1" applyAlignment="1">
      <alignment horizontal="center" vertical="center"/>
    </xf>
    <xf numFmtId="0" fontId="32" fillId="0" borderId="1" xfId="0" applyFont="1" applyBorder="1" applyAlignment="1">
      <alignment horizontal="center" vertical="center" wrapText="1"/>
    </xf>
    <xf numFmtId="0" fontId="33" fillId="0" borderId="1" xfId="0" applyFont="1" applyBorder="1" applyAlignment="1">
      <alignment vertical="center" wrapText="1"/>
    </xf>
    <xf numFmtId="0" fontId="34" fillId="0" borderId="0" xfId="0" applyFont="1" applyAlignment="1">
      <alignment vertical="center"/>
    </xf>
    <xf numFmtId="0" fontId="0" fillId="0" borderId="1" xfId="0" applyBorder="1" applyAlignment="1" applyProtection="1">
      <alignment vertical="center" wrapText="1"/>
    </xf>
    <xf numFmtId="0" fontId="35" fillId="0" borderId="0" xfId="0" applyFont="1" applyAlignment="1" applyProtection="1">
      <alignment horizontal="right" vertical="center"/>
    </xf>
    <xf numFmtId="0" fontId="35" fillId="0" borderId="0" xfId="0" applyFont="1" applyAlignment="1" applyProtection="1">
      <alignment horizontal="center" vertical="center"/>
    </xf>
    <xf numFmtId="0" fontId="32" fillId="0" borderId="0" xfId="0" applyFont="1" applyAlignment="1">
      <alignment horizontal="center" vertical="center"/>
    </xf>
    <xf numFmtId="0" fontId="32" fillId="0" borderId="1" xfId="0" applyFont="1" applyBorder="1" applyAlignment="1">
      <alignment horizontal="center" vertical="center" wrapText="1"/>
    </xf>
    <xf numFmtId="0" fontId="33" fillId="0" borderId="0" xfId="0" applyFont="1" applyAlignment="1">
      <alignment horizontal="center" vertical="center"/>
    </xf>
    <xf numFmtId="0" fontId="3" fillId="0" borderId="0" xfId="0" applyFont="1"/>
    <xf numFmtId="0" fontId="33" fillId="0" borderId="1" xfId="0" applyFont="1" applyBorder="1" applyAlignment="1">
      <alignment horizontal="center" vertical="center" wrapText="1"/>
    </xf>
    <xf numFmtId="0" fontId="33" fillId="0" borderId="1" xfId="0" applyFont="1" applyBorder="1" applyAlignment="1">
      <alignment horizontal="left" vertical="center" wrapText="1"/>
    </xf>
    <xf numFmtId="0" fontId="32" fillId="0" borderId="1" xfId="0" applyFont="1" applyBorder="1" applyAlignment="1">
      <alignment horizontal="center" vertical="center" wrapText="1"/>
    </xf>
    <xf numFmtId="0" fontId="32" fillId="0" borderId="1" xfId="0" applyFont="1" applyBorder="1" applyAlignment="1">
      <alignment horizontal="center" vertical="center" wrapText="1"/>
    </xf>
    <xf numFmtId="0" fontId="0" fillId="0" borderId="1" xfId="0" applyBorder="1" applyAlignment="1">
      <alignment horizontal="left" vertical="center" wrapText="1" indent="2"/>
    </xf>
    <xf numFmtId="0" fontId="33" fillId="0" borderId="1" xfId="0" applyFont="1" applyBorder="1" applyAlignment="1">
      <alignment horizontal="left" vertical="center" indent="2"/>
    </xf>
    <xf numFmtId="0" fontId="32" fillId="0" borderId="1" xfId="0" applyFont="1" applyBorder="1" applyAlignment="1">
      <alignment horizontal="center" vertical="center" wrapText="1"/>
    </xf>
    <xf numFmtId="0" fontId="33" fillId="0" borderId="2" xfId="0" applyFont="1" applyBorder="1" applyAlignment="1">
      <alignment vertical="center"/>
    </xf>
    <xf numFmtId="0" fontId="32" fillId="0" borderId="0" xfId="0" applyFont="1" applyAlignment="1">
      <alignment horizontal="right" vertical="center"/>
    </xf>
    <xf numFmtId="0" fontId="32" fillId="0" borderId="1" xfId="0" applyFont="1" applyBorder="1" applyAlignment="1">
      <alignment horizontal="center" vertical="center" wrapText="1"/>
    </xf>
    <xf numFmtId="0" fontId="32" fillId="0" borderId="0" xfId="0" applyFont="1" applyAlignment="1">
      <alignment horizontal="right" vertical="center"/>
    </xf>
    <xf numFmtId="0" fontId="32" fillId="0" borderId="1" xfId="0" applyFont="1" applyBorder="1" applyAlignment="1">
      <alignment horizontal="center" vertical="center" wrapText="1"/>
    </xf>
    <xf numFmtId="0" fontId="32" fillId="0" borderId="0" xfId="0" applyFont="1" applyAlignment="1">
      <alignment horizontal="right" vertical="center"/>
    </xf>
    <xf numFmtId="0" fontId="32" fillId="0" borderId="1" xfId="0" applyFont="1" applyBorder="1" applyAlignment="1">
      <alignment horizontal="center" vertical="center" wrapText="1"/>
    </xf>
    <xf numFmtId="0" fontId="32" fillId="0" borderId="0" xfId="0" applyFont="1" applyAlignment="1">
      <alignment horizontal="right" vertical="center"/>
    </xf>
    <xf numFmtId="0" fontId="32" fillId="0" borderId="1" xfId="0" applyFont="1" applyBorder="1" applyAlignment="1">
      <alignment horizontal="center" vertical="center" wrapText="1"/>
    </xf>
    <xf numFmtId="0" fontId="32" fillId="0" borderId="0" xfId="0" applyFont="1" applyAlignment="1">
      <alignment horizontal="right" vertical="center"/>
    </xf>
    <xf numFmtId="0" fontId="5" fillId="0" borderId="0" xfId="0" applyFont="1" applyAlignment="1">
      <alignment horizontal="left" vertical="center"/>
    </xf>
    <xf numFmtId="0" fontId="32" fillId="0" borderId="0" xfId="0" applyFont="1" applyAlignment="1">
      <alignment horizontal="right" vertical="center"/>
    </xf>
    <xf numFmtId="0" fontId="0" fillId="0" borderId="1" xfId="0" applyFont="1" applyBorder="1" applyAlignment="1">
      <alignment horizontal="left" vertical="center" wrapText="1" indent="2"/>
    </xf>
    <xf numFmtId="0" fontId="32" fillId="0" borderId="1" xfId="0" applyFont="1" applyBorder="1" applyAlignment="1">
      <alignment horizontal="center" vertical="center" wrapText="1"/>
    </xf>
    <xf numFmtId="0" fontId="3" fillId="3" borderId="1" xfId="0" applyFont="1" applyFill="1" applyBorder="1" applyAlignment="1">
      <alignment horizontal="center" vertical="center" wrapText="1"/>
    </xf>
    <xf numFmtId="0" fontId="32" fillId="0" borderId="0" xfId="0" applyFont="1" applyAlignment="1">
      <alignment horizontal="right" vertical="center"/>
    </xf>
    <xf numFmtId="0" fontId="5" fillId="0" borderId="0" xfId="0" applyFont="1" applyAlignment="1">
      <alignment vertical="center"/>
    </xf>
    <xf numFmtId="0" fontId="33" fillId="0" borderId="1" xfId="0" applyFont="1" applyBorder="1" applyAlignment="1">
      <alignment horizontal="center" vertical="center"/>
    </xf>
    <xf numFmtId="0" fontId="32" fillId="0" borderId="1" xfId="0" applyFont="1" applyBorder="1" applyAlignment="1">
      <alignment horizontal="center" vertical="center" wrapText="1"/>
    </xf>
    <xf numFmtId="0" fontId="33" fillId="0" borderId="1" xfId="0" applyFont="1" applyBorder="1" applyAlignment="1">
      <alignment horizontal="center" vertical="center"/>
    </xf>
    <xf numFmtId="0" fontId="32" fillId="0" borderId="2" xfId="0" applyFont="1" applyBorder="1" applyAlignment="1">
      <alignment horizontal="center" vertical="center"/>
    </xf>
    <xf numFmtId="0" fontId="32" fillId="0" borderId="1" xfId="0" applyFont="1" applyBorder="1" applyAlignment="1">
      <alignment horizontal="center" vertical="center" wrapText="1"/>
    </xf>
    <xf numFmtId="0" fontId="33" fillId="0" borderId="5" xfId="0" applyFont="1" applyBorder="1" applyAlignment="1">
      <alignment horizontal="center" vertical="center"/>
    </xf>
    <xf numFmtId="0" fontId="33" fillId="0" borderId="4" xfId="0" applyFont="1" applyBorder="1" applyAlignment="1">
      <alignment horizontal="center" vertical="center"/>
    </xf>
    <xf numFmtId="0" fontId="33" fillId="0" borderId="1" xfId="0" applyFont="1" applyBorder="1" applyAlignment="1">
      <alignment horizontal="center" vertical="center"/>
    </xf>
    <xf numFmtId="0" fontId="0" fillId="0" borderId="1" xfId="0" applyFont="1" applyFill="1" applyBorder="1" applyAlignment="1">
      <alignment horizontal="left" vertical="center" wrapText="1" indent="2"/>
    </xf>
    <xf numFmtId="0" fontId="33" fillId="0" borderId="1" xfId="0" applyFont="1" applyBorder="1" applyAlignment="1">
      <alignment horizontal="left" vertical="center" wrapText="1" indent="1"/>
    </xf>
    <xf numFmtId="0" fontId="33" fillId="0" borderId="1" xfId="0" applyFont="1" applyBorder="1" applyAlignment="1">
      <alignment horizontal="left" vertical="center" wrapText="1" indent="2"/>
    </xf>
    <xf numFmtId="0" fontId="33" fillId="0" borderId="2" xfId="0" applyFont="1" applyBorder="1" applyAlignment="1">
      <alignment vertical="center" wrapText="1"/>
    </xf>
    <xf numFmtId="0" fontId="33" fillId="0" borderId="4" xfId="0" applyFont="1" applyBorder="1" applyAlignment="1">
      <alignment vertical="center"/>
    </xf>
    <xf numFmtId="0" fontId="36" fillId="0" borderId="0" xfId="0" applyFont="1" applyFill="1" applyAlignment="1">
      <alignment vertical="center"/>
    </xf>
    <xf numFmtId="0" fontId="36" fillId="0" borderId="0" xfId="0" applyFont="1" applyFill="1" applyAlignment="1">
      <alignment horizontal="center" vertical="center"/>
    </xf>
    <xf numFmtId="0" fontId="39" fillId="0" borderId="0" xfId="7"/>
    <xf numFmtId="0" fontId="38" fillId="17" borderId="19" xfId="9" applyFont="1" applyFill="1" applyBorder="1" applyAlignment="1">
      <alignment horizontal="center"/>
    </xf>
    <xf numFmtId="0" fontId="38" fillId="17" borderId="19" xfId="10" applyFont="1" applyFill="1" applyBorder="1" applyAlignment="1">
      <alignment horizontal="center"/>
    </xf>
    <xf numFmtId="0" fontId="38" fillId="17" borderId="19" xfId="11" applyFont="1" applyFill="1" applyBorder="1" applyAlignment="1">
      <alignment horizontal="center"/>
    </xf>
    <xf numFmtId="0" fontId="38" fillId="17" borderId="19" xfId="12" applyFont="1" applyFill="1" applyBorder="1" applyAlignment="1">
      <alignment horizontal="center"/>
    </xf>
    <xf numFmtId="0" fontId="38" fillId="17" borderId="19" xfId="13" applyFont="1" applyFill="1" applyBorder="1" applyAlignment="1">
      <alignment horizontal="center"/>
    </xf>
    <xf numFmtId="0" fontId="38" fillId="17" borderId="19" xfId="14" applyFont="1" applyFill="1" applyBorder="1" applyAlignment="1">
      <alignment horizontal="center"/>
    </xf>
    <xf numFmtId="0" fontId="38" fillId="17" borderId="19" xfId="15" applyFont="1" applyFill="1" applyBorder="1" applyAlignment="1">
      <alignment horizontal="center"/>
    </xf>
    <xf numFmtId="0" fontId="38" fillId="17" borderId="19" xfId="16" applyFont="1" applyFill="1" applyBorder="1" applyAlignment="1">
      <alignment horizontal="center"/>
    </xf>
    <xf numFmtId="0" fontId="38" fillId="17" borderId="19" xfId="17" applyFont="1" applyFill="1" applyBorder="1" applyAlignment="1">
      <alignment horizontal="center"/>
    </xf>
    <xf numFmtId="0" fontId="38" fillId="17" borderId="19" xfId="18" applyFont="1" applyFill="1" applyBorder="1" applyAlignment="1">
      <alignment horizontal="center"/>
    </xf>
    <xf numFmtId="0" fontId="38" fillId="17" borderId="19" xfId="19" applyFont="1" applyFill="1" applyBorder="1" applyAlignment="1">
      <alignment horizontal="center"/>
    </xf>
    <xf numFmtId="0" fontId="38" fillId="17" borderId="19" xfId="20" applyFont="1" applyFill="1" applyBorder="1" applyAlignment="1">
      <alignment horizontal="center"/>
    </xf>
    <xf numFmtId="0" fontId="38" fillId="17" borderId="19" xfId="21" applyFont="1" applyFill="1" applyBorder="1" applyAlignment="1">
      <alignment horizontal="center"/>
    </xf>
    <xf numFmtId="0" fontId="38" fillId="17" borderId="19" xfId="22" applyFont="1" applyFill="1" applyBorder="1" applyAlignment="1">
      <alignment horizontal="center"/>
    </xf>
    <xf numFmtId="0" fontId="38" fillId="17" borderId="19" xfId="23" applyFont="1" applyFill="1" applyBorder="1" applyAlignment="1">
      <alignment horizontal="center"/>
    </xf>
    <xf numFmtId="0" fontId="38" fillId="17" borderId="19" xfId="24" applyFont="1" applyFill="1" applyBorder="1" applyAlignment="1">
      <alignment horizontal="center"/>
    </xf>
    <xf numFmtId="0" fontId="37" fillId="0" borderId="0" xfId="24"/>
    <xf numFmtId="0" fontId="38" fillId="17" borderId="19" xfId="25" applyFont="1" applyFill="1" applyBorder="1" applyAlignment="1">
      <alignment horizontal="center"/>
    </xf>
    <xf numFmtId="0" fontId="38" fillId="17" borderId="19" xfId="26" applyFont="1" applyFill="1" applyBorder="1" applyAlignment="1">
      <alignment horizontal="center"/>
    </xf>
    <xf numFmtId="0" fontId="38" fillId="17" borderId="19" xfId="27" applyFont="1" applyFill="1" applyBorder="1" applyAlignment="1">
      <alignment horizontal="center"/>
    </xf>
    <xf numFmtId="0" fontId="3" fillId="3" borderId="1" xfId="0" applyFont="1" applyFill="1" applyBorder="1" applyAlignment="1" applyProtection="1">
      <alignment horizontal="center" vertical="center" wrapText="1"/>
    </xf>
    <xf numFmtId="0" fontId="3" fillId="3" borderId="1" xfId="0" applyFont="1" applyFill="1" applyBorder="1" applyAlignment="1">
      <alignment horizontal="center" vertical="center" wrapText="1"/>
    </xf>
    <xf numFmtId="0" fontId="0" fillId="0" borderId="1" xfId="0" applyFill="1" applyBorder="1" applyAlignment="1" applyProtection="1">
      <alignment horizontal="left" vertical="center" wrapText="1" indent="2"/>
    </xf>
    <xf numFmtId="0" fontId="0" fillId="0" borderId="1" xfId="0" applyFont="1" applyFill="1" applyBorder="1" applyAlignment="1" applyProtection="1">
      <alignment horizontal="left" vertical="center" wrapText="1" indent="2"/>
    </xf>
    <xf numFmtId="0" fontId="0" fillId="0" borderId="1" xfId="0" applyFont="1" applyBorder="1" applyAlignment="1" applyProtection="1">
      <alignment horizontal="left" vertical="center" wrapText="1" indent="2"/>
    </xf>
    <xf numFmtId="0" fontId="0" fillId="0" borderId="1" xfId="0" applyBorder="1" applyAlignment="1" applyProtection="1">
      <alignment horizontal="left" vertical="center" indent="2"/>
    </xf>
    <xf numFmtId="0" fontId="0" fillId="0" borderId="1" xfId="0" applyFont="1" applyFill="1" applyBorder="1" applyAlignment="1">
      <alignment horizontal="left" vertical="center" wrapText="1" indent="4"/>
    </xf>
    <xf numFmtId="0" fontId="0" fillId="2" borderId="1" xfId="0" applyFont="1" applyFill="1" applyBorder="1" applyAlignment="1">
      <alignment horizontal="left" vertical="center" indent="2"/>
    </xf>
    <xf numFmtId="0" fontId="3" fillId="18" borderId="1" xfId="0" applyFont="1" applyFill="1" applyBorder="1" applyAlignment="1">
      <alignment horizontal="center" vertical="center" wrapText="1"/>
    </xf>
    <xf numFmtId="0" fontId="5" fillId="18" borderId="1" xfId="0" quotePrefix="1" applyFont="1" applyFill="1" applyBorder="1" applyAlignment="1">
      <alignment horizontal="center" vertical="center" wrapText="1"/>
    </xf>
    <xf numFmtId="0" fontId="5" fillId="18" borderId="4" xfId="0" quotePrefix="1" applyFont="1" applyFill="1" applyBorder="1" applyAlignment="1">
      <alignment horizontal="center" vertical="center" wrapText="1"/>
    </xf>
    <xf numFmtId="0" fontId="3" fillId="18" borderId="1" xfId="0" applyFont="1" applyFill="1" applyBorder="1" applyAlignment="1" applyProtection="1">
      <alignment horizontal="center" vertical="center" wrapText="1"/>
    </xf>
    <xf numFmtId="0" fontId="5" fillId="18" borderId="1" xfId="0" quotePrefix="1" applyFont="1" applyFill="1" applyBorder="1" applyAlignment="1" applyProtection="1">
      <alignment horizontal="center" vertical="center" wrapText="1"/>
    </xf>
    <xf numFmtId="0" fontId="5" fillId="18" borderId="4" xfId="0" quotePrefix="1" applyFont="1" applyFill="1" applyBorder="1" applyAlignment="1" applyProtection="1">
      <alignment horizontal="center" vertical="center" wrapText="1"/>
    </xf>
    <xf numFmtId="0" fontId="3" fillId="18" borderId="1" xfId="0" applyFont="1" applyFill="1" applyBorder="1" applyAlignment="1">
      <alignment horizontal="center" vertical="top" wrapText="1"/>
    </xf>
    <xf numFmtId="0" fontId="3" fillId="18" borderId="1" xfId="0" applyFont="1" applyFill="1" applyBorder="1" applyAlignment="1">
      <alignment horizontal="center" vertical="center"/>
    </xf>
    <xf numFmtId="0" fontId="3" fillId="18" borderId="1" xfId="0" applyFont="1" applyFill="1" applyBorder="1" applyAlignment="1">
      <alignment horizontal="center" vertical="center" wrapText="1"/>
    </xf>
    <xf numFmtId="0" fontId="3" fillId="18" borderId="1" xfId="0" applyFont="1" applyFill="1" applyBorder="1" applyAlignment="1">
      <alignment horizontal="center" vertical="center"/>
    </xf>
    <xf numFmtId="0" fontId="3" fillId="18" borderId="1" xfId="0" applyFont="1" applyFill="1" applyBorder="1" applyAlignment="1">
      <alignment horizontal="center" vertical="center" wrapText="1"/>
    </xf>
    <xf numFmtId="0" fontId="0" fillId="0" borderId="1" xfId="0" applyFont="1" applyBorder="1" applyAlignment="1">
      <alignment horizontal="left" vertical="center" indent="2"/>
    </xf>
    <xf numFmtId="0" fontId="3" fillId="18" borderId="1" xfId="0" applyFont="1" applyFill="1" applyBorder="1" applyAlignment="1">
      <alignment horizontal="center"/>
    </xf>
    <xf numFmtId="0" fontId="5" fillId="19" borderId="4" xfId="0" quotePrefix="1" applyFont="1" applyFill="1" applyBorder="1" applyAlignment="1">
      <alignment horizontal="center" vertical="center" wrapText="1"/>
    </xf>
    <xf numFmtId="0" fontId="33" fillId="0" borderId="1" xfId="0" applyFont="1" applyBorder="1" applyAlignment="1">
      <alignment horizontal="center" vertical="center"/>
    </xf>
    <xf numFmtId="0" fontId="3" fillId="3" borderId="1" xfId="0" applyFont="1" applyFill="1" applyBorder="1" applyAlignment="1" applyProtection="1">
      <alignment horizontal="center" vertical="center" wrapText="1"/>
    </xf>
    <xf numFmtId="0" fontId="3" fillId="18" borderId="1" xfId="0" applyFont="1" applyFill="1" applyBorder="1" applyAlignment="1" applyProtection="1">
      <alignment horizontal="center" vertical="center" wrapText="1"/>
    </xf>
    <xf numFmtId="1" fontId="0" fillId="0" borderId="1" xfId="0" applyNumberFormat="1" applyFont="1" applyFill="1" applyBorder="1" applyAlignment="1" applyProtection="1">
      <alignment horizontal="right" vertical="center" wrapText="1"/>
      <protection locked="0"/>
    </xf>
    <xf numFmtId="1" fontId="0" fillId="0" borderId="1" xfId="0" applyNumberFormat="1" applyFont="1" applyFill="1" applyBorder="1" applyAlignment="1" applyProtection="1">
      <alignment vertical="center" wrapText="1"/>
      <protection locked="0"/>
    </xf>
    <xf numFmtId="0" fontId="34" fillId="0" borderId="0" xfId="0" applyFont="1" applyAlignment="1" applyProtection="1">
      <alignment vertical="center"/>
    </xf>
    <xf numFmtId="0" fontId="33" fillId="0" borderId="0" xfId="0" applyFont="1" applyAlignment="1" applyProtection="1">
      <alignment vertical="center"/>
    </xf>
    <xf numFmtId="0" fontId="33" fillId="0" borderId="0" xfId="0" applyFont="1" applyAlignment="1" applyProtection="1">
      <alignment horizontal="right" vertical="center"/>
    </xf>
    <xf numFmtId="0" fontId="32" fillId="0" borderId="1" xfId="0" applyFont="1" applyBorder="1" applyAlignment="1" applyProtection="1">
      <alignment horizontal="center" vertical="center" wrapText="1"/>
    </xf>
    <xf numFmtId="0" fontId="33" fillId="0" borderId="1" xfId="0" applyFont="1" applyBorder="1" applyAlignment="1" applyProtection="1">
      <alignment horizontal="center" vertical="center"/>
    </xf>
    <xf numFmtId="0" fontId="33" fillId="0" borderId="1" xfId="0" applyFont="1" applyBorder="1" applyAlignment="1" applyProtection="1">
      <alignment vertical="center" wrapText="1"/>
    </xf>
    <xf numFmtId="0" fontId="33" fillId="0" borderId="1" xfId="0" applyFont="1" applyBorder="1" applyAlignment="1" applyProtection="1">
      <alignment vertical="center"/>
    </xf>
    <xf numFmtId="0" fontId="36" fillId="0" borderId="0" xfId="0" applyFont="1" applyFill="1" applyAlignment="1" applyProtection="1">
      <alignment vertical="center"/>
    </xf>
    <xf numFmtId="0" fontId="0" fillId="0" borderId="1" xfId="0" applyFont="1" applyFill="1" applyBorder="1" applyAlignment="1" applyProtection="1">
      <alignment horizontal="left" vertical="center" wrapText="1" indent="5"/>
    </xf>
    <xf numFmtId="1" fontId="0" fillId="0" borderId="1" xfId="0" applyNumberFormat="1" applyFont="1" applyBorder="1" applyAlignment="1" applyProtection="1">
      <alignment vertical="center" wrapText="1"/>
      <protection locked="0"/>
    </xf>
    <xf numFmtId="1" fontId="0" fillId="0" borderId="1" xfId="0" applyNumberFormat="1" applyFont="1" applyFill="1" applyBorder="1" applyAlignment="1" applyProtection="1">
      <alignment vertical="center"/>
      <protection locked="0"/>
    </xf>
    <xf numFmtId="1" fontId="40" fillId="15" borderId="1" xfId="0" applyNumberFormat="1" applyFont="1" applyFill="1" applyBorder="1" applyAlignment="1" applyProtection="1">
      <alignment vertical="center" wrapText="1"/>
    </xf>
    <xf numFmtId="0" fontId="0" fillId="0" borderId="4" xfId="0" applyFont="1" applyFill="1" applyBorder="1" applyAlignment="1">
      <alignment horizontal="center" vertical="center" wrapText="1"/>
    </xf>
    <xf numFmtId="0" fontId="5" fillId="15" borderId="1" xfId="0" quotePrefix="1" applyFont="1" applyFill="1" applyBorder="1" applyAlignment="1" applyProtection="1">
      <alignment horizontal="center" vertical="center" wrapText="1"/>
    </xf>
    <xf numFmtId="1" fontId="0" fillId="2" borderId="1" xfId="0" applyNumberFormat="1" applyFont="1" applyFill="1" applyBorder="1" applyAlignment="1" applyProtection="1">
      <alignment vertical="center" wrapText="1"/>
      <protection locked="0"/>
    </xf>
    <xf numFmtId="1" fontId="0" fillId="2" borderId="1" xfId="0" applyNumberFormat="1" applyFont="1" applyFill="1" applyBorder="1" applyAlignment="1" applyProtection="1">
      <alignment horizontal="right" vertical="center" wrapText="1"/>
      <protection locked="0"/>
    </xf>
    <xf numFmtId="1" fontId="0" fillId="2" borderId="1" xfId="0" applyNumberFormat="1" applyFont="1" applyFill="1" applyBorder="1" applyAlignment="1" applyProtection="1">
      <alignment vertical="center"/>
      <protection locked="0"/>
    </xf>
    <xf numFmtId="1" fontId="6" fillId="2" borderId="1" xfId="0" applyNumberFormat="1" applyFont="1" applyFill="1" applyBorder="1" applyAlignment="1" applyProtection="1">
      <alignment vertical="center"/>
      <protection locked="0"/>
    </xf>
    <xf numFmtId="0" fontId="3" fillId="5" borderId="1" xfId="0" applyFont="1" applyFill="1" applyBorder="1" applyAlignment="1">
      <alignment horizontal="center" vertical="center" wrapText="1"/>
    </xf>
    <xf numFmtId="0" fontId="0" fillId="0" borderId="1" xfId="0" applyFont="1" applyFill="1" applyBorder="1" applyAlignment="1">
      <alignment horizontal="left" vertical="center" wrapText="1" indent="5"/>
    </xf>
    <xf numFmtId="1" fontId="0" fillId="2" borderId="1" xfId="0" applyNumberFormat="1" applyFill="1" applyBorder="1" applyAlignment="1" applyProtection="1">
      <alignment vertical="center"/>
      <protection locked="0"/>
    </xf>
    <xf numFmtId="1" fontId="0" fillId="4" borderId="1" xfId="0" applyNumberFormat="1" applyFill="1" applyBorder="1" applyAlignment="1" applyProtection="1">
      <alignment vertical="center"/>
    </xf>
    <xf numFmtId="1" fontId="0" fillId="0" borderId="1" xfId="0" applyNumberFormat="1" applyBorder="1" applyAlignment="1" applyProtection="1">
      <alignment vertical="center"/>
      <protection locked="0"/>
    </xf>
    <xf numFmtId="0" fontId="5" fillId="15" borderId="1" xfId="0" quotePrefix="1" applyFont="1" applyFill="1" applyBorder="1" applyAlignment="1">
      <alignment horizontal="center" vertical="center" wrapText="1"/>
    </xf>
    <xf numFmtId="0" fontId="5" fillId="15" borderId="4" xfId="0" quotePrefix="1" applyFont="1" applyFill="1" applyBorder="1" applyAlignment="1">
      <alignment horizontal="center" vertical="center" wrapText="1"/>
    </xf>
    <xf numFmtId="0" fontId="0" fillId="0" borderId="4" xfId="0" applyFont="1" applyFill="1" applyBorder="1" applyAlignment="1">
      <alignment horizontal="center" vertical="center" wrapText="1"/>
    </xf>
    <xf numFmtId="0" fontId="0" fillId="0" borderId="4" xfId="0" applyFont="1" applyFill="1" applyBorder="1" applyAlignment="1">
      <alignment horizontal="center" vertical="center" wrapText="1"/>
    </xf>
    <xf numFmtId="0" fontId="3" fillId="3" borderId="2" xfId="0" applyFont="1" applyFill="1" applyBorder="1" applyAlignment="1">
      <alignment vertical="center" wrapText="1"/>
    </xf>
    <xf numFmtId="0" fontId="3" fillId="3" borderId="4" xfId="0" applyFont="1" applyFill="1" applyBorder="1" applyAlignment="1">
      <alignment vertical="center" wrapText="1"/>
    </xf>
    <xf numFmtId="1" fontId="0" fillId="0" borderId="1" xfId="0" applyNumberFormat="1" applyFont="1" applyBorder="1" applyAlignment="1" applyProtection="1">
      <alignment vertical="center"/>
      <protection locked="0"/>
    </xf>
    <xf numFmtId="0" fontId="0" fillId="5" borderId="1" xfId="0" applyFont="1" applyFill="1" applyBorder="1" applyAlignment="1">
      <alignment horizontal="center" vertical="center" wrapText="1"/>
    </xf>
    <xf numFmtId="1" fontId="0" fillId="0" borderId="1" xfId="0" applyNumberFormat="1" applyFont="1" applyBorder="1" applyAlignment="1" applyProtection="1">
      <alignment horizontal="right" vertical="center" wrapText="1"/>
      <protection locked="0"/>
    </xf>
    <xf numFmtId="0" fontId="0" fillId="0" borderId="1" xfId="0" applyFill="1" applyBorder="1"/>
    <xf numFmtId="0" fontId="3" fillId="3" borderId="3" xfId="0" applyFont="1" applyFill="1" applyBorder="1" applyAlignment="1">
      <alignment vertical="center" wrapText="1"/>
    </xf>
    <xf numFmtId="0" fontId="43" fillId="0" borderId="0" xfId="0" applyFont="1" applyAlignment="1">
      <alignment vertical="center" wrapText="1"/>
    </xf>
    <xf numFmtId="0" fontId="45" fillId="0" borderId="0" xfId="0" applyFont="1" applyAlignment="1">
      <alignment vertical="center"/>
    </xf>
    <xf numFmtId="0" fontId="3" fillId="5" borderId="1" xfId="0" applyFont="1" applyFill="1" applyBorder="1" applyAlignment="1">
      <alignment horizontal="center" vertical="center"/>
    </xf>
    <xf numFmtId="0" fontId="44" fillId="0" borderId="0" xfId="0" applyFont="1" applyAlignment="1">
      <alignment vertical="center" wrapText="1"/>
    </xf>
    <xf numFmtId="0" fontId="0" fillId="0" borderId="3" xfId="0" applyFont="1" applyFill="1" applyBorder="1" applyAlignment="1">
      <alignment horizontal="center" vertical="center"/>
    </xf>
    <xf numFmtId="0" fontId="33" fillId="0" borderId="1" xfId="0" applyFont="1" applyBorder="1" applyAlignment="1">
      <alignment horizontal="center" vertical="center"/>
    </xf>
    <xf numFmtId="0" fontId="32" fillId="0" borderId="1" xfId="0" applyFont="1" applyBorder="1" applyAlignment="1">
      <alignment horizontal="center" vertical="center" wrapText="1"/>
    </xf>
    <xf numFmtId="0" fontId="33" fillId="0" borderId="1" xfId="0" applyFont="1" applyBorder="1" applyAlignment="1">
      <alignment horizontal="center" vertical="center"/>
    </xf>
    <xf numFmtId="0" fontId="35" fillId="0" borderId="1" xfId="0" applyFont="1" applyFill="1" applyBorder="1" applyAlignment="1">
      <alignment horizontal="center" vertical="center" wrapText="1"/>
    </xf>
    <xf numFmtId="0" fontId="42" fillId="0" borderId="1" xfId="0" applyFont="1" applyFill="1" applyBorder="1" applyAlignment="1">
      <alignment horizontal="center" vertical="center" wrapText="1"/>
    </xf>
    <xf numFmtId="0" fontId="42" fillId="0" borderId="1" xfId="0" applyFont="1" applyBorder="1" applyAlignment="1">
      <alignment horizontal="left" vertical="center" wrapText="1"/>
    </xf>
    <xf numFmtId="1" fontId="42" fillId="0" borderId="1" xfId="0" applyNumberFormat="1" applyFont="1" applyBorder="1" applyAlignment="1" applyProtection="1">
      <alignment horizontal="right" vertical="center" wrapText="1"/>
      <protection locked="0"/>
    </xf>
    <xf numFmtId="1" fontId="42" fillId="0" borderId="1" xfId="0" applyNumberFormat="1" applyFont="1" applyFill="1" applyBorder="1" applyAlignment="1" applyProtection="1">
      <alignment horizontal="right" vertical="center" wrapText="1"/>
      <protection locked="0"/>
    </xf>
    <xf numFmtId="1" fontId="33" fillId="0" borderId="1" xfId="0" applyNumberFormat="1" applyFont="1" applyBorder="1" applyAlignment="1">
      <alignment vertical="center"/>
    </xf>
    <xf numFmtId="1" fontId="26" fillId="15" borderId="6" xfId="0" applyNumberFormat="1" applyFont="1" applyFill="1" applyBorder="1" applyAlignment="1">
      <alignment horizontal="right" vertical="center" wrapText="1"/>
    </xf>
    <xf numFmtId="0" fontId="46" fillId="0" borderId="0" xfId="0" applyFont="1" applyAlignment="1">
      <alignment horizontal="left" vertical="center"/>
    </xf>
    <xf numFmtId="0" fontId="47" fillId="0" borderId="0" xfId="0" applyFont="1" applyAlignment="1" applyProtection="1">
      <alignment horizontal="left" vertical="center"/>
    </xf>
    <xf numFmtId="1" fontId="47" fillId="0" borderId="0" xfId="0" applyNumberFormat="1" applyFont="1" applyAlignment="1" applyProtection="1">
      <alignment horizontal="center" vertical="center"/>
    </xf>
    <xf numFmtId="0" fontId="12" fillId="0" borderId="0" xfId="0" applyFont="1" applyFill="1" applyBorder="1" applyAlignment="1" applyProtection="1">
      <alignment horizontal="left" vertical="center"/>
    </xf>
    <xf numFmtId="0" fontId="46" fillId="0" borderId="0" xfId="0" applyFont="1" applyAlignment="1" applyProtection="1">
      <alignment horizontal="left" vertical="center"/>
    </xf>
    <xf numFmtId="0" fontId="12" fillId="0" borderId="0" xfId="0" applyFont="1" applyFill="1" applyAlignment="1" applyProtection="1">
      <alignment vertical="center"/>
    </xf>
    <xf numFmtId="0" fontId="47" fillId="0" borderId="0" xfId="0" applyFont="1" applyAlignment="1" applyProtection="1">
      <alignment horizontal="center" vertical="center"/>
    </xf>
    <xf numFmtId="0" fontId="48" fillId="0" borderId="0" xfId="0" applyFont="1" applyAlignment="1">
      <alignment vertical="center"/>
    </xf>
    <xf numFmtId="0" fontId="5" fillId="3" borderId="5" xfId="0" quotePrefix="1" applyFont="1" applyFill="1" applyBorder="1" applyAlignment="1">
      <alignment vertical="center"/>
    </xf>
    <xf numFmtId="0" fontId="5" fillId="3" borderId="7" xfId="0" quotePrefix="1" applyFont="1" applyFill="1" applyBorder="1" applyAlignment="1">
      <alignment vertical="center"/>
    </xf>
    <xf numFmtId="0" fontId="5" fillId="3" borderId="6" xfId="0" quotePrefix="1" applyFont="1" applyFill="1" applyBorder="1" applyAlignment="1">
      <alignment vertical="center"/>
    </xf>
    <xf numFmtId="0" fontId="49" fillId="0" borderId="0" xfId="0" applyFont="1" applyAlignment="1" applyProtection="1">
      <alignment horizontal="left" vertical="center"/>
    </xf>
    <xf numFmtId="0" fontId="46" fillId="0" borderId="8" xfId="0" applyFont="1" applyBorder="1" applyAlignment="1" applyProtection="1">
      <alignment vertical="center"/>
    </xf>
    <xf numFmtId="1" fontId="50" fillId="0" borderId="20" xfId="0" applyNumberFormat="1" applyFont="1" applyBorder="1" applyAlignment="1">
      <alignment horizontal="center" vertical="center"/>
    </xf>
    <xf numFmtId="0" fontId="5" fillId="0" borderId="0" xfId="0" applyFont="1" applyAlignment="1">
      <alignment horizontal="left" vertical="center"/>
    </xf>
    <xf numFmtId="0" fontId="3" fillId="0" borderId="0" xfId="0" applyFont="1" applyAlignment="1">
      <alignment horizontal="left" vertical="center"/>
    </xf>
    <xf numFmtId="0" fontId="3" fillId="0" borderId="1" xfId="0" applyFont="1" applyBorder="1" applyAlignment="1" applyProtection="1">
      <alignment horizontal="left" vertical="center"/>
      <protection locked="0"/>
    </xf>
    <xf numFmtId="0" fontId="42" fillId="10" borderId="1" xfId="0" applyFont="1" applyFill="1" applyBorder="1" applyAlignment="1">
      <alignment horizontal="center" vertical="center"/>
    </xf>
    <xf numFmtId="0" fontId="42" fillId="10" borderId="1" xfId="0" applyFont="1" applyFill="1" applyBorder="1" applyAlignment="1">
      <alignment horizontal="center" vertical="center"/>
    </xf>
    <xf numFmtId="1" fontId="13" fillId="15" borderId="1" xfId="0" applyNumberFormat="1" applyFont="1" applyFill="1" applyBorder="1" applyAlignment="1">
      <alignment vertical="center"/>
    </xf>
    <xf numFmtId="1" fontId="26" fillId="15" borderId="1" xfId="0" applyNumberFormat="1" applyFont="1" applyFill="1" applyBorder="1" applyAlignment="1">
      <alignment vertical="center"/>
    </xf>
    <xf numFmtId="0" fontId="42" fillId="22" borderId="1" xfId="0" applyFont="1" applyFill="1" applyBorder="1" applyAlignment="1">
      <alignment horizontal="center" vertical="center"/>
    </xf>
    <xf numFmtId="0" fontId="33" fillId="0" borderId="1" xfId="0" applyFont="1" applyBorder="1" applyAlignment="1">
      <alignment horizontal="center" vertical="center"/>
    </xf>
    <xf numFmtId="0" fontId="32" fillId="0" borderId="1" xfId="0" applyFont="1" applyBorder="1" applyAlignment="1">
      <alignment horizontal="center" vertical="center" wrapText="1"/>
    </xf>
    <xf numFmtId="0" fontId="34" fillId="0" borderId="0" xfId="0" applyFont="1" applyAlignment="1">
      <alignment horizontal="center" vertical="center"/>
    </xf>
    <xf numFmtId="1" fontId="33" fillId="0" borderId="1" xfId="0" applyNumberFormat="1" applyFont="1" applyBorder="1" applyAlignment="1">
      <alignment horizontal="center" vertical="center"/>
    </xf>
    <xf numFmtId="0" fontId="33" fillId="0" borderId="5" xfId="0" applyFont="1" applyBorder="1" applyAlignment="1">
      <alignment vertical="center"/>
    </xf>
    <xf numFmtId="0" fontId="14" fillId="23" borderId="1" xfId="0" applyFont="1" applyFill="1" applyBorder="1" applyAlignment="1" applyProtection="1">
      <alignment vertical="center"/>
    </xf>
    <xf numFmtId="0" fontId="42" fillId="23" borderId="1" xfId="0" applyFont="1" applyFill="1" applyBorder="1" applyAlignment="1" applyProtection="1">
      <alignment horizontal="center" vertical="center" wrapText="1"/>
    </xf>
    <xf numFmtId="1" fontId="40" fillId="23" borderId="1" xfId="0" applyNumberFormat="1" applyFont="1" applyFill="1" applyBorder="1" applyAlignment="1" applyProtection="1">
      <alignment vertical="center" wrapText="1"/>
    </xf>
    <xf numFmtId="1" fontId="14" fillId="23" borderId="1" xfId="0" applyNumberFormat="1" applyFont="1" applyFill="1" applyBorder="1" applyAlignment="1" applyProtection="1">
      <alignment vertical="center" wrapText="1"/>
    </xf>
    <xf numFmtId="0" fontId="42" fillId="23" borderId="2" xfId="0" applyFont="1" applyFill="1" applyBorder="1" applyAlignment="1" applyProtection="1">
      <alignment horizontal="center" vertical="center" wrapText="1"/>
    </xf>
    <xf numFmtId="0" fontId="5" fillId="23" borderId="1" xfId="0" quotePrefix="1" applyFont="1" applyFill="1" applyBorder="1" applyAlignment="1" applyProtection="1">
      <alignment horizontal="center" vertical="center" wrapText="1"/>
    </xf>
    <xf numFmtId="0" fontId="41" fillId="23" borderId="1" xfId="0" quotePrefix="1" applyFont="1" applyFill="1" applyBorder="1" applyAlignment="1" applyProtection="1">
      <alignment horizontal="center" vertical="center" wrapText="1"/>
    </xf>
    <xf numFmtId="0" fontId="5" fillId="23" borderId="1" xfId="0" quotePrefix="1" applyFont="1" applyFill="1" applyBorder="1" applyAlignment="1">
      <alignment horizontal="center" vertical="center" wrapText="1"/>
    </xf>
    <xf numFmtId="0" fontId="5" fillId="23" borderId="4" xfId="0" quotePrefix="1" applyFont="1" applyFill="1" applyBorder="1" applyAlignment="1">
      <alignment horizontal="center" vertical="center" wrapText="1"/>
    </xf>
    <xf numFmtId="0" fontId="42" fillId="23" borderId="2" xfId="0" applyFont="1" applyFill="1" applyBorder="1" applyAlignment="1" applyProtection="1">
      <alignment horizontal="center" vertical="center" wrapText="1"/>
    </xf>
    <xf numFmtId="1" fontId="41" fillId="23" borderId="1" xfId="0" applyNumberFormat="1" applyFont="1" applyFill="1" applyBorder="1" applyAlignment="1" applyProtection="1">
      <alignment vertical="center" wrapText="1"/>
    </xf>
    <xf numFmtId="0" fontId="53" fillId="10" borderId="1" xfId="0" applyFont="1" applyFill="1" applyBorder="1"/>
    <xf numFmtId="0" fontId="42" fillId="10" borderId="1" xfId="0" applyFont="1" applyFill="1" applyBorder="1" applyAlignment="1">
      <alignment horizontal="center" vertical="center" wrapText="1"/>
    </xf>
    <xf numFmtId="0" fontId="42" fillId="10" borderId="7" xfId="0" applyFont="1" applyFill="1" applyBorder="1" applyAlignment="1">
      <alignment horizontal="center" vertical="center" wrapText="1"/>
    </xf>
    <xf numFmtId="1" fontId="42" fillId="10" borderId="6" xfId="0" applyNumberFormat="1" applyFont="1" applyFill="1" applyBorder="1" applyAlignment="1">
      <alignment horizontal="right" vertical="center" wrapText="1"/>
    </xf>
    <xf numFmtId="0" fontId="42" fillId="23" borderId="1" xfId="0" applyFont="1" applyFill="1" applyBorder="1" applyAlignment="1" applyProtection="1">
      <alignment horizontal="center" vertical="center" wrapText="1"/>
    </xf>
    <xf numFmtId="0" fontId="42" fillId="23" borderId="1" xfId="0" applyFont="1" applyFill="1" applyBorder="1" applyAlignment="1" applyProtection="1">
      <alignment horizontal="center" vertical="center" wrapText="1"/>
    </xf>
    <xf numFmtId="0" fontId="13" fillId="23" borderId="4" xfId="0" applyFont="1" applyFill="1" applyBorder="1" applyAlignment="1" applyProtection="1">
      <alignment vertical="center" wrapText="1"/>
    </xf>
    <xf numFmtId="0" fontId="54" fillId="0" borderId="0" xfId="0" applyFont="1"/>
    <xf numFmtId="0" fontId="16" fillId="0" borderId="0" xfId="0" applyFont="1" applyAlignment="1" applyProtection="1">
      <alignment vertical="center"/>
      <protection locked="0"/>
    </xf>
    <xf numFmtId="0" fontId="16" fillId="0" borderId="0" xfId="0" applyFont="1" applyAlignment="1" applyProtection="1">
      <alignment vertical="center"/>
    </xf>
    <xf numFmtId="0" fontId="16" fillId="0" borderId="0" xfId="0" applyFont="1" applyFill="1" applyAlignment="1" applyProtection="1">
      <alignment vertical="center"/>
      <protection locked="0"/>
    </xf>
    <xf numFmtId="0" fontId="16" fillId="0" borderId="0" xfId="0" applyFont="1" applyFill="1" applyBorder="1" applyAlignment="1" applyProtection="1">
      <alignment vertical="center"/>
      <protection locked="0"/>
    </xf>
    <xf numFmtId="0" fontId="16" fillId="0" borderId="0" xfId="0" applyFont="1" applyFill="1" applyProtection="1">
      <protection locked="0"/>
    </xf>
    <xf numFmtId="0" fontId="16" fillId="0" borderId="0" xfId="0" applyFont="1" applyProtection="1">
      <protection locked="0"/>
    </xf>
    <xf numFmtId="0" fontId="16" fillId="0" borderId="0" xfId="0" applyFont="1" applyProtection="1"/>
    <xf numFmtId="0" fontId="16" fillId="2" borderId="0" xfId="0" applyFont="1" applyFill="1"/>
    <xf numFmtId="0" fontId="16" fillId="2" borderId="0" xfId="0" applyFont="1" applyFill="1" applyProtection="1"/>
    <xf numFmtId="0" fontId="16" fillId="0" borderId="0" xfId="0" applyFont="1" applyFill="1" applyProtection="1"/>
    <xf numFmtId="0" fontId="0" fillId="0" borderId="0" xfId="0" applyFont="1" applyFill="1" applyProtection="1"/>
    <xf numFmtId="0" fontId="38" fillId="17" borderId="19" xfId="5" applyFont="1" applyFill="1" applyBorder="1" applyAlignment="1">
      <alignment horizontal="center"/>
    </xf>
    <xf numFmtId="0" fontId="0" fillId="0" borderId="0" xfId="0" applyAlignment="1" applyProtection="1">
      <alignment horizontal="center" vertical="center"/>
    </xf>
    <xf numFmtId="0" fontId="38" fillId="17" borderId="19" xfId="28" applyFont="1" applyFill="1" applyBorder="1" applyAlignment="1">
      <alignment horizontal="center"/>
    </xf>
    <xf numFmtId="0" fontId="55" fillId="0" borderId="0" xfId="0" applyFont="1" applyFill="1" applyAlignment="1" applyProtection="1">
      <alignment horizontal="center" vertical="center"/>
    </xf>
    <xf numFmtId="1" fontId="55" fillId="0" borderId="0" xfId="0" applyNumberFormat="1" applyFont="1" applyFill="1" applyAlignment="1" applyProtection="1">
      <alignment vertical="center"/>
    </xf>
    <xf numFmtId="0" fontId="38" fillId="17" borderId="19" xfId="29" applyFont="1" applyFill="1" applyBorder="1" applyAlignment="1">
      <alignment horizontal="center"/>
    </xf>
    <xf numFmtId="1" fontId="36" fillId="0" borderId="0" xfId="0" applyNumberFormat="1" applyFont="1" applyFill="1" applyAlignment="1" applyProtection="1">
      <alignment vertical="center"/>
    </xf>
    <xf numFmtId="1" fontId="36" fillId="0" borderId="0" xfId="7" applyNumberFormat="1" applyFont="1"/>
    <xf numFmtId="0" fontId="9" fillId="0" borderId="0" xfId="0" applyFont="1" applyAlignment="1">
      <alignment vertical="center"/>
    </xf>
    <xf numFmtId="0" fontId="36" fillId="0" borderId="0" xfId="8" applyFont="1"/>
    <xf numFmtId="0" fontId="55" fillId="0" borderId="0" xfId="0" applyFont="1" applyFill="1"/>
    <xf numFmtId="0" fontId="55" fillId="0" borderId="0" xfId="0" applyFont="1" applyFill="1" applyAlignment="1">
      <alignment horizontal="center"/>
    </xf>
    <xf numFmtId="0" fontId="55" fillId="2" borderId="0" xfId="0" applyFont="1" applyFill="1" applyAlignment="1">
      <alignment vertical="center"/>
    </xf>
    <xf numFmtId="0" fontId="9" fillId="0" borderId="0" xfId="0" applyFont="1" applyFill="1"/>
    <xf numFmtId="0" fontId="55" fillId="2" borderId="0" xfId="0" applyFont="1" applyFill="1" applyAlignment="1">
      <alignment horizontal="center" vertical="center"/>
    </xf>
    <xf numFmtId="0" fontId="9" fillId="2" borderId="0" xfId="0" applyFont="1" applyFill="1" applyAlignment="1">
      <alignment vertical="center"/>
    </xf>
    <xf numFmtId="0" fontId="55" fillId="0" borderId="0" xfId="0" applyFont="1" applyFill="1" applyProtection="1"/>
    <xf numFmtId="0" fontId="38" fillId="17" borderId="19" xfId="30" applyFont="1" applyFill="1" applyBorder="1" applyAlignment="1">
      <alignment horizontal="center"/>
    </xf>
    <xf numFmtId="1" fontId="55" fillId="0" borderId="0" xfId="0" applyNumberFormat="1" applyFont="1" applyFill="1"/>
    <xf numFmtId="0" fontId="37" fillId="0" borderId="0" xfId="15" applyFont="1"/>
    <xf numFmtId="0" fontId="37" fillId="0" borderId="0" xfId="6" applyFont="1"/>
    <xf numFmtId="1" fontId="36" fillId="0" borderId="0" xfId="0" applyNumberFormat="1" applyFont="1" applyFill="1" applyAlignment="1">
      <alignment vertical="center"/>
    </xf>
    <xf numFmtId="1" fontId="36" fillId="0" borderId="0" xfId="6" applyNumberFormat="1" applyFont="1"/>
    <xf numFmtId="0" fontId="55" fillId="0" borderId="0" xfId="0" applyFont="1"/>
    <xf numFmtId="0" fontId="55" fillId="0" borderId="0" xfId="0" applyFont="1" applyAlignment="1">
      <alignment horizontal="center"/>
    </xf>
    <xf numFmtId="1" fontId="55" fillId="0" borderId="0" xfId="0" applyNumberFormat="1" applyFont="1"/>
    <xf numFmtId="0" fontId="55" fillId="0" borderId="0" xfId="0" applyFont="1" applyAlignment="1">
      <alignment vertical="center"/>
    </xf>
    <xf numFmtId="0" fontId="55" fillId="0" borderId="0" xfId="0" applyFont="1" applyAlignment="1">
      <alignment horizontal="center" vertical="center"/>
    </xf>
    <xf numFmtId="0" fontId="38" fillId="17" borderId="19" xfId="31" applyFont="1" applyFill="1" applyBorder="1" applyAlignment="1">
      <alignment horizontal="center"/>
    </xf>
    <xf numFmtId="0" fontId="8" fillId="0" borderId="1" xfId="0" applyFont="1" applyFill="1" applyBorder="1" applyAlignment="1"/>
    <xf numFmtId="0" fontId="18" fillId="14" borderId="1" xfId="0" applyFont="1" applyFill="1" applyBorder="1" applyAlignment="1" applyProtection="1">
      <alignment vertical="center"/>
    </xf>
    <xf numFmtId="0" fontId="18" fillId="0" borderId="1" xfId="0" applyFont="1" applyFill="1" applyBorder="1" applyAlignment="1" applyProtection="1">
      <alignment vertical="center"/>
    </xf>
    <xf numFmtId="0" fontId="19" fillId="0" borderId="13" xfId="0" applyFont="1" applyFill="1" applyBorder="1" applyAlignment="1" applyProtection="1">
      <alignment vertical="center"/>
    </xf>
    <xf numFmtId="0" fontId="20" fillId="0" borderId="15" xfId="0" applyFont="1" applyFill="1" applyBorder="1" applyAlignment="1" applyProtection="1">
      <alignment horizontal="center" vertical="center"/>
    </xf>
    <xf numFmtId="0" fontId="20" fillId="0" borderId="15" xfId="0" applyFont="1" applyFill="1" applyBorder="1" applyAlignment="1" applyProtection="1">
      <alignment vertical="center"/>
    </xf>
    <xf numFmtId="0" fontId="0" fillId="0" borderId="0" xfId="0" applyAlignment="1"/>
    <xf numFmtId="0" fontId="21" fillId="0" borderId="0" xfId="0" applyFont="1" applyFill="1" applyBorder="1" applyAlignment="1" applyProtection="1">
      <alignment vertical="center"/>
    </xf>
    <xf numFmtId="0" fontId="21" fillId="0" borderId="14" xfId="0" applyFont="1" applyFill="1" applyBorder="1" applyAlignment="1" applyProtection="1">
      <alignment horizontal="center" vertical="center"/>
    </xf>
    <xf numFmtId="0" fontId="21" fillId="0" borderId="14" xfId="0" applyFont="1" applyFill="1" applyBorder="1" applyAlignment="1" applyProtection="1">
      <alignment vertical="center"/>
    </xf>
    <xf numFmtId="0" fontId="20" fillId="0" borderId="14" xfId="0" applyFont="1" applyFill="1" applyBorder="1" applyAlignment="1" applyProtection="1">
      <alignment horizontal="center" vertical="center"/>
    </xf>
    <xf numFmtId="0" fontId="20" fillId="0" borderId="14" xfId="0" applyFont="1" applyFill="1" applyBorder="1" applyAlignment="1" applyProtection="1">
      <alignment vertical="center"/>
    </xf>
    <xf numFmtId="0" fontId="0" fillId="0" borderId="21" xfId="0" applyBorder="1" applyAlignment="1">
      <alignment horizontal="center"/>
    </xf>
    <xf numFmtId="0" fontId="0" fillId="0" borderId="21" xfId="0" applyBorder="1" applyAlignment="1"/>
    <xf numFmtId="0" fontId="21" fillId="0" borderId="15" xfId="0" applyFont="1" applyFill="1" applyBorder="1" applyAlignment="1" applyProtection="1">
      <alignment horizontal="center" vertical="center"/>
    </xf>
    <xf numFmtId="0" fontId="0" fillId="0" borderId="0" xfId="0" applyAlignment="1" applyProtection="1"/>
    <xf numFmtId="0" fontId="19" fillId="0" borderId="14" xfId="0" applyFont="1" applyFill="1" applyBorder="1" applyAlignment="1" applyProtection="1">
      <alignment vertical="center"/>
    </xf>
    <xf numFmtId="1" fontId="55" fillId="0" borderId="0" xfId="0" applyNumberFormat="1" applyFont="1" applyFill="1" applyAlignment="1" applyProtection="1">
      <alignment horizontal="center" vertical="center"/>
    </xf>
    <xf numFmtId="1" fontId="55" fillId="0" borderId="0" xfId="0" applyNumberFormat="1" applyFont="1" applyAlignment="1" applyProtection="1">
      <alignment horizontal="center" vertical="center"/>
    </xf>
    <xf numFmtId="1" fontId="36" fillId="0" borderId="0" xfId="0" applyNumberFormat="1" applyFont="1" applyFill="1" applyAlignment="1">
      <alignment horizontal="center" vertical="center"/>
    </xf>
    <xf numFmtId="1" fontId="26" fillId="15" borderId="1" xfId="0" applyNumberFormat="1" applyFont="1" applyFill="1" applyBorder="1" applyAlignment="1" applyProtection="1">
      <alignment vertical="center"/>
    </xf>
    <xf numFmtId="1" fontId="13" fillId="15" borderId="6" xfId="0" applyNumberFormat="1" applyFont="1" applyFill="1" applyBorder="1" applyAlignment="1">
      <alignment vertical="center" wrapText="1"/>
    </xf>
    <xf numFmtId="1" fontId="36" fillId="0" borderId="0" xfId="8" applyNumberFormat="1" applyFont="1"/>
    <xf numFmtId="1" fontId="0" fillId="6" borderId="1" xfId="0" applyNumberFormat="1" applyFont="1" applyFill="1" applyBorder="1" applyAlignment="1" applyProtection="1">
      <alignment vertical="center" wrapText="1"/>
    </xf>
    <xf numFmtId="1" fontId="55" fillId="0" borderId="0" xfId="0" applyNumberFormat="1" applyFont="1" applyFill="1" applyAlignment="1">
      <alignment horizontal="center"/>
    </xf>
    <xf numFmtId="1" fontId="55" fillId="2" borderId="0" xfId="0" applyNumberFormat="1" applyFont="1" applyFill="1" applyAlignment="1">
      <alignment horizontal="center" vertical="center"/>
    </xf>
    <xf numFmtId="1" fontId="55" fillId="2" borderId="0" xfId="0" applyNumberFormat="1" applyFont="1" applyFill="1" applyAlignment="1">
      <alignment vertical="center"/>
    </xf>
    <xf numFmtId="1" fontId="26" fillId="15" borderId="6" xfId="0" applyNumberFormat="1" applyFont="1" applyFill="1" applyBorder="1" applyAlignment="1">
      <alignment vertical="center"/>
    </xf>
    <xf numFmtId="1" fontId="13" fillId="23" borderId="6" xfId="0" applyNumberFormat="1" applyFont="1" applyFill="1" applyBorder="1" applyAlignment="1" applyProtection="1">
      <alignment vertical="center"/>
    </xf>
    <xf numFmtId="1" fontId="13" fillId="15" borderId="6" xfId="0" applyNumberFormat="1" applyFont="1" applyFill="1" applyBorder="1" applyAlignment="1">
      <alignment vertical="center"/>
    </xf>
    <xf numFmtId="1" fontId="3" fillId="16" borderId="6" xfId="0" applyNumberFormat="1" applyFont="1" applyFill="1" applyBorder="1" applyAlignment="1">
      <alignment vertical="center" wrapText="1"/>
    </xf>
    <xf numFmtId="1" fontId="26" fillId="15" borderId="1" xfId="0" applyNumberFormat="1" applyFont="1" applyFill="1" applyBorder="1" applyAlignment="1">
      <alignment vertical="center" wrapText="1"/>
    </xf>
    <xf numFmtId="1" fontId="55" fillId="0" borderId="0" xfId="0" applyNumberFormat="1" applyFont="1" applyAlignment="1">
      <alignment horizontal="center"/>
    </xf>
    <xf numFmtId="1" fontId="0" fillId="6" borderId="1" xfId="0" applyNumberFormat="1" applyFont="1" applyFill="1" applyBorder="1" applyAlignment="1" applyProtection="1">
      <alignment vertical="center"/>
    </xf>
    <xf numFmtId="1" fontId="55" fillId="0" borderId="0" xfId="0" applyNumberFormat="1" applyFont="1" applyAlignment="1">
      <alignment horizontal="center" vertical="center"/>
    </xf>
    <xf numFmtId="1" fontId="0" fillId="6" borderId="1" xfId="0" applyNumberFormat="1" applyFont="1" applyFill="1" applyBorder="1" applyAlignment="1" applyProtection="1">
      <alignment horizontal="right" vertical="center" wrapText="1"/>
    </xf>
    <xf numFmtId="1" fontId="55" fillId="0" borderId="0" xfId="0" applyNumberFormat="1" applyFont="1" applyAlignment="1">
      <alignment vertical="center"/>
    </xf>
    <xf numFmtId="1" fontId="13" fillId="23" borderId="1" xfId="0" applyNumberFormat="1" applyFont="1" applyFill="1" applyBorder="1" applyAlignment="1" applyProtection="1">
      <alignment vertical="center"/>
    </xf>
    <xf numFmtId="1" fontId="13" fillId="23" borderId="1" xfId="0" applyNumberFormat="1" applyFont="1" applyFill="1" applyBorder="1" applyAlignment="1" applyProtection="1">
      <alignment vertical="center" wrapText="1"/>
    </xf>
    <xf numFmtId="1" fontId="13" fillId="23" borderId="6" xfId="0" applyNumberFormat="1" applyFont="1" applyFill="1" applyBorder="1" applyAlignment="1" applyProtection="1">
      <alignment vertical="center" wrapText="1"/>
    </xf>
    <xf numFmtId="0" fontId="58" fillId="0" borderId="1" xfId="0" applyFont="1" applyFill="1" applyBorder="1" applyAlignment="1" applyProtection="1">
      <alignment vertical="center" wrapText="1"/>
    </xf>
    <xf numFmtId="0" fontId="58" fillId="0" borderId="1" xfId="0" applyFont="1" applyFill="1" applyBorder="1" applyAlignment="1" applyProtection="1">
      <alignment horizontal="left" vertical="center" wrapText="1" indent="2"/>
    </xf>
    <xf numFmtId="1" fontId="58" fillId="7" borderId="1" xfId="0" applyNumberFormat="1" applyFont="1" applyFill="1" applyBorder="1" applyAlignment="1" applyProtection="1">
      <alignment vertical="center" wrapText="1"/>
    </xf>
    <xf numFmtId="1" fontId="58" fillId="23" borderId="1" xfId="0" applyNumberFormat="1" applyFont="1" applyFill="1" applyBorder="1" applyAlignment="1" applyProtection="1">
      <alignment vertical="center" wrapText="1"/>
    </xf>
    <xf numFmtId="1" fontId="58" fillId="4" borderId="1" xfId="0" applyNumberFormat="1" applyFont="1" applyFill="1" applyBorder="1" applyAlignment="1" applyProtection="1">
      <alignment vertical="center"/>
    </xf>
    <xf numFmtId="0" fontId="58" fillId="0" borderId="0" xfId="0" applyFont="1" applyFill="1" applyAlignment="1" applyProtection="1">
      <alignment vertical="center"/>
    </xf>
    <xf numFmtId="1" fontId="58" fillId="11" borderId="1" xfId="0" applyNumberFormat="1" applyFont="1" applyFill="1" applyBorder="1" applyAlignment="1" applyProtection="1">
      <alignment vertical="center" wrapText="1"/>
    </xf>
    <xf numFmtId="0" fontId="35" fillId="0" borderId="4" xfId="0" applyFont="1" applyFill="1" applyBorder="1" applyAlignment="1" applyProtection="1">
      <alignment horizontal="center" vertical="center" wrapText="1"/>
    </xf>
    <xf numFmtId="0" fontId="35" fillId="0" borderId="1" xfId="0" applyFont="1" applyFill="1" applyBorder="1" applyAlignment="1" applyProtection="1">
      <alignment horizontal="center" vertical="center" wrapText="1"/>
    </xf>
    <xf numFmtId="0" fontId="58" fillId="5" borderId="1" xfId="0" applyFont="1" applyFill="1" applyBorder="1" applyAlignment="1" applyProtection="1">
      <alignment horizontal="left" vertical="center" wrapText="1"/>
    </xf>
    <xf numFmtId="1" fontId="58" fillId="5" borderId="1" xfId="0" applyNumberFormat="1" applyFont="1" applyFill="1" applyBorder="1" applyAlignment="1" applyProtection="1">
      <alignment horizontal="right" vertical="center" wrapText="1"/>
    </xf>
    <xf numFmtId="1" fontId="59" fillId="5" borderId="1" xfId="0" applyNumberFormat="1" applyFont="1" applyFill="1" applyBorder="1" applyAlignment="1" applyProtection="1">
      <alignment vertical="center" wrapText="1"/>
    </xf>
    <xf numFmtId="0" fontId="58" fillId="5" borderId="1" xfId="0" applyFont="1" applyFill="1" applyBorder="1" applyAlignment="1" applyProtection="1">
      <alignment vertical="center"/>
    </xf>
    <xf numFmtId="1" fontId="58" fillId="5" borderId="1" xfId="0" applyNumberFormat="1" applyFont="1" applyFill="1" applyBorder="1" applyAlignment="1" applyProtection="1">
      <alignment vertical="center"/>
    </xf>
    <xf numFmtId="0" fontId="58" fillId="5" borderId="2" xfId="0" applyFont="1" applyFill="1" applyBorder="1" applyAlignment="1" applyProtection="1">
      <alignment horizontal="left" vertical="center" wrapText="1"/>
    </xf>
    <xf numFmtId="1" fontId="58" fillId="5" borderId="2" xfId="0" applyNumberFormat="1" applyFont="1" applyFill="1" applyBorder="1" applyAlignment="1" applyProtection="1">
      <alignment horizontal="right" vertical="center" wrapText="1"/>
    </xf>
    <xf numFmtId="0" fontId="6" fillId="5" borderId="1" xfId="0" applyFont="1" applyFill="1" applyBorder="1" applyAlignment="1" applyProtection="1">
      <alignment horizontal="center" vertical="center" wrapText="1"/>
    </xf>
    <xf numFmtId="0" fontId="35" fillId="5" borderId="1" xfId="0" applyFont="1" applyFill="1" applyBorder="1" applyAlignment="1" applyProtection="1">
      <alignment horizontal="center" vertical="center" wrapText="1"/>
    </xf>
    <xf numFmtId="1" fontId="58" fillId="7" borderId="1" xfId="0" applyNumberFormat="1" applyFont="1" applyFill="1" applyBorder="1" applyAlignment="1" applyProtection="1">
      <alignment vertical="center"/>
    </xf>
    <xf numFmtId="1" fontId="58" fillId="23" borderId="1" xfId="0" applyNumberFormat="1" applyFont="1" applyFill="1" applyBorder="1" applyAlignment="1" applyProtection="1">
      <alignment vertical="center"/>
    </xf>
    <xf numFmtId="1" fontId="56" fillId="4" borderId="1" xfId="0" applyNumberFormat="1" applyFont="1" applyFill="1" applyBorder="1" applyAlignment="1" applyProtection="1">
      <alignment vertical="center"/>
    </xf>
    <xf numFmtId="1" fontId="57" fillId="4" borderId="1" xfId="0" applyNumberFormat="1" applyFont="1" applyFill="1" applyBorder="1" applyAlignment="1" applyProtection="1">
      <alignment vertical="center"/>
    </xf>
    <xf numFmtId="1" fontId="58" fillId="11" borderId="1" xfId="0" applyNumberFormat="1" applyFont="1" applyFill="1" applyBorder="1" applyAlignment="1" applyProtection="1">
      <alignment vertical="center"/>
    </xf>
    <xf numFmtId="0" fontId="58" fillId="0" borderId="1" xfId="0" applyFont="1" applyFill="1" applyBorder="1" applyAlignment="1">
      <alignment vertical="center" wrapText="1"/>
    </xf>
    <xf numFmtId="0" fontId="58" fillId="7" borderId="1" xfId="0" applyFont="1" applyFill="1" applyBorder="1" applyAlignment="1">
      <alignment vertical="center"/>
    </xf>
    <xf numFmtId="0" fontId="58" fillId="4" borderId="1" xfId="0" applyFont="1" applyFill="1" applyBorder="1" applyAlignment="1">
      <alignment vertical="center"/>
    </xf>
    <xf numFmtId="1" fontId="58" fillId="7" borderId="1" xfId="0" applyNumberFormat="1" applyFont="1" applyFill="1" applyBorder="1" applyAlignment="1">
      <alignment vertical="center"/>
    </xf>
    <xf numFmtId="1" fontId="58" fillId="4" borderId="1" xfId="0" applyNumberFormat="1" applyFont="1" applyFill="1" applyBorder="1" applyAlignment="1">
      <alignment vertical="center"/>
    </xf>
    <xf numFmtId="0" fontId="58" fillId="0" borderId="1" xfId="0" applyFont="1" applyFill="1" applyBorder="1" applyAlignment="1">
      <alignment horizontal="left" vertical="center" wrapText="1" indent="2"/>
    </xf>
    <xf numFmtId="0" fontId="58" fillId="5" borderId="1" xfId="0" applyFont="1" applyFill="1" applyBorder="1" applyAlignment="1">
      <alignment vertical="center" wrapText="1"/>
    </xf>
    <xf numFmtId="1" fontId="58" fillId="5" borderId="1" xfId="0" applyNumberFormat="1" applyFont="1" applyFill="1" applyBorder="1" applyAlignment="1">
      <alignment vertical="center"/>
    </xf>
    <xf numFmtId="0" fontId="58" fillId="7" borderId="1" xfId="0" applyFont="1" applyFill="1" applyBorder="1" applyAlignment="1" applyProtection="1">
      <alignment vertical="center"/>
    </xf>
    <xf numFmtId="0" fontId="58" fillId="4" borderId="1" xfId="0" applyFont="1" applyFill="1" applyBorder="1" applyAlignment="1" applyProtection="1">
      <alignment vertical="center"/>
    </xf>
    <xf numFmtId="0" fontId="58" fillId="23" borderId="1" xfId="0" applyFont="1" applyFill="1" applyBorder="1" applyAlignment="1" applyProtection="1">
      <alignment vertical="center"/>
    </xf>
    <xf numFmtId="1" fontId="58" fillId="7" borderId="1" xfId="0" applyNumberFormat="1" applyFont="1" applyFill="1" applyBorder="1" applyAlignment="1">
      <alignment vertical="center" wrapText="1"/>
    </xf>
    <xf numFmtId="0" fontId="6" fillId="5" borderId="1" xfId="0" applyFont="1" applyFill="1" applyBorder="1" applyAlignment="1">
      <alignment horizontal="center" vertical="center" wrapText="1"/>
    </xf>
    <xf numFmtId="1" fontId="58" fillId="5" borderId="1" xfId="0" applyNumberFormat="1" applyFont="1" applyFill="1" applyBorder="1" applyAlignment="1">
      <alignment vertical="center" wrapText="1"/>
    </xf>
    <xf numFmtId="0" fontId="58" fillId="2" borderId="1" xfId="0" applyFont="1" applyFill="1" applyBorder="1" applyAlignment="1">
      <alignment horizontal="left" vertical="center"/>
    </xf>
    <xf numFmtId="1" fontId="58" fillId="11" borderId="1" xfId="0" applyNumberFormat="1" applyFont="1" applyFill="1" applyBorder="1" applyAlignment="1">
      <alignment vertical="center"/>
    </xf>
    <xf numFmtId="0" fontId="6" fillId="5" borderId="1" xfId="0" applyFont="1" applyFill="1" applyBorder="1" applyAlignment="1">
      <alignment horizontal="center" vertical="top" wrapText="1"/>
    </xf>
    <xf numFmtId="1" fontId="58" fillId="5" borderId="1" xfId="0" applyNumberFormat="1" applyFont="1" applyFill="1" applyBorder="1" applyAlignment="1">
      <alignment horizontal="right" vertical="top" wrapText="1"/>
    </xf>
    <xf numFmtId="1" fontId="58" fillId="5" borderId="1" xfId="0" applyNumberFormat="1" applyFont="1" applyFill="1" applyBorder="1" applyAlignment="1" applyProtection="1">
      <alignment vertical="center" wrapText="1"/>
    </xf>
    <xf numFmtId="1" fontId="58" fillId="4" borderId="1" xfId="0" applyNumberFormat="1" applyFont="1" applyFill="1" applyBorder="1" applyAlignment="1">
      <alignment vertical="center" wrapText="1"/>
    </xf>
    <xf numFmtId="0" fontId="58" fillId="5" borderId="1" xfId="0" applyFont="1" applyFill="1" applyBorder="1" applyAlignment="1">
      <alignment horizontal="left" vertical="center" wrapText="1"/>
    </xf>
    <xf numFmtId="1" fontId="58" fillId="5" borderId="1" xfId="0" applyNumberFormat="1" applyFont="1" applyFill="1" applyBorder="1" applyAlignment="1">
      <alignment horizontal="right" vertical="center" wrapText="1"/>
    </xf>
    <xf numFmtId="0" fontId="58" fillId="0" borderId="1" xfId="0" applyFont="1" applyBorder="1" applyAlignment="1">
      <alignment horizontal="left" vertical="center" wrapText="1"/>
    </xf>
    <xf numFmtId="1" fontId="58" fillId="7" borderId="1" xfId="0" applyNumberFormat="1" applyFont="1" applyFill="1" applyBorder="1" applyAlignment="1">
      <alignment horizontal="right" vertical="center" wrapText="1"/>
    </xf>
    <xf numFmtId="1" fontId="58" fillId="4" borderId="1" xfId="0" applyNumberFormat="1" applyFont="1" applyFill="1" applyBorder="1" applyAlignment="1">
      <alignment horizontal="right" vertical="center" wrapText="1"/>
    </xf>
    <xf numFmtId="0" fontId="58" fillId="0" borderId="1" xfId="0" applyFont="1" applyFill="1" applyBorder="1" applyAlignment="1">
      <alignment horizontal="left" vertical="center" wrapText="1"/>
    </xf>
    <xf numFmtId="1" fontId="58" fillId="12" borderId="1" xfId="0" applyNumberFormat="1" applyFont="1" applyFill="1" applyBorder="1" applyAlignment="1">
      <alignment vertical="center" wrapText="1"/>
    </xf>
    <xf numFmtId="1" fontId="58" fillId="12" borderId="1" xfId="0" applyNumberFormat="1" applyFont="1" applyFill="1" applyBorder="1" applyAlignment="1">
      <alignment horizontal="right" vertical="center" wrapText="1"/>
    </xf>
    <xf numFmtId="166" fontId="0" fillId="0" borderId="0" xfId="0" applyNumberFormat="1" applyAlignment="1" applyProtection="1">
      <alignment vertical="center"/>
    </xf>
    <xf numFmtId="1" fontId="58" fillId="25" borderId="1" xfId="0" applyNumberFormat="1" applyFont="1" applyFill="1" applyBorder="1" applyAlignment="1" applyProtection="1">
      <alignment horizontal="center" vertical="center" wrapText="1"/>
    </xf>
    <xf numFmtId="1" fontId="61" fillId="0" borderId="0" xfId="0" applyNumberFormat="1" applyFont="1" applyAlignment="1" applyProtection="1">
      <alignment horizontal="center" vertical="center"/>
    </xf>
    <xf numFmtId="0" fontId="61" fillId="0" borderId="0" xfId="0" applyFont="1" applyAlignment="1" applyProtection="1">
      <alignment horizontal="right" vertical="center"/>
    </xf>
    <xf numFmtId="1" fontId="3" fillId="23" borderId="1" xfId="0" applyNumberFormat="1" applyFont="1" applyFill="1" applyBorder="1" applyAlignment="1" applyProtection="1">
      <alignment vertical="center"/>
    </xf>
    <xf numFmtId="1" fontId="25" fillId="23" borderId="1" xfId="0" applyNumberFormat="1" applyFont="1" applyFill="1" applyBorder="1" applyAlignment="1" applyProtection="1">
      <alignment vertical="center"/>
    </xf>
    <xf numFmtId="1" fontId="58" fillId="6" borderId="1" xfId="0" applyNumberFormat="1" applyFont="1" applyFill="1" applyBorder="1" applyAlignment="1">
      <alignment vertical="center" wrapText="1"/>
    </xf>
    <xf numFmtId="0" fontId="62" fillId="0" borderId="0" xfId="0" applyFont="1"/>
    <xf numFmtId="2" fontId="0" fillId="0" borderId="0" xfId="0" applyNumberFormat="1" applyFont="1" applyAlignment="1">
      <alignment vertical="center"/>
    </xf>
    <xf numFmtId="1" fontId="33" fillId="0" borderId="5" xfId="0" applyNumberFormat="1" applyFont="1" applyBorder="1" applyAlignment="1">
      <alignment horizontal="center" vertical="center"/>
    </xf>
    <xf numFmtId="0" fontId="34" fillId="0" borderId="0" xfId="0" applyFont="1" applyAlignment="1">
      <alignment horizontal="right" vertical="center"/>
    </xf>
    <xf numFmtId="0" fontId="33" fillId="0" borderId="1" xfId="0" applyFont="1" applyBorder="1" applyAlignment="1">
      <alignment horizontal="center" vertical="center"/>
    </xf>
    <xf numFmtId="0" fontId="0" fillId="0" borderId="6" xfId="0" applyFont="1" applyFill="1" applyBorder="1" applyAlignment="1">
      <alignment horizontal="left" vertical="center" wrapText="1" indent="2"/>
    </xf>
    <xf numFmtId="1" fontId="64" fillId="0" borderId="23" xfId="0" applyNumberFormat="1" applyFont="1" applyBorder="1" applyAlignment="1">
      <alignment horizontal="center" vertical="center"/>
    </xf>
    <xf numFmtId="0" fontId="65" fillId="0" borderId="0" xfId="0" applyFont="1" applyAlignment="1">
      <alignment horizontal="right"/>
    </xf>
    <xf numFmtId="165" fontId="65" fillId="0" borderId="0" xfId="0" applyNumberFormat="1" applyFont="1" applyAlignment="1">
      <alignment horizontal="right"/>
    </xf>
    <xf numFmtId="0" fontId="61" fillId="0" borderId="0" xfId="0" applyFont="1" applyAlignment="1">
      <alignment horizontal="right" vertical="center"/>
    </xf>
    <xf numFmtId="0" fontId="47" fillId="0" borderId="0" xfId="0" applyFont="1" applyAlignment="1">
      <alignment horizontal="right" vertical="center"/>
    </xf>
    <xf numFmtId="0" fontId="0" fillId="0" borderId="4" xfId="0" applyFont="1" applyFill="1" applyBorder="1" applyAlignment="1">
      <alignment vertical="top" wrapText="1"/>
    </xf>
    <xf numFmtId="0" fontId="58" fillId="0" borderId="6" xfId="0" applyFont="1" applyFill="1" applyBorder="1" applyAlignment="1">
      <alignment vertical="center" wrapText="1"/>
    </xf>
    <xf numFmtId="0" fontId="0" fillId="0" borderId="2" xfId="0" applyFont="1" applyFill="1" applyBorder="1" applyAlignment="1">
      <alignment horizontal="center" vertical="center" wrapText="1"/>
    </xf>
    <xf numFmtId="0" fontId="0" fillId="0" borderId="1" xfId="0" applyFont="1" applyFill="1" applyBorder="1" applyAlignment="1">
      <alignment vertical="top" wrapText="1"/>
    </xf>
    <xf numFmtId="1" fontId="33" fillId="0" borderId="1" xfId="0" applyNumberFormat="1" applyFont="1" applyBorder="1" applyAlignment="1">
      <alignment horizontal="center" vertical="center" wrapText="1"/>
    </xf>
    <xf numFmtId="0" fontId="33" fillId="0" borderId="1" xfId="0" applyFont="1" applyBorder="1" applyAlignment="1">
      <alignment horizontal="center" vertical="center"/>
    </xf>
    <xf numFmtId="1" fontId="33" fillId="0" borderId="9" xfId="0" applyNumberFormat="1" applyFont="1" applyBorder="1" applyAlignment="1">
      <alignment horizontal="center" vertical="center"/>
    </xf>
    <xf numFmtId="0" fontId="33" fillId="0" borderId="1" xfId="0" applyFont="1" applyBorder="1" applyAlignment="1">
      <alignment horizontal="left" vertical="center"/>
    </xf>
    <xf numFmtId="0" fontId="33" fillId="0" borderId="1" xfId="0" applyFont="1" applyBorder="1" applyAlignment="1">
      <alignment horizontal="right" vertical="center"/>
    </xf>
    <xf numFmtId="0" fontId="34" fillId="0" borderId="0" xfId="0" applyFont="1" applyAlignment="1" applyProtection="1">
      <alignment horizontal="right" vertical="center"/>
    </xf>
    <xf numFmtId="0" fontId="33" fillId="0" borderId="1" xfId="0" applyFont="1" applyBorder="1" applyAlignment="1">
      <alignment horizontal="left" vertical="center" indent="4"/>
    </xf>
    <xf numFmtId="0" fontId="33" fillId="0" borderId="1" xfId="0" applyFont="1" applyBorder="1" applyAlignment="1">
      <alignment horizontal="left" vertical="center" wrapText="1" indent="4"/>
    </xf>
    <xf numFmtId="0" fontId="16" fillId="2" borderId="0" xfId="0" applyFont="1" applyFill="1" applyAlignment="1" applyProtection="1">
      <alignment vertical="center"/>
      <protection locked="0"/>
    </xf>
    <xf numFmtId="0" fontId="66" fillId="0" borderId="0" xfId="0" applyFont="1" applyFill="1" applyAlignment="1" applyProtection="1">
      <alignment vertical="center"/>
      <protection locked="0"/>
    </xf>
    <xf numFmtId="0" fontId="16" fillId="0" borderId="0" xfId="0" applyFont="1" applyFill="1" applyAlignment="1" applyProtection="1">
      <alignment vertical="center"/>
    </xf>
    <xf numFmtId="0" fontId="3" fillId="3" borderId="1" xfId="0" applyFont="1" applyFill="1" applyBorder="1" applyAlignment="1" applyProtection="1">
      <alignment horizontal="center" vertical="center" wrapText="1"/>
    </xf>
    <xf numFmtId="0" fontId="3" fillId="18" borderId="1" xfId="0" applyFont="1" applyFill="1" applyBorder="1" applyAlignment="1" applyProtection="1">
      <alignment horizontal="center" vertical="center" wrapText="1"/>
    </xf>
    <xf numFmtId="0" fontId="16" fillId="0" borderId="0" xfId="0" applyFont="1"/>
    <xf numFmtId="0" fontId="0" fillId="0" borderId="0" xfId="0" applyFont="1" applyBorder="1" applyProtection="1"/>
    <xf numFmtId="0" fontId="5" fillId="0" borderId="0" xfId="0" applyFont="1" applyAlignment="1" applyProtection="1">
      <alignment horizontal="left" vertical="center"/>
    </xf>
    <xf numFmtId="0" fontId="5" fillId="0" borderId="0" xfId="0" applyFont="1" applyBorder="1" applyAlignment="1" applyProtection="1">
      <alignment horizontal="left" vertical="center"/>
    </xf>
    <xf numFmtId="0" fontId="0" fillId="0" borderId="5" xfId="0" applyFont="1" applyFill="1" applyBorder="1" applyAlignment="1" applyProtection="1">
      <alignment horizontal="center" vertical="center" wrapText="1"/>
    </xf>
    <xf numFmtId="0" fontId="0" fillId="0" borderId="5" xfId="0" applyFont="1" applyBorder="1" applyAlignment="1" applyProtection="1">
      <alignment horizontal="left" vertical="center"/>
    </xf>
    <xf numFmtId="1" fontId="58" fillId="4" borderId="1" xfId="0" applyNumberFormat="1" applyFont="1" applyFill="1" applyBorder="1" applyAlignment="1" applyProtection="1">
      <alignment horizontal="right" vertical="center" wrapText="1"/>
    </xf>
    <xf numFmtId="0" fontId="0" fillId="0" borderId="1" xfId="0" applyFont="1" applyFill="1" applyBorder="1" applyAlignment="1" applyProtection="1">
      <alignment horizontal="left" vertical="center" wrapText="1"/>
    </xf>
    <xf numFmtId="0" fontId="0" fillId="0" borderId="5" xfId="0" applyFont="1" applyBorder="1" applyAlignment="1" applyProtection="1">
      <alignment horizontal="left" vertical="center" wrapText="1"/>
    </xf>
    <xf numFmtId="0" fontId="35" fillId="0" borderId="1" xfId="0" applyFont="1" applyFill="1" applyBorder="1" applyAlignment="1" applyProtection="1">
      <alignment vertical="center" wrapText="1"/>
    </xf>
    <xf numFmtId="0" fontId="3" fillId="5" borderId="1" xfId="0" applyFont="1" applyFill="1" applyBorder="1" applyAlignment="1" applyProtection="1">
      <alignment horizontal="center" vertical="center" wrapText="1"/>
    </xf>
    <xf numFmtId="0" fontId="3" fillId="5" borderId="1" xfId="0" applyFont="1" applyFill="1" applyBorder="1" applyAlignment="1" applyProtection="1">
      <alignment vertical="center" wrapText="1"/>
    </xf>
    <xf numFmtId="1" fontId="26" fillId="15" borderId="6" xfId="0" applyNumberFormat="1" applyFont="1" applyFill="1" applyBorder="1" applyAlignment="1" applyProtection="1">
      <alignment vertical="center"/>
    </xf>
    <xf numFmtId="0" fontId="34" fillId="0" borderId="0" xfId="0" applyFont="1" applyAlignment="1" applyProtection="1">
      <alignment horizontal="center" vertical="center"/>
    </xf>
    <xf numFmtId="0" fontId="32" fillId="0" borderId="0" xfId="0" applyFont="1" applyAlignment="1" applyProtection="1">
      <alignment horizontal="right" vertical="center"/>
    </xf>
    <xf numFmtId="0" fontId="32" fillId="0" borderId="1" xfId="0" applyFont="1" applyBorder="1" applyAlignment="1" applyProtection="1">
      <alignment horizontal="center" vertical="center"/>
    </xf>
    <xf numFmtId="1" fontId="33" fillId="0" borderId="1" xfId="0" applyNumberFormat="1" applyFont="1" applyBorder="1" applyAlignment="1" applyProtection="1">
      <alignment horizontal="center" vertical="center"/>
    </xf>
    <xf numFmtId="0" fontId="55" fillId="0" borderId="0" xfId="0" applyFont="1" applyAlignment="1" applyProtection="1">
      <alignment horizontal="center"/>
    </xf>
    <xf numFmtId="0" fontId="55" fillId="0" borderId="0" xfId="0" applyFont="1" applyProtection="1"/>
    <xf numFmtId="0" fontId="38" fillId="17" borderId="19" xfId="24" applyFont="1" applyFill="1" applyBorder="1" applyAlignment="1" applyProtection="1">
      <alignment horizontal="center"/>
    </xf>
    <xf numFmtId="1" fontId="55" fillId="0" borderId="0" xfId="0" applyNumberFormat="1" applyFont="1" applyAlignment="1" applyProtection="1">
      <alignment horizontal="center"/>
    </xf>
    <xf numFmtId="1" fontId="55" fillId="0" borderId="0" xfId="0" applyNumberFormat="1" applyFont="1" applyProtection="1"/>
    <xf numFmtId="1" fontId="55" fillId="0" borderId="0" xfId="0" applyNumberFormat="1" applyFont="1" applyAlignment="1" applyProtection="1">
      <alignment vertical="center"/>
    </xf>
    <xf numFmtId="0" fontId="33" fillId="0" borderId="1" xfId="0" applyFont="1" applyBorder="1" applyAlignment="1">
      <alignment horizontal="center" vertical="center"/>
    </xf>
    <xf numFmtId="0" fontId="33" fillId="0" borderId="1" xfId="0" applyFont="1" applyBorder="1" applyAlignment="1">
      <alignment horizontal="left" vertical="center" indent="1"/>
    </xf>
    <xf numFmtId="0" fontId="33" fillId="0" borderId="1" xfId="0" applyFont="1" applyBorder="1" applyAlignment="1">
      <alignment horizontal="center" vertical="center" wrapText="1"/>
    </xf>
    <xf numFmtId="0" fontId="32" fillId="0" borderId="1" xfId="0" applyFont="1" applyBorder="1" applyAlignment="1">
      <alignment horizontal="center" vertical="center" wrapText="1"/>
    </xf>
    <xf numFmtId="0" fontId="0" fillId="26" borderId="1" xfId="0" applyFont="1" applyFill="1" applyBorder="1" applyAlignment="1">
      <alignment vertical="center" wrapText="1"/>
    </xf>
    <xf numFmtId="0" fontId="0" fillId="26" borderId="1" xfId="0" applyFont="1" applyFill="1" applyBorder="1" applyAlignment="1">
      <alignment vertical="center"/>
    </xf>
    <xf numFmtId="0" fontId="58" fillId="26" borderId="1" xfId="0" applyFont="1" applyFill="1" applyBorder="1" applyAlignment="1">
      <alignment vertical="center" wrapText="1"/>
    </xf>
    <xf numFmtId="0" fontId="0" fillId="26" borderId="1" xfId="0" applyFont="1" applyFill="1" applyBorder="1" applyAlignment="1" applyProtection="1">
      <alignment vertical="center" wrapText="1"/>
    </xf>
    <xf numFmtId="0" fontId="68" fillId="0" borderId="0" xfId="0" applyFont="1" applyAlignment="1" applyProtection="1">
      <alignment horizontal="left" vertical="center"/>
    </xf>
    <xf numFmtId="0" fontId="0" fillId="26" borderId="1" xfId="0" applyFont="1" applyFill="1" applyBorder="1" applyAlignment="1">
      <alignment horizontal="left" vertical="center" wrapText="1"/>
    </xf>
    <xf numFmtId="0" fontId="0" fillId="26" borderId="1" xfId="0" applyFont="1" applyFill="1" applyBorder="1" applyAlignment="1" applyProtection="1">
      <alignment horizontal="left" vertical="center" wrapText="1" indent="5"/>
    </xf>
    <xf numFmtId="0" fontId="0" fillId="26" borderId="1" xfId="0" applyFont="1" applyFill="1" applyBorder="1" applyAlignment="1" applyProtection="1">
      <alignment horizontal="left" vertical="center" wrapText="1" indent="2"/>
    </xf>
    <xf numFmtId="0" fontId="33" fillId="0" borderId="17" xfId="0" applyFont="1" applyBorder="1" applyAlignment="1">
      <alignment vertical="center"/>
    </xf>
    <xf numFmtId="0" fontId="33" fillId="0" borderId="18" xfId="0" applyFont="1" applyBorder="1" applyAlignment="1">
      <alignment vertical="center"/>
    </xf>
    <xf numFmtId="0" fontId="33" fillId="0" borderId="12" xfId="0" applyFont="1" applyBorder="1" applyAlignment="1">
      <alignment vertical="center"/>
    </xf>
    <xf numFmtId="0" fontId="58" fillId="26" borderId="1" xfId="0" applyFont="1" applyFill="1" applyBorder="1" applyAlignment="1" applyProtection="1">
      <alignment horizontal="left" vertical="center" wrapText="1"/>
    </xf>
    <xf numFmtId="0" fontId="10" fillId="0" borderId="0" xfId="0" applyFont="1" applyFill="1"/>
    <xf numFmtId="0" fontId="69" fillId="0" borderId="0" xfId="0" applyFont="1" applyAlignment="1" applyProtection="1">
      <alignment horizontal="right" vertical="center"/>
    </xf>
    <xf numFmtId="0" fontId="0" fillId="26" borderId="4" xfId="0" applyFont="1" applyFill="1" applyBorder="1" applyAlignment="1">
      <alignment vertical="center" wrapText="1"/>
    </xf>
    <xf numFmtId="0" fontId="3" fillId="3" borderId="1" xfId="0" applyFont="1" applyFill="1" applyBorder="1" applyAlignment="1">
      <alignment horizontal="center" vertical="center" wrapText="1"/>
    </xf>
    <xf numFmtId="0" fontId="32" fillId="0" borderId="1" xfId="0" applyFont="1" applyBorder="1" applyAlignment="1">
      <alignment horizontal="center" vertical="center"/>
    </xf>
    <xf numFmtId="0" fontId="32" fillId="0" borderId="1" xfId="0" applyFont="1" applyFill="1" applyBorder="1" applyAlignment="1">
      <alignment horizontal="center" vertical="center" wrapText="1"/>
    </xf>
    <xf numFmtId="1" fontId="33" fillId="0" borderId="1" xfId="0" applyNumberFormat="1" applyFont="1" applyFill="1" applyBorder="1" applyAlignment="1">
      <alignment horizontal="center" vertical="center" wrapText="1"/>
    </xf>
    <xf numFmtId="0" fontId="33" fillId="0" borderId="1" xfId="0" applyFont="1" applyFill="1" applyBorder="1" applyAlignment="1">
      <alignment horizontal="center" vertical="center" wrapText="1"/>
    </xf>
    <xf numFmtId="0" fontId="33" fillId="0" borderId="1" xfId="0" applyFont="1" applyBorder="1"/>
    <xf numFmtId="0" fontId="38" fillId="0" borderId="21" xfId="32" applyFont="1" applyFill="1" applyBorder="1" applyAlignment="1">
      <alignment horizontal="center"/>
    </xf>
    <xf numFmtId="0" fontId="38" fillId="0" borderId="21" xfId="32" quotePrefix="1" applyFont="1" applyFill="1" applyBorder="1" applyAlignment="1"/>
    <xf numFmtId="0" fontId="38" fillId="0" borderId="21" xfId="32" applyFont="1" applyFill="1" applyBorder="1" applyAlignment="1">
      <alignment horizontal="center" wrapText="1"/>
    </xf>
    <xf numFmtId="0" fontId="38" fillId="0" borderId="21" xfId="32" quotePrefix="1" applyFont="1" applyFill="1" applyBorder="1" applyAlignment="1">
      <alignment wrapText="1"/>
    </xf>
    <xf numFmtId="0" fontId="38" fillId="0" borderId="21" xfId="32" applyFont="1" applyFill="1" applyBorder="1" applyAlignment="1"/>
    <xf numFmtId="0" fontId="38" fillId="0" borderId="21" xfId="32" applyFont="1" applyFill="1" applyBorder="1" applyAlignment="1">
      <alignment wrapText="1"/>
    </xf>
    <xf numFmtId="0" fontId="70" fillId="0" borderId="21" xfId="0" applyFont="1" applyBorder="1"/>
    <xf numFmtId="0" fontId="38" fillId="0" borderId="22" xfId="32" applyFont="1" applyFill="1" applyBorder="1" applyAlignment="1">
      <alignment horizontal="center"/>
    </xf>
    <xf numFmtId="0" fontId="38" fillId="0" borderId="22" xfId="32" applyFont="1" applyFill="1" applyBorder="1" applyAlignment="1"/>
    <xf numFmtId="0" fontId="0" fillId="0" borderId="21" xfId="0" applyFill="1" applyBorder="1" applyAlignment="1"/>
    <xf numFmtId="0" fontId="38" fillId="0" borderId="0" xfId="32" applyFont="1" applyFill="1" applyBorder="1" applyAlignment="1"/>
    <xf numFmtId="0" fontId="38" fillId="0" borderId="0" xfId="32" applyFont="1" applyFill="1" applyBorder="1" applyAlignment="1">
      <alignment horizontal="center"/>
    </xf>
    <xf numFmtId="0" fontId="38" fillId="0" borderId="24" xfId="32" applyFont="1" applyFill="1" applyBorder="1" applyAlignment="1"/>
    <xf numFmtId="0" fontId="20" fillId="0" borderId="25" xfId="0" applyFont="1" applyFill="1" applyBorder="1" applyAlignment="1" applyProtection="1">
      <alignment vertical="center"/>
    </xf>
    <xf numFmtId="0" fontId="38" fillId="0" borderId="22" xfId="32" applyFont="1" applyFill="1" applyBorder="1" applyAlignment="1">
      <alignment horizontal="center" wrapText="1"/>
    </xf>
    <xf numFmtId="0" fontId="38" fillId="0" borderId="22" xfId="32" applyFont="1" applyFill="1" applyBorder="1" applyAlignment="1">
      <alignment wrapText="1"/>
    </xf>
    <xf numFmtId="0" fontId="33" fillId="0" borderId="6" xfId="0" applyFont="1" applyBorder="1" applyAlignment="1">
      <alignment horizontal="center" vertical="center"/>
    </xf>
    <xf numFmtId="0" fontId="33" fillId="0" borderId="2" xfId="0" applyFont="1" applyBorder="1" applyAlignment="1">
      <alignment horizontal="left" vertical="center" wrapText="1"/>
    </xf>
    <xf numFmtId="0" fontId="0" fillId="2" borderId="2" xfId="0" applyFont="1" applyFill="1" applyBorder="1" applyAlignment="1">
      <alignment horizontal="center" vertical="center"/>
    </xf>
    <xf numFmtId="0" fontId="42" fillId="24" borderId="1" xfId="0" applyFont="1" applyFill="1" applyBorder="1" applyAlignment="1" applyProtection="1">
      <alignment horizontal="center" vertical="center" wrapText="1"/>
    </xf>
    <xf numFmtId="1" fontId="26" fillId="15" borderId="1" xfId="0" applyNumberFormat="1" applyFont="1" applyFill="1" applyBorder="1" applyAlignment="1">
      <alignment horizontal="right" vertical="center" wrapText="1"/>
    </xf>
    <xf numFmtId="1" fontId="13" fillId="23" borderId="2" xfId="0" applyNumberFormat="1" applyFont="1" applyFill="1" applyBorder="1" applyAlignment="1" applyProtection="1">
      <alignment vertical="center"/>
    </xf>
    <xf numFmtId="0" fontId="71" fillId="0" borderId="0" xfId="0" applyFont="1"/>
    <xf numFmtId="0" fontId="72" fillId="0" borderId="0" xfId="0" applyFont="1"/>
    <xf numFmtId="0" fontId="22" fillId="0" borderId="0" xfId="0" applyFont="1" applyAlignment="1">
      <alignment horizontal="center"/>
    </xf>
    <xf numFmtId="0" fontId="23" fillId="0" borderId="0" xfId="0" applyFont="1" applyAlignment="1">
      <alignment horizontal="center"/>
    </xf>
    <xf numFmtId="0" fontId="24" fillId="0" borderId="0" xfId="0" applyFont="1" applyAlignment="1">
      <alignment horizontal="center"/>
    </xf>
    <xf numFmtId="0" fontId="32" fillId="0" borderId="2" xfId="0" applyFont="1" applyBorder="1" applyAlignment="1" applyProtection="1">
      <alignment horizontal="center" vertical="center" wrapText="1"/>
    </xf>
    <xf numFmtId="0" fontId="32" fillId="0" borderId="3" xfId="0" applyFont="1" applyBorder="1" applyAlignment="1" applyProtection="1">
      <alignment horizontal="center" vertical="center" wrapText="1"/>
    </xf>
    <xf numFmtId="0" fontId="32" fillId="0" borderId="4" xfId="0" applyFont="1" applyBorder="1" applyAlignment="1" applyProtection="1">
      <alignment horizontal="center" vertical="center" wrapText="1"/>
    </xf>
    <xf numFmtId="0" fontId="32" fillId="0" borderId="5" xfId="0" applyFont="1" applyBorder="1" applyAlignment="1" applyProtection="1">
      <alignment horizontal="center" vertical="center" wrapText="1"/>
    </xf>
    <xf numFmtId="0" fontId="32" fillId="0" borderId="7" xfId="0" applyFont="1" applyBorder="1" applyAlignment="1" applyProtection="1">
      <alignment horizontal="center" vertical="center" wrapText="1"/>
    </xf>
    <xf numFmtId="0" fontId="32" fillId="0" borderId="6" xfId="0" applyFont="1" applyBorder="1" applyAlignment="1" applyProtection="1">
      <alignment horizontal="center" vertical="center" wrapText="1"/>
    </xf>
    <xf numFmtId="0" fontId="5" fillId="3" borderId="2" xfId="0" applyFont="1" applyFill="1" applyBorder="1" applyAlignment="1" applyProtection="1">
      <alignment horizontal="center" vertical="center" wrapText="1"/>
    </xf>
    <xf numFmtId="0" fontId="5" fillId="3" borderId="3" xfId="0" applyFont="1" applyFill="1" applyBorder="1" applyAlignment="1" applyProtection="1">
      <alignment horizontal="center" vertical="center" wrapText="1"/>
    </xf>
    <xf numFmtId="0" fontId="5" fillId="3" borderId="4" xfId="0" applyFont="1" applyFill="1" applyBorder="1" applyAlignment="1" applyProtection="1">
      <alignment horizontal="center" vertical="center" wrapText="1"/>
    </xf>
    <xf numFmtId="0" fontId="5" fillId="18" borderId="2" xfId="0" applyFont="1" applyFill="1" applyBorder="1" applyAlignment="1" applyProtection="1">
      <alignment horizontal="center" vertical="center" wrapText="1"/>
    </xf>
    <xf numFmtId="0" fontId="5" fillId="18" borderId="3" xfId="0" applyFont="1" applyFill="1" applyBorder="1" applyAlignment="1" applyProtection="1">
      <alignment horizontal="center" vertical="center" wrapText="1"/>
    </xf>
    <xf numFmtId="0" fontId="5" fillId="18" borderId="4" xfId="0" applyFont="1" applyFill="1" applyBorder="1" applyAlignment="1" applyProtection="1">
      <alignment horizontal="center" vertical="center" wrapText="1"/>
    </xf>
    <xf numFmtId="0" fontId="3" fillId="18" borderId="2" xfId="0" applyFont="1" applyFill="1" applyBorder="1" applyAlignment="1" applyProtection="1">
      <alignment horizontal="center" vertical="center" wrapText="1"/>
    </xf>
    <xf numFmtId="0" fontId="3" fillId="18" borderId="3" xfId="0" applyFont="1" applyFill="1" applyBorder="1" applyAlignment="1" applyProtection="1">
      <alignment horizontal="center" vertical="center" wrapText="1"/>
    </xf>
    <xf numFmtId="0" fontId="3" fillId="18" borderId="4"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0" fontId="3" fillId="3" borderId="7" xfId="0"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18" borderId="5" xfId="0" applyFont="1" applyFill="1" applyBorder="1" applyAlignment="1" applyProtection="1">
      <alignment horizontal="center" vertical="center" wrapText="1"/>
    </xf>
    <xf numFmtId="0" fontId="3" fillId="18" borderId="7" xfId="0" applyFont="1" applyFill="1" applyBorder="1" applyAlignment="1" applyProtection="1">
      <alignment horizontal="center" vertical="center" wrapText="1"/>
    </xf>
    <xf numFmtId="0" fontId="3" fillId="18" borderId="6" xfId="0" applyFont="1" applyFill="1" applyBorder="1" applyAlignment="1" applyProtection="1">
      <alignment horizontal="center" vertical="center" wrapText="1"/>
    </xf>
    <xf numFmtId="0" fontId="33" fillId="0" borderId="5" xfId="0" applyFont="1" applyBorder="1" applyAlignment="1" applyProtection="1">
      <alignment horizontal="center" vertical="center" wrapText="1"/>
    </xf>
    <xf numFmtId="0" fontId="33" fillId="0" borderId="6" xfId="0" applyFont="1" applyBorder="1" applyAlignment="1" applyProtection="1">
      <alignment horizontal="center" vertical="center" wrapText="1"/>
    </xf>
    <xf numFmtId="0" fontId="58" fillId="25" borderId="5" xfId="0" applyFont="1" applyFill="1" applyBorder="1" applyAlignment="1" applyProtection="1">
      <alignment horizontal="center" vertical="center" wrapText="1"/>
    </xf>
    <xf numFmtId="0" fontId="58" fillId="25" borderId="7" xfId="0" applyFont="1" applyFill="1" applyBorder="1" applyAlignment="1" applyProtection="1">
      <alignment horizontal="center" vertical="center" wrapText="1"/>
    </xf>
    <xf numFmtId="0" fontId="58" fillId="25" borderId="6" xfId="0" applyFont="1" applyFill="1" applyBorder="1" applyAlignment="1" applyProtection="1">
      <alignment horizontal="center" vertical="center" wrapText="1"/>
    </xf>
    <xf numFmtId="0" fontId="32" fillId="0" borderId="2" xfId="0" applyFont="1" applyBorder="1" applyAlignment="1" applyProtection="1">
      <alignment horizontal="center" vertical="center"/>
    </xf>
    <xf numFmtId="0" fontId="32" fillId="0" borderId="3" xfId="0" applyFont="1" applyBorder="1" applyAlignment="1" applyProtection="1">
      <alignment horizontal="center" vertical="center"/>
    </xf>
    <xf numFmtId="0" fontId="32" fillId="0" borderId="4" xfId="0" applyFont="1" applyBorder="1" applyAlignment="1" applyProtection="1">
      <alignment horizontal="center" vertical="center"/>
    </xf>
    <xf numFmtId="0" fontId="0" fillId="0" borderId="10" xfId="0" applyFill="1" applyBorder="1" applyAlignment="1" applyProtection="1">
      <alignment horizontal="center" vertical="center"/>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4" xfId="0" applyFont="1" applyBorder="1" applyAlignment="1">
      <alignment horizontal="center" vertical="center" wrapText="1"/>
    </xf>
    <xf numFmtId="0" fontId="58" fillId="25" borderId="5" xfId="0" applyFont="1" applyFill="1" applyBorder="1" applyAlignment="1" applyProtection="1">
      <alignment horizontal="center" vertical="center"/>
    </xf>
    <xf numFmtId="0" fontId="58" fillId="25" borderId="7" xfId="0" applyFont="1" applyFill="1" applyBorder="1" applyAlignment="1" applyProtection="1">
      <alignment horizontal="center" vertical="center"/>
    </xf>
    <xf numFmtId="0" fontId="58" fillId="25" borderId="6" xfId="0" applyFont="1" applyFill="1" applyBorder="1" applyAlignment="1" applyProtection="1">
      <alignment horizontal="center" vertical="center"/>
    </xf>
    <xf numFmtId="0" fontId="3" fillId="3" borderId="2"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0" fontId="3" fillId="3" borderId="5" xfId="0" applyFont="1" applyFill="1" applyBorder="1" applyAlignment="1" applyProtection="1">
      <alignment horizontal="center" vertical="top" wrapText="1"/>
    </xf>
    <xf numFmtId="0" fontId="3" fillId="3" borderId="7" xfId="0" applyFont="1" applyFill="1" applyBorder="1" applyAlignment="1" applyProtection="1">
      <alignment horizontal="center" vertical="top" wrapText="1"/>
    </xf>
    <xf numFmtId="0" fontId="3" fillId="3" borderId="6" xfId="0" applyFont="1" applyFill="1" applyBorder="1" applyAlignment="1" applyProtection="1">
      <alignment horizontal="center" vertical="top" wrapText="1"/>
    </xf>
    <xf numFmtId="0" fontId="3" fillId="18" borderId="5" xfId="0" applyFont="1" applyFill="1" applyBorder="1" applyAlignment="1" applyProtection="1">
      <alignment horizontal="center" vertical="top" wrapText="1"/>
    </xf>
    <xf numFmtId="0" fontId="3" fillId="18" borderId="7" xfId="0" applyFont="1" applyFill="1" applyBorder="1" applyAlignment="1" applyProtection="1">
      <alignment horizontal="center" vertical="top" wrapText="1"/>
    </xf>
    <xf numFmtId="0" fontId="3" fillId="18" borderId="6" xfId="0" applyFont="1" applyFill="1" applyBorder="1" applyAlignment="1" applyProtection="1">
      <alignment horizontal="center" vertical="top" wrapText="1"/>
    </xf>
    <xf numFmtId="0" fontId="42" fillId="23" borderId="2" xfId="0" applyFont="1" applyFill="1" applyBorder="1" applyAlignment="1" applyProtection="1">
      <alignment horizontal="center" vertical="center" wrapText="1"/>
    </xf>
    <xf numFmtId="0" fontId="42" fillId="23" borderId="3" xfId="0" applyFont="1" applyFill="1" applyBorder="1" applyAlignment="1" applyProtection="1">
      <alignment horizontal="center" vertical="center" wrapText="1"/>
    </xf>
    <xf numFmtId="0" fontId="33" fillId="0" borderId="1" xfId="0" applyFont="1" applyBorder="1" applyAlignment="1">
      <alignment horizontal="center" vertical="center" wrapText="1"/>
    </xf>
    <xf numFmtId="0" fontId="32" fillId="0" borderId="5" xfId="0" applyFont="1" applyBorder="1" applyAlignment="1">
      <alignment horizontal="center" vertical="center" wrapText="1"/>
    </xf>
    <xf numFmtId="0" fontId="32" fillId="0" borderId="7" xfId="0" applyFont="1" applyBorder="1" applyAlignment="1">
      <alignment horizontal="center" vertical="center" wrapText="1"/>
    </xf>
    <xf numFmtId="0" fontId="32" fillId="0" borderId="6" xfId="0" applyFont="1" applyBorder="1" applyAlignment="1">
      <alignment horizontal="center" vertical="center" wrapText="1"/>
    </xf>
    <xf numFmtId="0" fontId="33" fillId="0" borderId="1" xfId="0" applyFont="1" applyBorder="1" applyAlignment="1">
      <alignment horizontal="center" vertical="center"/>
    </xf>
    <xf numFmtId="0" fontId="33" fillId="0" borderId="5" xfId="0" applyFont="1" applyBorder="1" applyAlignment="1">
      <alignment horizontal="center" vertical="center"/>
    </xf>
    <xf numFmtId="0" fontId="33" fillId="0" borderId="6" xfId="0" applyFont="1" applyBorder="1" applyAlignment="1">
      <alignment horizontal="center" vertical="center"/>
    </xf>
    <xf numFmtId="0" fontId="13" fillId="15" borderId="7" xfId="0" applyFont="1" applyFill="1" applyBorder="1" applyAlignment="1">
      <alignment horizontal="center" vertical="center" wrapText="1"/>
    </xf>
    <xf numFmtId="0" fontId="13" fillId="15" borderId="6" xfId="0" applyFont="1" applyFill="1" applyBorder="1" applyAlignment="1">
      <alignment horizontal="center" vertical="center" wrapText="1"/>
    </xf>
    <xf numFmtId="0" fontId="42" fillId="23" borderId="7" xfId="0" applyFont="1" applyFill="1" applyBorder="1" applyAlignment="1" applyProtection="1">
      <alignment horizontal="center" vertical="center" wrapText="1"/>
    </xf>
    <xf numFmtId="0" fontId="42" fillId="23" borderId="6" xfId="0" applyFont="1" applyFill="1" applyBorder="1" applyAlignment="1" applyProtection="1">
      <alignment horizontal="center" vertical="center" wrapText="1"/>
    </xf>
    <xf numFmtId="0" fontId="3" fillId="3" borderId="3" xfId="0" applyFont="1" applyFill="1" applyBorder="1" applyAlignment="1" applyProtection="1">
      <alignment horizontal="center" vertical="center" wrapText="1"/>
    </xf>
    <xf numFmtId="0" fontId="26" fillId="15" borderId="1" xfId="0" applyFont="1" applyFill="1" applyBorder="1" applyAlignment="1" applyProtection="1">
      <alignment horizontal="center" vertical="center" wrapText="1"/>
    </xf>
    <xf numFmtId="0" fontId="42" fillId="23" borderId="4"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3" fillId="18" borderId="1" xfId="0" applyFont="1" applyFill="1" applyBorder="1" applyAlignment="1" applyProtection="1">
      <alignment horizontal="center" vertical="center" wrapText="1"/>
    </xf>
    <xf numFmtId="0" fontId="3" fillId="18" borderId="2" xfId="0" applyFont="1" applyFill="1" applyBorder="1" applyAlignment="1">
      <alignment horizontal="center" vertical="center" wrapText="1"/>
    </xf>
    <xf numFmtId="0" fontId="3" fillId="18" borderId="4"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18" borderId="5" xfId="0" applyFont="1" applyFill="1" applyBorder="1" applyAlignment="1">
      <alignment horizontal="center" vertical="center" wrapText="1"/>
    </xf>
    <xf numFmtId="0" fontId="3" fillId="18" borderId="7" xfId="0" applyFont="1" applyFill="1" applyBorder="1" applyAlignment="1">
      <alignment horizontal="center" vertical="center" wrapText="1"/>
    </xf>
    <xf numFmtId="0" fontId="3" fillId="18" borderId="6"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18" borderId="3"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2" fillId="0" borderId="1" xfId="0" applyFont="1" applyBorder="1" applyAlignment="1">
      <alignment horizontal="center" vertical="center" wrapText="1"/>
    </xf>
    <xf numFmtId="0" fontId="42" fillId="24" borderId="1" xfId="0" applyFont="1" applyFill="1" applyBorder="1" applyAlignment="1" applyProtection="1">
      <alignment horizontal="center" vertical="top" wrapText="1"/>
    </xf>
    <xf numFmtId="0" fontId="3" fillId="3" borderId="1"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4" xfId="0" applyFont="1" applyFill="1" applyBorder="1" applyAlignment="1">
      <alignment horizontal="center" vertical="center"/>
    </xf>
    <xf numFmtId="0" fontId="42" fillId="24" borderId="1" xfId="0" applyFont="1" applyFill="1" applyBorder="1" applyAlignment="1">
      <alignment horizontal="center" vertical="center" wrapText="1"/>
    </xf>
    <xf numFmtId="0" fontId="0" fillId="2" borderId="5" xfId="0" applyFont="1" applyFill="1" applyBorder="1" applyAlignment="1">
      <alignment horizontal="left" vertical="center" wrapText="1"/>
    </xf>
    <xf numFmtId="0" fontId="0" fillId="2" borderId="6" xfId="0" applyFont="1" applyFill="1" applyBorder="1" applyAlignment="1">
      <alignment horizontal="left" vertical="center" wrapText="1"/>
    </xf>
    <xf numFmtId="0" fontId="58" fillId="25" borderId="1" xfId="0" applyFont="1" applyFill="1" applyBorder="1" applyAlignment="1" applyProtection="1">
      <alignment horizontal="center" vertical="center"/>
    </xf>
    <xf numFmtId="0" fontId="42" fillId="25" borderId="1" xfId="0" applyFont="1" applyFill="1" applyBorder="1" applyAlignment="1" applyProtection="1">
      <alignment horizontal="center" vertical="center"/>
    </xf>
    <xf numFmtId="0" fontId="26" fillId="15" borderId="1" xfId="0" applyFont="1" applyFill="1" applyBorder="1" applyAlignment="1">
      <alignment horizontal="center" vertical="center" wrapText="1"/>
    </xf>
    <xf numFmtId="0" fontId="0" fillId="2" borderId="1" xfId="0" applyFont="1" applyFill="1" applyBorder="1" applyAlignment="1">
      <alignment horizontal="left" vertical="center" wrapText="1"/>
    </xf>
    <xf numFmtId="0" fontId="58" fillId="2" borderId="2" xfId="0" applyFont="1" applyFill="1" applyBorder="1" applyAlignment="1">
      <alignment horizontal="left" vertical="center" wrapText="1"/>
    </xf>
    <xf numFmtId="0" fontId="58" fillId="2" borderId="3" xfId="0" applyFont="1" applyFill="1" applyBorder="1" applyAlignment="1">
      <alignment horizontal="left" vertical="center" wrapText="1"/>
    </xf>
    <xf numFmtId="0" fontId="58" fillId="2" borderId="4" xfId="0" applyFont="1" applyFill="1" applyBorder="1" applyAlignment="1">
      <alignment horizontal="left" vertical="center" wrapText="1"/>
    </xf>
    <xf numFmtId="0" fontId="58" fillId="2" borderId="1" xfId="0" applyFont="1" applyFill="1" applyBorder="1" applyAlignment="1">
      <alignment horizontal="left" vertical="center" wrapText="1"/>
    </xf>
    <xf numFmtId="0" fontId="0" fillId="2" borderId="1" xfId="0" applyFont="1" applyFill="1" applyBorder="1" applyAlignment="1">
      <alignment horizontal="left" vertical="center"/>
    </xf>
    <xf numFmtId="0" fontId="58" fillId="2" borderId="1" xfId="0" applyFont="1" applyFill="1" applyBorder="1" applyAlignment="1">
      <alignment horizontal="left" vertical="center"/>
    </xf>
    <xf numFmtId="0" fontId="58" fillId="5" borderId="1" xfId="0" applyFont="1" applyFill="1" applyBorder="1" applyAlignment="1">
      <alignment horizontal="left" vertical="top" wrapText="1"/>
    </xf>
    <xf numFmtId="0" fontId="32" fillId="0" borderId="9" xfId="0" applyFont="1" applyBorder="1" applyAlignment="1">
      <alignment horizontal="center" vertical="center" wrapText="1"/>
    </xf>
    <xf numFmtId="0" fontId="32" fillId="0" borderId="17" xfId="0" applyFont="1" applyBorder="1" applyAlignment="1">
      <alignment horizontal="center" vertical="center" wrapText="1"/>
    </xf>
    <xf numFmtId="0" fontId="32" fillId="0" borderId="10" xfId="0" applyFont="1" applyBorder="1" applyAlignment="1">
      <alignment horizontal="center" vertical="center" wrapText="1"/>
    </xf>
    <xf numFmtId="0" fontId="32" fillId="0" borderId="18" xfId="0" applyFont="1" applyBorder="1" applyAlignment="1">
      <alignment horizontal="center" vertical="center" wrapText="1"/>
    </xf>
    <xf numFmtId="0" fontId="32" fillId="0" borderId="11" xfId="0" applyFont="1" applyBorder="1" applyAlignment="1">
      <alignment horizontal="center" vertical="center" wrapText="1"/>
    </xf>
    <xf numFmtId="0" fontId="32" fillId="0" borderId="12" xfId="0" applyFont="1" applyBorder="1" applyAlignment="1">
      <alignment horizontal="center" vertical="center" wrapText="1"/>
    </xf>
    <xf numFmtId="0" fontId="33" fillId="0" borderId="5" xfId="0" applyFont="1" applyBorder="1" applyAlignment="1">
      <alignment horizontal="left" vertical="center" wrapText="1"/>
    </xf>
    <xf numFmtId="0" fontId="33" fillId="0" borderId="6" xfId="0" applyFont="1" applyBorder="1" applyAlignment="1">
      <alignment horizontal="left" vertical="center" wrapText="1"/>
    </xf>
    <xf numFmtId="0" fontId="33" fillId="0" borderId="2" xfId="0" applyFont="1" applyBorder="1" applyAlignment="1">
      <alignment horizontal="left" vertical="center" wrapText="1"/>
    </xf>
    <xf numFmtId="0" fontId="33" fillId="0" borderId="3" xfId="0" applyFont="1" applyBorder="1" applyAlignment="1">
      <alignment horizontal="left" vertical="center" wrapText="1"/>
    </xf>
    <xf numFmtId="0" fontId="33" fillId="0" borderId="4" xfId="0" applyFont="1" applyBorder="1" applyAlignment="1">
      <alignment horizontal="left" vertical="center" wrapText="1"/>
    </xf>
    <xf numFmtId="0" fontId="33" fillId="0" borderId="5" xfId="0" applyFont="1" applyBorder="1" applyAlignment="1">
      <alignment horizontal="center" vertical="center" wrapText="1"/>
    </xf>
    <xf numFmtId="0" fontId="33" fillId="0" borderId="6" xfId="0" applyFont="1" applyBorder="1" applyAlignment="1">
      <alignment horizontal="center" vertical="center" wrapText="1"/>
    </xf>
    <xf numFmtId="0" fontId="33" fillId="0" borderId="9" xfId="0" applyFont="1" applyBorder="1" applyAlignment="1">
      <alignment horizontal="center" vertical="center" wrapText="1"/>
    </xf>
    <xf numFmtId="0" fontId="33" fillId="0" borderId="16" xfId="0" applyFont="1" applyBorder="1" applyAlignment="1">
      <alignment horizontal="center" vertical="center" wrapText="1"/>
    </xf>
    <xf numFmtId="0" fontId="33" fillId="0" borderId="11" xfId="0" applyFont="1" applyBorder="1" applyAlignment="1">
      <alignment horizontal="center" vertical="center" wrapText="1"/>
    </xf>
    <xf numFmtId="0" fontId="33" fillId="0" borderId="8" xfId="0" applyFont="1" applyBorder="1" applyAlignment="1">
      <alignment horizontal="center" vertical="center" wrapText="1"/>
    </xf>
    <xf numFmtId="0" fontId="33" fillId="0" borderId="7" xfId="0" applyFont="1" applyBorder="1" applyAlignment="1">
      <alignment horizontal="center" vertical="center" wrapText="1"/>
    </xf>
    <xf numFmtId="0" fontId="13" fillId="2" borderId="0" xfId="0" applyFont="1" applyFill="1" applyAlignment="1">
      <alignment horizontal="left" vertical="center" wrapText="1"/>
    </xf>
    <xf numFmtId="0" fontId="3" fillId="18" borderId="1" xfId="0" applyFont="1" applyFill="1" applyBorder="1" applyAlignment="1">
      <alignment horizontal="center" vertical="center"/>
    </xf>
    <xf numFmtId="0" fontId="5" fillId="18" borderId="5" xfId="0" quotePrefix="1" applyFont="1" applyFill="1" applyBorder="1" applyAlignment="1">
      <alignment horizontal="center" vertical="center" wrapText="1"/>
    </xf>
    <xf numFmtId="0" fontId="5" fillId="18" borderId="6" xfId="0" quotePrefix="1" applyFont="1" applyFill="1" applyBorder="1" applyAlignment="1">
      <alignment horizontal="center" vertical="center" wrapText="1"/>
    </xf>
    <xf numFmtId="0" fontId="46" fillId="0" borderId="9" xfId="0" applyFont="1" applyBorder="1" applyAlignment="1">
      <alignment horizontal="center" vertical="center"/>
    </xf>
    <xf numFmtId="0" fontId="46" fillId="0" borderId="16" xfId="0" applyFont="1" applyBorder="1" applyAlignment="1">
      <alignment horizontal="center" vertical="center"/>
    </xf>
    <xf numFmtId="0" fontId="46" fillId="0" borderId="17" xfId="0" applyFont="1" applyBorder="1" applyAlignment="1">
      <alignment horizontal="center" vertical="center"/>
    </xf>
    <xf numFmtId="0" fontId="46" fillId="0" borderId="11" xfId="0" applyFont="1" applyBorder="1" applyAlignment="1">
      <alignment horizontal="center" vertical="center"/>
    </xf>
    <xf numFmtId="0" fontId="46" fillId="0" borderId="8" xfId="0" applyFont="1" applyBorder="1" applyAlignment="1">
      <alignment horizontal="center" vertical="center"/>
    </xf>
    <xf numFmtId="0" fontId="46" fillId="0" borderId="12" xfId="0" applyFont="1" applyBorder="1" applyAlignment="1">
      <alignment horizontal="center" vertical="center"/>
    </xf>
    <xf numFmtId="0" fontId="42" fillId="23" borderId="1" xfId="0" applyFont="1" applyFill="1" applyBorder="1" applyAlignment="1" applyProtection="1">
      <alignment horizontal="center" vertical="center" wrapText="1"/>
    </xf>
    <xf numFmtId="0" fontId="3" fillId="18" borderId="2" xfId="0" applyFont="1" applyFill="1" applyBorder="1" applyAlignment="1">
      <alignment horizontal="center" vertical="center"/>
    </xf>
    <xf numFmtId="0" fontId="3" fillId="18" borderId="4" xfId="0" applyFont="1" applyFill="1" applyBorder="1" applyAlignment="1">
      <alignment horizontal="center" vertical="center"/>
    </xf>
    <xf numFmtId="0" fontId="3" fillId="18" borderId="1" xfId="0" applyFont="1" applyFill="1" applyBorder="1" applyAlignment="1">
      <alignment horizontal="center" vertical="center" wrapText="1"/>
    </xf>
    <xf numFmtId="0" fontId="42" fillId="25" borderId="5" xfId="0" applyFont="1" applyFill="1" applyBorder="1" applyAlignment="1" applyProtection="1">
      <alignment horizontal="center" vertical="center" wrapText="1"/>
    </xf>
    <xf numFmtId="0" fontId="42" fillId="25" borderId="7" xfId="0" applyFont="1" applyFill="1" applyBorder="1" applyAlignment="1" applyProtection="1">
      <alignment horizontal="center" vertical="center" wrapText="1"/>
    </xf>
    <xf numFmtId="0" fontId="42" fillId="25" borderId="6" xfId="0" applyFont="1" applyFill="1" applyBorder="1" applyAlignment="1" applyProtection="1">
      <alignment horizontal="center" vertical="center" wrapText="1"/>
    </xf>
    <xf numFmtId="0" fontId="32" fillId="0" borderId="1" xfId="0" applyFont="1" applyBorder="1" applyAlignment="1">
      <alignment horizontal="center" vertical="center"/>
    </xf>
    <xf numFmtId="0" fontId="32" fillId="0" borderId="1" xfId="0" applyFont="1" applyBorder="1" applyAlignment="1">
      <alignment horizontal="left" vertical="center"/>
    </xf>
    <xf numFmtId="0" fontId="42" fillId="12" borderId="5" xfId="0" applyFont="1" applyFill="1" applyBorder="1" applyAlignment="1">
      <alignment horizontal="left" vertical="center" wrapText="1"/>
    </xf>
    <xf numFmtId="0" fontId="42" fillId="12" borderId="7" xfId="0" applyFont="1" applyFill="1" applyBorder="1" applyAlignment="1">
      <alignment horizontal="left" vertical="center" wrapText="1"/>
    </xf>
    <xf numFmtId="0" fontId="42" fillId="12" borderId="6" xfId="0" applyFont="1" applyFill="1" applyBorder="1" applyAlignment="1">
      <alignment horizontal="left" vertical="center" wrapText="1"/>
    </xf>
    <xf numFmtId="0" fontId="26" fillId="15" borderId="7" xfId="0" applyFont="1" applyFill="1" applyBorder="1" applyAlignment="1">
      <alignment horizontal="center" vertical="center" wrapText="1"/>
    </xf>
    <xf numFmtId="0" fontId="26" fillId="15" borderId="6" xfId="0" applyFont="1" applyFill="1" applyBorder="1" applyAlignment="1">
      <alignment horizontal="center" vertical="center" wrapText="1"/>
    </xf>
    <xf numFmtId="0" fontId="3" fillId="18" borderId="3"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6" xfId="0" applyFont="1" applyFill="1" applyBorder="1" applyAlignment="1">
      <alignment horizontal="center" vertical="center"/>
    </xf>
    <xf numFmtId="0" fontId="33" fillId="0" borderId="2" xfId="0" applyFont="1" applyBorder="1" applyAlignment="1">
      <alignment horizontal="center" vertical="center" wrapText="1"/>
    </xf>
    <xf numFmtId="0" fontId="33" fillId="0" borderId="3" xfId="0" applyFont="1" applyBorder="1" applyAlignment="1">
      <alignment horizontal="center" vertical="center" wrapText="1"/>
    </xf>
    <xf numFmtId="0" fontId="33" fillId="0" borderId="4" xfId="0" applyFont="1" applyBorder="1" applyAlignment="1">
      <alignment horizontal="center" vertical="center" wrapText="1"/>
    </xf>
    <xf numFmtId="0" fontId="3" fillId="19" borderId="5" xfId="0" applyFont="1" applyFill="1" applyBorder="1" applyAlignment="1">
      <alignment horizontal="left" vertical="center" wrapText="1"/>
    </xf>
    <xf numFmtId="0" fontId="3" fillId="19" borderId="7" xfId="0" applyFont="1" applyFill="1" applyBorder="1" applyAlignment="1">
      <alignment horizontal="left" vertical="center" wrapText="1"/>
    </xf>
    <xf numFmtId="0" fontId="3" fillId="19" borderId="6" xfId="0" applyFont="1" applyFill="1" applyBorder="1" applyAlignment="1">
      <alignment horizontal="left" vertical="center" wrapText="1"/>
    </xf>
    <xf numFmtId="0" fontId="13" fillId="16" borderId="7" xfId="0" applyFont="1" applyFill="1" applyBorder="1" applyAlignment="1" applyProtection="1">
      <alignment horizontal="center" vertical="center" wrapText="1"/>
    </xf>
    <xf numFmtId="0" fontId="13" fillId="16" borderId="6" xfId="0" applyFont="1" applyFill="1" applyBorder="1" applyAlignment="1" applyProtection="1">
      <alignment horizontal="center" vertical="center" wrapText="1"/>
    </xf>
    <xf numFmtId="0" fontId="33" fillId="0" borderId="16" xfId="0" applyFont="1" applyBorder="1" applyAlignment="1">
      <alignment horizontal="left" vertical="center" wrapText="1"/>
    </xf>
    <xf numFmtId="0" fontId="42" fillId="23" borderId="7" xfId="0" applyFont="1" applyFill="1" applyBorder="1" applyAlignment="1" applyProtection="1">
      <alignment horizontal="center" vertical="center"/>
    </xf>
    <xf numFmtId="0" fontId="42" fillId="23" borderId="6" xfId="0" applyFont="1" applyFill="1" applyBorder="1" applyAlignment="1" applyProtection="1">
      <alignment horizontal="center" vertical="center"/>
    </xf>
    <xf numFmtId="0" fontId="44" fillId="0" borderId="0" xfId="0" applyFont="1" applyAlignment="1">
      <alignment horizontal="left" vertical="center" wrapText="1"/>
    </xf>
    <xf numFmtId="0" fontId="3" fillId="3" borderId="9" xfId="0" applyFont="1" applyFill="1" applyBorder="1" applyAlignment="1">
      <alignment horizontal="center" vertical="center" wrapText="1"/>
    </xf>
    <xf numFmtId="0" fontId="3" fillId="3" borderId="10" xfId="0" applyFont="1" applyFill="1" applyBorder="1" applyAlignment="1">
      <alignment horizontal="center" vertical="center" wrapText="1"/>
    </xf>
    <xf numFmtId="0" fontId="3" fillId="3" borderId="11" xfId="0" applyFont="1" applyFill="1" applyBorder="1" applyAlignment="1">
      <alignment horizontal="center" vertical="center" wrapText="1"/>
    </xf>
    <xf numFmtId="0" fontId="3" fillId="18" borderId="9" xfId="0" applyFont="1" applyFill="1" applyBorder="1" applyAlignment="1">
      <alignment horizontal="center" vertical="center" wrapText="1"/>
    </xf>
    <xf numFmtId="0" fontId="3" fillId="18" borderId="10" xfId="0" applyFont="1" applyFill="1" applyBorder="1" applyAlignment="1">
      <alignment horizontal="center" vertical="center" wrapText="1"/>
    </xf>
    <xf numFmtId="0" fontId="3" fillId="18" borderId="11" xfId="0" applyFont="1" applyFill="1" applyBorder="1" applyAlignment="1">
      <alignment horizontal="center" vertical="center" wrapText="1"/>
    </xf>
    <xf numFmtId="0" fontId="33" fillId="0" borderId="5" xfId="0" applyFont="1" applyBorder="1" applyAlignment="1">
      <alignment horizontal="left" vertical="center"/>
    </xf>
    <xf numFmtId="0" fontId="33" fillId="0" borderId="6" xfId="0" applyFont="1" applyBorder="1" applyAlignment="1">
      <alignment horizontal="left" vertical="center"/>
    </xf>
    <xf numFmtId="0" fontId="0" fillId="0" borderId="5" xfId="0" applyFont="1" applyFill="1" applyBorder="1" applyAlignment="1">
      <alignment horizontal="left" vertical="center" wrapText="1" indent="2"/>
    </xf>
    <xf numFmtId="0" fontId="0" fillId="0" borderId="6" xfId="0" applyFont="1" applyFill="1" applyBorder="1" applyAlignment="1">
      <alignment horizontal="left" vertical="center" wrapText="1" indent="2"/>
    </xf>
    <xf numFmtId="0" fontId="0" fillId="0" borderId="5" xfId="0" applyFont="1" applyFill="1" applyBorder="1" applyAlignment="1">
      <alignment horizontal="left" vertical="center" wrapText="1"/>
    </xf>
    <xf numFmtId="0" fontId="0" fillId="0" borderId="6" xfId="0" applyFont="1" applyFill="1" applyBorder="1" applyAlignment="1">
      <alignment horizontal="left" vertical="center" wrapText="1"/>
    </xf>
    <xf numFmtId="0" fontId="58" fillId="0" borderId="5" xfId="0" applyFont="1" applyFill="1" applyBorder="1" applyAlignment="1">
      <alignment horizontal="left" vertical="center" wrapText="1"/>
    </xf>
    <xf numFmtId="0" fontId="58" fillId="0" borderId="6" xfId="0" applyFont="1" applyFill="1" applyBorder="1" applyAlignment="1">
      <alignment horizontal="left" vertical="center" wrapText="1"/>
    </xf>
    <xf numFmtId="0" fontId="0" fillId="0" borderId="1" xfId="0" applyFont="1" applyBorder="1" applyAlignment="1">
      <alignment horizontal="left" vertical="center"/>
    </xf>
    <xf numFmtId="0" fontId="58" fillId="0" borderId="2" xfId="0" applyFont="1" applyFill="1" applyBorder="1" applyAlignment="1">
      <alignment horizontal="center" vertical="center" wrapText="1"/>
    </xf>
    <xf numFmtId="0" fontId="58" fillId="0" borderId="3" xfId="0" applyFont="1" applyFill="1" applyBorder="1" applyAlignment="1">
      <alignment horizontal="center" vertical="center" wrapText="1"/>
    </xf>
    <xf numFmtId="0" fontId="58" fillId="0" borderId="4" xfId="0" applyFont="1" applyFill="1" applyBorder="1" applyAlignment="1">
      <alignment horizontal="center" vertical="center" wrapText="1"/>
    </xf>
    <xf numFmtId="0" fontId="58" fillId="5" borderId="5" xfId="0" applyFont="1" applyFill="1" applyBorder="1" applyAlignment="1">
      <alignment horizontal="left" vertical="center" wrapText="1"/>
    </xf>
    <xf numFmtId="0" fontId="58" fillId="5" borderId="6" xfId="0" applyFont="1" applyFill="1" applyBorder="1" applyAlignment="1">
      <alignment horizontal="left" vertical="center" wrapText="1"/>
    </xf>
    <xf numFmtId="0" fontId="58" fillId="0" borderId="5" xfId="0" applyFont="1" applyBorder="1" applyAlignment="1">
      <alignment horizontal="left" vertical="center" wrapText="1" indent="2"/>
    </xf>
    <xf numFmtId="0" fontId="58" fillId="0" borderId="6" xfId="0" applyFont="1" applyBorder="1" applyAlignment="1">
      <alignment horizontal="left" vertical="center" wrapText="1" indent="2"/>
    </xf>
    <xf numFmtId="0" fontId="0" fillId="0" borderId="5" xfId="0" applyFont="1" applyFill="1" applyBorder="1" applyAlignment="1">
      <alignment horizontal="left" vertical="center" wrapText="1" indent="4"/>
    </xf>
    <xf numFmtId="0" fontId="0" fillId="0" borderId="6" xfId="0" applyFont="1" applyFill="1" applyBorder="1" applyAlignment="1">
      <alignment horizontal="left" vertical="center" wrapText="1" indent="4"/>
    </xf>
    <xf numFmtId="0" fontId="58" fillId="0" borderId="5" xfId="0" applyFont="1" applyFill="1" applyBorder="1" applyAlignment="1">
      <alignment horizontal="left" vertical="center" wrapText="1" indent="2"/>
    </xf>
    <xf numFmtId="0" fontId="58" fillId="0" borderId="6" xfId="0" applyFont="1" applyFill="1" applyBorder="1" applyAlignment="1">
      <alignment horizontal="left" vertical="center" wrapText="1" indent="2"/>
    </xf>
    <xf numFmtId="0" fontId="58" fillId="26" borderId="5" xfId="0" applyFont="1" applyFill="1" applyBorder="1" applyAlignment="1">
      <alignment horizontal="left" vertical="center" wrapText="1"/>
    </xf>
    <xf numFmtId="0" fontId="58" fillId="26" borderId="6" xfId="0" applyFont="1" applyFill="1" applyBorder="1" applyAlignment="1">
      <alignment horizontal="left" vertical="center" wrapText="1"/>
    </xf>
    <xf numFmtId="0" fontId="0" fillId="26" borderId="5" xfId="0" applyFont="1" applyFill="1" applyBorder="1" applyAlignment="1">
      <alignment horizontal="left" vertical="center" wrapText="1"/>
    </xf>
    <xf numFmtId="0" fontId="0" fillId="26" borderId="6" xfId="0" applyFont="1" applyFill="1" applyBorder="1" applyAlignment="1">
      <alignment horizontal="left" vertical="center" wrapText="1"/>
    </xf>
    <xf numFmtId="0" fontId="33" fillId="0" borderId="7" xfId="0" applyFont="1" applyBorder="1" applyAlignment="1">
      <alignment horizontal="center" vertical="center"/>
    </xf>
    <xf numFmtId="0" fontId="32" fillId="0" borderId="5" xfId="0" applyFont="1" applyBorder="1" applyAlignment="1">
      <alignment horizontal="left" vertical="center"/>
    </xf>
    <xf numFmtId="0" fontId="32" fillId="0" borderId="7" xfId="0" applyFont="1" applyBorder="1" applyAlignment="1">
      <alignment horizontal="left" vertical="center"/>
    </xf>
    <xf numFmtId="0" fontId="32" fillId="0" borderId="6" xfId="0" applyFont="1" applyBorder="1" applyAlignment="1">
      <alignment horizontal="left" vertical="center"/>
    </xf>
    <xf numFmtId="0" fontId="33" fillId="0" borderId="9" xfId="0" applyFont="1" applyBorder="1" applyAlignment="1">
      <alignment horizontal="center" vertical="center"/>
    </xf>
    <xf numFmtId="0" fontId="33" fillId="0" borderId="16" xfId="0" applyFont="1" applyBorder="1" applyAlignment="1">
      <alignment horizontal="center" vertical="center"/>
    </xf>
    <xf numFmtId="0" fontId="33" fillId="0" borderId="17" xfId="0" applyFont="1" applyBorder="1" applyAlignment="1">
      <alignment horizontal="center" vertical="center"/>
    </xf>
    <xf numFmtId="0" fontId="33" fillId="0" borderId="11" xfId="0" applyFont="1" applyBorder="1" applyAlignment="1">
      <alignment horizontal="center" vertical="center"/>
    </xf>
    <xf numFmtId="0" fontId="33" fillId="0" borderId="8" xfId="0" applyFont="1" applyBorder="1" applyAlignment="1">
      <alignment horizontal="center" vertical="center"/>
    </xf>
    <xf numFmtId="0" fontId="33" fillId="0" borderId="12" xfId="0" applyFont="1" applyBorder="1" applyAlignment="1">
      <alignment horizontal="center" vertical="center"/>
    </xf>
    <xf numFmtId="0" fontId="42" fillId="10" borderId="5" xfId="0" applyFont="1" applyFill="1" applyBorder="1" applyAlignment="1">
      <alignment horizontal="center" vertical="center"/>
    </xf>
    <xf numFmtId="0" fontId="42" fillId="10" borderId="7" xfId="0" applyFont="1" applyFill="1" applyBorder="1" applyAlignment="1">
      <alignment horizontal="center" vertical="center"/>
    </xf>
    <xf numFmtId="0" fontId="42" fillId="10" borderId="6" xfId="0" applyFont="1" applyFill="1" applyBorder="1" applyAlignment="1">
      <alignment horizontal="center" vertical="center"/>
    </xf>
    <xf numFmtId="0" fontId="42" fillId="10" borderId="1" xfId="0" applyFont="1" applyFill="1" applyBorder="1" applyAlignment="1">
      <alignment horizontal="center" vertical="center"/>
    </xf>
    <xf numFmtId="0" fontId="3" fillId="20" borderId="1" xfId="0" applyFont="1" applyFill="1" applyBorder="1" applyAlignment="1">
      <alignment horizontal="center" vertical="center"/>
    </xf>
    <xf numFmtId="0" fontId="42" fillId="10" borderId="16" xfId="0" applyFont="1" applyFill="1" applyBorder="1" applyAlignment="1">
      <alignment horizontal="center" vertical="center"/>
    </xf>
    <xf numFmtId="0" fontId="42" fillId="10" borderId="17" xfId="0" applyFont="1" applyFill="1" applyBorder="1" applyAlignment="1">
      <alignment horizontal="center" vertical="center"/>
    </xf>
    <xf numFmtId="0" fontId="42" fillId="10" borderId="8" xfId="0" applyFont="1" applyFill="1" applyBorder="1" applyAlignment="1">
      <alignment horizontal="center" vertical="center"/>
    </xf>
    <xf numFmtId="0" fontId="42" fillId="10" borderId="12" xfId="0" applyFont="1" applyFill="1" applyBorder="1" applyAlignment="1">
      <alignment horizontal="center" vertical="center"/>
    </xf>
    <xf numFmtId="0" fontId="42" fillId="21" borderId="5" xfId="0" quotePrefix="1" applyFont="1" applyFill="1" applyBorder="1" applyAlignment="1">
      <alignment horizontal="left" vertical="center" wrapText="1"/>
    </xf>
    <xf numFmtId="0" fontId="42" fillId="21" borderId="7" xfId="0" quotePrefix="1" applyFont="1" applyFill="1" applyBorder="1" applyAlignment="1">
      <alignment horizontal="left" vertical="center" wrapText="1"/>
    </xf>
    <xf numFmtId="0" fontId="42" fillId="21" borderId="6" xfId="0" quotePrefix="1" applyFont="1" applyFill="1" applyBorder="1" applyAlignment="1">
      <alignment horizontal="left" vertical="center" wrapText="1"/>
    </xf>
    <xf numFmtId="0" fontId="5" fillId="0" borderId="0" xfId="0" applyFont="1" applyAlignment="1">
      <alignment horizontal="left" vertical="center"/>
    </xf>
    <xf numFmtId="0" fontId="3" fillId="14" borderId="5" xfId="0" applyFont="1" applyFill="1" applyBorder="1" applyAlignment="1">
      <alignment horizontal="center" vertical="center"/>
    </xf>
    <xf numFmtId="0" fontId="3" fillId="14" borderId="7" xfId="0" applyFont="1" applyFill="1" applyBorder="1" applyAlignment="1">
      <alignment horizontal="center" vertical="center"/>
    </xf>
    <xf numFmtId="0" fontId="3" fillId="14" borderId="6" xfId="0" applyFont="1" applyFill="1" applyBorder="1" applyAlignment="1">
      <alignment horizontal="center" vertical="center"/>
    </xf>
    <xf numFmtId="0" fontId="0" fillId="23" borderId="1" xfId="0" applyFont="1" applyFill="1" applyBorder="1" applyAlignment="1">
      <alignment horizontal="center"/>
    </xf>
    <xf numFmtId="0" fontId="32" fillId="0" borderId="9" xfId="0" applyFont="1" applyFill="1" applyBorder="1" applyAlignment="1">
      <alignment horizontal="center" vertical="center" wrapText="1"/>
    </xf>
    <xf numFmtId="0" fontId="32" fillId="0" borderId="16" xfId="0" applyFont="1" applyFill="1" applyBorder="1" applyAlignment="1">
      <alignment horizontal="center" vertical="center" wrapText="1"/>
    </xf>
    <xf numFmtId="0" fontId="32" fillId="0" borderId="17" xfId="0" applyFont="1" applyFill="1" applyBorder="1" applyAlignment="1">
      <alignment horizontal="center" vertical="center" wrapText="1"/>
    </xf>
    <xf numFmtId="0" fontId="32" fillId="0" borderId="10" xfId="0" applyFont="1" applyFill="1" applyBorder="1" applyAlignment="1">
      <alignment horizontal="center" vertical="center" wrapText="1"/>
    </xf>
    <xf numFmtId="0" fontId="32" fillId="0" borderId="0" xfId="0" applyFont="1" applyFill="1" applyBorder="1" applyAlignment="1">
      <alignment horizontal="center" vertical="center" wrapText="1"/>
    </xf>
    <xf numFmtId="0" fontId="32" fillId="0" borderId="18" xfId="0" applyFont="1" applyFill="1" applyBorder="1" applyAlignment="1">
      <alignment horizontal="center" vertical="center" wrapText="1"/>
    </xf>
    <xf numFmtId="0" fontId="32" fillId="0" borderId="11" xfId="0" applyFont="1" applyFill="1" applyBorder="1" applyAlignment="1">
      <alignment horizontal="center" vertical="center" wrapText="1"/>
    </xf>
    <xf numFmtId="0" fontId="32" fillId="0" borderId="8" xfId="0" applyFont="1" applyFill="1" applyBorder="1" applyAlignment="1">
      <alignment horizontal="center" vertical="center" wrapText="1"/>
    </xf>
    <xf numFmtId="0" fontId="32" fillId="0" borderId="12" xfId="0" applyFont="1" applyFill="1" applyBorder="1" applyAlignment="1">
      <alignment horizontal="center" vertical="center" wrapText="1"/>
    </xf>
    <xf numFmtId="0" fontId="3" fillId="15" borderId="1" xfId="0" applyFont="1" applyFill="1" applyBorder="1" applyAlignment="1">
      <alignment horizontal="center" vertical="center"/>
    </xf>
    <xf numFmtId="0" fontId="0" fillId="15" borderId="1" xfId="0" applyFont="1" applyFill="1" applyBorder="1" applyAlignment="1">
      <alignment horizontal="center"/>
    </xf>
    <xf numFmtId="0" fontId="13" fillId="23" borderId="1" xfId="0" applyFont="1" applyFill="1" applyBorder="1" applyAlignment="1" applyProtection="1">
      <alignment horizontal="center" vertical="center"/>
    </xf>
    <xf numFmtId="0" fontId="0" fillId="10" borderId="1" xfId="0" applyFont="1" applyFill="1" applyBorder="1" applyAlignment="1">
      <alignment horizontal="center"/>
    </xf>
    <xf numFmtId="0" fontId="3" fillId="10" borderId="9" xfId="0" applyFont="1" applyFill="1" applyBorder="1" applyAlignment="1">
      <alignment horizontal="center" vertical="center"/>
    </xf>
    <xf numFmtId="0" fontId="3" fillId="10" borderId="16" xfId="0" applyFont="1" applyFill="1" applyBorder="1" applyAlignment="1">
      <alignment horizontal="center" vertical="center"/>
    </xf>
    <xf numFmtId="0" fontId="3" fillId="10" borderId="17" xfId="0" applyFont="1" applyFill="1" applyBorder="1" applyAlignment="1">
      <alignment horizontal="center" vertical="center"/>
    </xf>
    <xf numFmtId="0" fontId="3" fillId="10" borderId="10" xfId="0" applyFont="1" applyFill="1" applyBorder="1" applyAlignment="1">
      <alignment horizontal="center" vertical="center"/>
    </xf>
    <xf numFmtId="0" fontId="3" fillId="10" borderId="0" xfId="0" applyFont="1" applyFill="1" applyBorder="1" applyAlignment="1">
      <alignment horizontal="center" vertical="center"/>
    </xf>
    <xf numFmtId="0" fontId="3" fillId="10" borderId="18" xfId="0" applyFont="1" applyFill="1" applyBorder="1" applyAlignment="1">
      <alignment horizontal="center" vertical="center"/>
    </xf>
    <xf numFmtId="0" fontId="13" fillId="15" borderId="9" xfId="0" applyFont="1" applyFill="1" applyBorder="1" applyAlignment="1">
      <alignment horizontal="center" vertical="center" wrapText="1"/>
    </xf>
    <xf numFmtId="0" fontId="13" fillId="15" borderId="16" xfId="0" applyFont="1" applyFill="1" applyBorder="1" applyAlignment="1">
      <alignment horizontal="center" vertical="center" wrapText="1"/>
    </xf>
    <xf numFmtId="0" fontId="13" fillId="15" borderId="17" xfId="0" applyFont="1" applyFill="1" applyBorder="1" applyAlignment="1">
      <alignment horizontal="center" vertical="center" wrapText="1"/>
    </xf>
    <xf numFmtId="0" fontId="13" fillId="15" borderId="1" xfId="0" applyFont="1" applyFill="1" applyBorder="1" applyAlignment="1">
      <alignment horizontal="center" vertical="center"/>
    </xf>
    <xf numFmtId="0" fontId="0" fillId="10" borderId="9" xfId="0" applyFont="1" applyFill="1" applyBorder="1" applyAlignment="1">
      <alignment horizontal="center"/>
    </xf>
    <xf numFmtId="0" fontId="0" fillId="10" borderId="16" xfId="0" applyFont="1" applyFill="1" applyBorder="1" applyAlignment="1">
      <alignment horizontal="center"/>
    </xf>
    <xf numFmtId="0" fontId="0" fillId="10" borderId="17" xfId="0" applyFont="1" applyFill="1" applyBorder="1" applyAlignment="1">
      <alignment horizontal="center"/>
    </xf>
    <xf numFmtId="0" fontId="0" fillId="10" borderId="11" xfId="0" applyFont="1" applyFill="1" applyBorder="1" applyAlignment="1">
      <alignment horizontal="center"/>
    </xf>
    <xf numFmtId="0" fontId="0" fillId="10" borderId="8" xfId="0" applyFont="1" applyFill="1" applyBorder="1" applyAlignment="1">
      <alignment horizontal="center"/>
    </xf>
    <xf numFmtId="0" fontId="0" fillId="10" borderId="12" xfId="0" applyFont="1" applyFill="1" applyBorder="1" applyAlignment="1">
      <alignment horizontal="center"/>
    </xf>
    <xf numFmtId="0" fontId="13" fillId="15" borderId="1" xfId="0" applyFont="1" applyFill="1" applyBorder="1" applyAlignment="1">
      <alignment horizontal="center" vertical="center" wrapText="1"/>
    </xf>
    <xf numFmtId="1" fontId="33" fillId="0" borderId="5" xfId="0" applyNumberFormat="1" applyFont="1" applyBorder="1" applyAlignment="1">
      <alignment horizontal="center" vertical="center"/>
    </xf>
    <xf numFmtId="1" fontId="33" fillId="0" borderId="7" xfId="0" applyNumberFormat="1" applyFont="1" applyBorder="1" applyAlignment="1">
      <alignment horizontal="center" vertical="center"/>
    </xf>
    <xf numFmtId="1" fontId="33" fillId="0" borderId="6" xfId="0" applyNumberFormat="1" applyFont="1" applyBorder="1" applyAlignment="1">
      <alignment horizontal="center" vertical="center"/>
    </xf>
    <xf numFmtId="0" fontId="42" fillId="22" borderId="5" xfId="0" applyFont="1" applyFill="1" applyBorder="1" applyAlignment="1">
      <alignment horizontal="center" vertical="center"/>
    </xf>
    <xf numFmtId="0" fontId="42" fillId="22" borderId="7" xfId="0" applyFont="1" applyFill="1" applyBorder="1" applyAlignment="1">
      <alignment horizontal="center" vertical="center"/>
    </xf>
    <xf numFmtId="0" fontId="42" fillId="22" borderId="6" xfId="0" applyFont="1" applyFill="1" applyBorder="1" applyAlignment="1">
      <alignment horizontal="center" vertical="center"/>
    </xf>
    <xf numFmtId="0" fontId="33" fillId="0" borderId="17" xfId="0" applyFont="1" applyBorder="1" applyAlignment="1">
      <alignment horizontal="center" vertical="center" wrapText="1"/>
    </xf>
    <xf numFmtId="1" fontId="33" fillId="0" borderId="9" xfId="0" applyNumberFormat="1" applyFont="1" applyBorder="1" applyAlignment="1">
      <alignment horizontal="center" vertical="center"/>
    </xf>
    <xf numFmtId="1" fontId="33" fillId="0" borderId="16" xfId="0" applyNumberFormat="1" applyFont="1" applyBorder="1" applyAlignment="1">
      <alignment horizontal="center" vertical="center"/>
    </xf>
    <xf numFmtId="1" fontId="33" fillId="0" borderId="17" xfId="0" applyNumberFormat="1" applyFont="1" applyBorder="1" applyAlignment="1">
      <alignment horizontal="center" vertical="center"/>
    </xf>
    <xf numFmtId="1" fontId="33" fillId="0" borderId="11" xfId="0" applyNumberFormat="1" applyFont="1" applyBorder="1" applyAlignment="1">
      <alignment horizontal="center" vertical="center"/>
    </xf>
    <xf numFmtId="1" fontId="33" fillId="0" borderId="8" xfId="0" applyNumberFormat="1" applyFont="1" applyBorder="1" applyAlignment="1">
      <alignment horizontal="center" vertical="center"/>
    </xf>
    <xf numFmtId="1" fontId="33" fillId="0" borderId="12" xfId="0" applyNumberFormat="1" applyFont="1" applyBorder="1" applyAlignment="1">
      <alignment horizontal="center" vertical="center"/>
    </xf>
    <xf numFmtId="0" fontId="33" fillId="0" borderId="12" xfId="0" applyFont="1" applyBorder="1" applyAlignment="1">
      <alignment horizontal="center" vertical="center" wrapText="1"/>
    </xf>
    <xf numFmtId="0" fontId="42" fillId="22" borderId="16" xfId="0" applyFont="1" applyFill="1" applyBorder="1" applyAlignment="1">
      <alignment horizontal="center" vertical="center"/>
    </xf>
    <xf numFmtId="0" fontId="42" fillId="22" borderId="17" xfId="0" applyFont="1" applyFill="1" applyBorder="1" applyAlignment="1">
      <alignment horizontal="center" vertical="center"/>
    </xf>
    <xf numFmtId="0" fontId="42" fillId="22" borderId="8" xfId="0" applyFont="1" applyFill="1" applyBorder="1" applyAlignment="1">
      <alignment horizontal="center" vertical="center"/>
    </xf>
    <xf numFmtId="0" fontId="42" fillId="22" borderId="12" xfId="0" applyFont="1" applyFill="1" applyBorder="1" applyAlignment="1">
      <alignment horizontal="center" vertical="center"/>
    </xf>
    <xf numFmtId="0" fontId="3" fillId="3" borderId="1" xfId="0" applyFont="1" applyFill="1" applyBorder="1" applyAlignment="1">
      <alignment horizontal="center"/>
    </xf>
    <xf numFmtId="0" fontId="3" fillId="18" borderId="1" xfId="0" applyFont="1" applyFill="1" applyBorder="1" applyAlignment="1">
      <alignment horizontal="center"/>
    </xf>
    <xf numFmtId="0" fontId="3" fillId="22" borderId="9" xfId="0" applyFont="1" applyFill="1" applyBorder="1" applyAlignment="1">
      <alignment horizontal="center" vertical="center"/>
    </xf>
    <xf numFmtId="0" fontId="3" fillId="22" borderId="16" xfId="0" applyFont="1" applyFill="1" applyBorder="1" applyAlignment="1">
      <alignment horizontal="center" vertical="center"/>
    </xf>
    <xf numFmtId="0" fontId="3" fillId="22" borderId="17" xfId="0" applyFont="1" applyFill="1" applyBorder="1" applyAlignment="1">
      <alignment horizontal="center" vertical="center"/>
    </xf>
    <xf numFmtId="0" fontId="3" fillId="22" borderId="10" xfId="0" applyFont="1" applyFill="1" applyBorder="1" applyAlignment="1">
      <alignment horizontal="center" vertical="center"/>
    </xf>
    <xf numFmtId="0" fontId="3" fillId="22" borderId="0" xfId="0" applyFont="1" applyFill="1" applyBorder="1" applyAlignment="1">
      <alignment horizontal="center" vertical="center"/>
    </xf>
    <xf numFmtId="0" fontId="3" fillId="22" borderId="18" xfId="0" applyFont="1" applyFill="1" applyBorder="1" applyAlignment="1">
      <alignment horizontal="center" vertical="center"/>
    </xf>
    <xf numFmtId="0" fontId="0" fillId="22" borderId="1" xfId="0" applyFont="1" applyFill="1" applyBorder="1" applyAlignment="1">
      <alignment horizontal="center"/>
    </xf>
    <xf numFmtId="0" fontId="42" fillId="22" borderId="1" xfId="0" applyFont="1" applyFill="1" applyBorder="1" applyAlignment="1">
      <alignment horizontal="center" vertical="center"/>
    </xf>
    <xf numFmtId="0" fontId="3" fillId="14" borderId="1" xfId="0" applyFont="1" applyFill="1" applyBorder="1" applyAlignment="1">
      <alignment horizontal="center" vertical="center"/>
    </xf>
    <xf numFmtId="0" fontId="42" fillId="23" borderId="1" xfId="0" applyFont="1" applyFill="1" applyBorder="1" applyAlignment="1" applyProtection="1">
      <alignment horizontal="center" vertical="center"/>
    </xf>
    <xf numFmtId="0" fontId="3" fillId="3" borderId="9" xfId="0" applyFont="1" applyFill="1" applyBorder="1" applyAlignment="1" applyProtection="1">
      <alignment horizontal="center" vertical="center" wrapText="1"/>
    </xf>
    <xf numFmtId="0" fontId="3" fillId="3" borderId="10" xfId="0" applyFont="1" applyFill="1" applyBorder="1" applyAlignment="1" applyProtection="1">
      <alignment horizontal="center" vertical="center" wrapText="1"/>
    </xf>
    <xf numFmtId="0" fontId="3" fillId="3" borderId="11" xfId="0" applyFont="1" applyFill="1" applyBorder="1" applyAlignment="1" applyProtection="1">
      <alignment horizontal="center" vertical="center" wrapText="1"/>
    </xf>
    <xf numFmtId="0" fontId="3" fillId="18" borderId="9" xfId="0" applyFont="1" applyFill="1" applyBorder="1" applyAlignment="1" applyProtection="1">
      <alignment horizontal="center" vertical="center" wrapText="1"/>
    </xf>
    <xf numFmtId="0" fontId="3" fillId="18" borderId="10" xfId="0" applyFont="1" applyFill="1" applyBorder="1" applyAlignment="1" applyProtection="1">
      <alignment horizontal="center" vertical="center" wrapText="1"/>
    </xf>
    <xf numFmtId="0" fontId="3" fillId="18" borderId="11" xfId="0" applyFont="1" applyFill="1" applyBorder="1" applyAlignment="1" applyProtection="1">
      <alignment horizontal="center" vertical="center" wrapText="1"/>
    </xf>
    <xf numFmtId="0" fontId="13" fillId="15" borderId="1" xfId="0" applyFont="1" applyFill="1" applyBorder="1" applyAlignment="1" applyProtection="1">
      <alignment horizontal="center" vertical="center" wrapText="1"/>
    </xf>
    <xf numFmtId="0" fontId="32" fillId="0" borderId="1" xfId="0" applyFont="1" applyBorder="1" applyAlignment="1" applyProtection="1">
      <alignment horizontal="center" vertical="center" wrapText="1"/>
    </xf>
    <xf numFmtId="1" fontId="3" fillId="15" borderId="5" xfId="0" applyNumberFormat="1" applyFont="1" applyFill="1" applyBorder="1" applyAlignment="1">
      <alignment horizontal="center" vertical="center"/>
    </xf>
    <xf numFmtId="1" fontId="3" fillId="15" borderId="7" xfId="0" applyNumberFormat="1" applyFont="1" applyFill="1" applyBorder="1" applyAlignment="1">
      <alignment horizontal="center" vertical="center"/>
    </xf>
    <xf numFmtId="1" fontId="3" fillId="15" borderId="6" xfId="0" applyNumberFormat="1" applyFont="1" applyFill="1" applyBorder="1" applyAlignment="1">
      <alignment horizontal="center" vertical="center"/>
    </xf>
    <xf numFmtId="1" fontId="13" fillId="23" borderId="5" xfId="0" applyNumberFormat="1" applyFont="1" applyFill="1" applyBorder="1" applyAlignment="1" applyProtection="1">
      <alignment horizontal="center" vertical="center"/>
    </xf>
    <xf numFmtId="1" fontId="13" fillId="23" borderId="7" xfId="0" applyNumberFormat="1" applyFont="1" applyFill="1" applyBorder="1" applyAlignment="1" applyProtection="1">
      <alignment horizontal="center" vertical="center"/>
    </xf>
    <xf numFmtId="1" fontId="13" fillId="23" borderId="6" xfId="0" applyNumberFormat="1" applyFont="1" applyFill="1" applyBorder="1" applyAlignment="1" applyProtection="1">
      <alignment horizontal="center" vertical="center"/>
    </xf>
    <xf numFmtId="0" fontId="44" fillId="0" borderId="0" xfId="0" applyFont="1" applyAlignment="1">
      <alignment horizontal="center" vertical="center" wrapText="1"/>
    </xf>
    <xf numFmtId="0" fontId="13" fillId="15" borderId="5" xfId="0" applyFont="1" applyFill="1" applyBorder="1" applyAlignment="1">
      <alignment horizontal="center" vertical="center"/>
    </xf>
    <xf numFmtId="0" fontId="13" fillId="15" borderId="7" xfId="0" applyFont="1" applyFill="1" applyBorder="1" applyAlignment="1">
      <alignment horizontal="center" vertical="center"/>
    </xf>
    <xf numFmtId="0" fontId="13" fillId="15" borderId="6" xfId="0" applyFont="1" applyFill="1" applyBorder="1" applyAlignment="1">
      <alignment horizontal="center" vertical="center"/>
    </xf>
    <xf numFmtId="0" fontId="13" fillId="15" borderId="7" xfId="0" applyFont="1" applyFill="1" applyBorder="1" applyAlignment="1">
      <alignment horizontal="right" vertical="center"/>
    </xf>
    <xf numFmtId="0" fontId="13" fillId="15" borderId="6" xfId="0" applyFont="1" applyFill="1" applyBorder="1" applyAlignment="1">
      <alignment horizontal="right" vertical="center"/>
    </xf>
    <xf numFmtId="0" fontId="13" fillId="23" borderId="7" xfId="0" applyFont="1" applyFill="1" applyBorder="1" applyAlignment="1" applyProtection="1">
      <alignment horizontal="right" vertical="center" wrapText="1"/>
    </xf>
    <xf numFmtId="0" fontId="13" fillId="23" borderId="6" xfId="0" applyFont="1" applyFill="1" applyBorder="1" applyAlignment="1" applyProtection="1">
      <alignment horizontal="right" vertical="center" wrapText="1"/>
    </xf>
    <xf numFmtId="1" fontId="30" fillId="2" borderId="5" xfId="0" quotePrefix="1" applyNumberFormat="1" applyFont="1" applyFill="1" applyBorder="1" applyAlignment="1" applyProtection="1">
      <alignment horizontal="center" vertical="center" wrapText="1"/>
      <protection locked="0"/>
    </xf>
    <xf numFmtId="1" fontId="30" fillId="2" borderId="7" xfId="0" quotePrefix="1" applyNumberFormat="1" applyFont="1" applyFill="1" applyBorder="1" applyAlignment="1" applyProtection="1">
      <alignment horizontal="center" vertical="center" wrapText="1"/>
      <protection locked="0"/>
    </xf>
    <xf numFmtId="1" fontId="30" fillId="2" borderId="6" xfId="0" quotePrefix="1" applyNumberFormat="1" applyFont="1" applyFill="1" applyBorder="1" applyAlignment="1" applyProtection="1">
      <alignment horizontal="center" vertical="center" wrapText="1"/>
      <protection locked="0"/>
    </xf>
    <xf numFmtId="0" fontId="3" fillId="19" borderId="5" xfId="0" applyFont="1" applyFill="1" applyBorder="1" applyAlignment="1">
      <alignment horizontal="left" vertical="center"/>
    </xf>
    <xf numFmtId="0" fontId="3" fillId="19" borderId="7" xfId="0" applyFont="1" applyFill="1" applyBorder="1" applyAlignment="1">
      <alignment horizontal="left" vertical="center"/>
    </xf>
    <xf numFmtId="0" fontId="3" fillId="19" borderId="6" xfId="0" applyFont="1" applyFill="1" applyBorder="1" applyAlignment="1">
      <alignment horizontal="left" vertical="center"/>
    </xf>
    <xf numFmtId="0" fontId="42" fillId="23" borderId="7" xfId="0" applyFont="1" applyFill="1" applyBorder="1" applyAlignment="1">
      <alignment horizontal="center" vertical="center"/>
    </xf>
    <xf numFmtId="1" fontId="51" fillId="23" borderId="5" xfId="0" applyNumberFormat="1" applyFont="1" applyFill="1" applyBorder="1" applyAlignment="1" applyProtection="1">
      <alignment horizontal="left" vertical="center" wrapText="1"/>
    </xf>
    <xf numFmtId="1" fontId="51" fillId="23" borderId="7" xfId="0" applyNumberFormat="1" applyFont="1" applyFill="1" applyBorder="1" applyAlignment="1" applyProtection="1">
      <alignment horizontal="left" vertical="center" wrapText="1"/>
    </xf>
    <xf numFmtId="1" fontId="51" fillId="23" borderId="6" xfId="0" applyNumberFormat="1" applyFont="1" applyFill="1" applyBorder="1" applyAlignment="1" applyProtection="1">
      <alignment horizontal="left" vertical="center" wrapText="1"/>
    </xf>
    <xf numFmtId="0" fontId="33" fillId="0" borderId="5" xfId="0" applyFont="1" applyBorder="1" applyAlignment="1">
      <alignment horizontal="right" vertical="center"/>
    </xf>
    <xf numFmtId="0" fontId="33" fillId="0" borderId="7" xfId="0" applyFont="1" applyBorder="1" applyAlignment="1">
      <alignment horizontal="right" vertical="center"/>
    </xf>
    <xf numFmtId="0" fontId="33" fillId="0" borderId="6" xfId="0" applyFont="1" applyBorder="1" applyAlignment="1">
      <alignment horizontal="right" vertical="center"/>
    </xf>
    <xf numFmtId="1" fontId="32" fillId="0" borderId="5" xfId="0" applyNumberFormat="1" applyFont="1" applyBorder="1" applyAlignment="1">
      <alignment horizontal="left" vertical="center"/>
    </xf>
  </cellXfs>
  <cellStyles count="33">
    <cellStyle name="GrandTotal" xfId="1"/>
    <cellStyle name="Normal" xfId="0" builtinId="0"/>
    <cellStyle name="Normal_P-I" xfId="5"/>
    <cellStyle name="Normal_P-II(A)" xfId="7"/>
    <cellStyle name="Normal_P-II(B)" xfId="8"/>
    <cellStyle name="Normal_P-II_1" xfId="28"/>
    <cellStyle name="Normal_P-II-A" xfId="29"/>
    <cellStyle name="Normal_P-III" xfId="9"/>
    <cellStyle name="Normal_P-IV" xfId="10"/>
    <cellStyle name="Normal_P-IX" xfId="14"/>
    <cellStyle name="Normal_P-V" xfId="11"/>
    <cellStyle name="Normal_P-VI" xfId="12"/>
    <cellStyle name="Normal_P-VII" xfId="6"/>
    <cellStyle name="Normal_P-VII_1" xfId="30"/>
    <cellStyle name="Normal_P-VIII" xfId="13"/>
    <cellStyle name="Normal_P-X" xfId="15"/>
    <cellStyle name="Normal_P-XI" xfId="16"/>
    <cellStyle name="Normal_P-XII" xfId="17"/>
    <cellStyle name="Normal_P-XIII" xfId="18"/>
    <cellStyle name="Normal_P-XIV" xfId="19"/>
    <cellStyle name="Normal_P-XIX" xfId="24"/>
    <cellStyle name="Normal_P-XV" xfId="20"/>
    <cellStyle name="Normal_P-XVI" xfId="21"/>
    <cellStyle name="Normal_P-XVII" xfId="22"/>
    <cellStyle name="Normal_P-XVIII" xfId="23"/>
    <cellStyle name="Normal_P-XX" xfId="25"/>
    <cellStyle name="Normal_P-XXI" xfId="26"/>
    <cellStyle name="Normal_P-XXII" xfId="27"/>
    <cellStyle name="Normal_P-XXIII" xfId="31"/>
    <cellStyle name="Normal_Sheet1 2" xfId="32"/>
    <cellStyle name="Percent" xfId="4" builtinId="5"/>
    <cellStyle name="SubTotal" xfId="2"/>
    <cellStyle name="TableHeading" xfId="3"/>
  </cellStyles>
  <dxfs count="1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E1E1"/>
      <color rgb="FFFFCDE1"/>
      <color rgb="FF990099"/>
      <color rgb="FFFFA3C8"/>
      <color rgb="FF0033CC"/>
      <color rgb="FFCC0000"/>
      <color rgb="FFCC3300"/>
      <color rgb="FFFFF0F5"/>
      <color rgb="FFABFFFF"/>
      <color rgb="FFF2FF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50-EC42-11CE-9E0D-00AA006002F3}" r:id="rId1"/>
</file>

<file path=xl/activeX/activeX2.xml><?xml version="1.0" encoding="utf-8"?>
<ax:ocx xmlns:ax="http://schemas.microsoft.com/office/2006/activeX" xmlns:r="http://schemas.openxmlformats.org/officeDocument/2006/relationships" ax:classid="{8BD21D50-EC42-11CE-9E0D-00AA006002F3}" r:id="rId1"/>
</file>

<file path=xl/activeX/activeX3.xml><?xml version="1.0" encoding="utf-8"?>
<ax:ocx xmlns:ax="http://schemas.microsoft.com/office/2006/activeX" xmlns:r="http://schemas.openxmlformats.org/officeDocument/2006/relationships" ax:classid="{8BD21D50-EC42-11CE-9E0D-00AA006002F3}"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85725</xdr:rowOff>
    </xdr:from>
    <xdr:to>
      <xdr:col>13</xdr:col>
      <xdr:colOff>238125</xdr:colOff>
      <xdr:row>7</xdr:row>
      <xdr:rowOff>66675</xdr:rowOff>
    </xdr:to>
    <xdr:sp macro="" textlink="">
      <xdr:nvSpPr>
        <xdr:cNvPr id="2" name="Rectangle 1"/>
        <xdr:cNvSpPr/>
      </xdr:nvSpPr>
      <xdr:spPr>
        <a:xfrm>
          <a:off x="257175" y="295275"/>
          <a:ext cx="9677400" cy="13906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xdr:twoCellAnchor>
    <xdr:from>
      <xdr:col>1</xdr:col>
      <xdr:colOff>0</xdr:colOff>
      <xdr:row>7</xdr:row>
      <xdr:rowOff>76200</xdr:rowOff>
    </xdr:from>
    <xdr:to>
      <xdr:col>13</xdr:col>
      <xdr:colOff>238125</xdr:colOff>
      <xdr:row>28</xdr:row>
      <xdr:rowOff>0</xdr:rowOff>
    </xdr:to>
    <xdr:sp macro="" textlink="">
      <xdr:nvSpPr>
        <xdr:cNvPr id="3" name="Rectangle 2"/>
        <xdr:cNvSpPr/>
      </xdr:nvSpPr>
      <xdr:spPr>
        <a:xfrm>
          <a:off x="257175" y="1695450"/>
          <a:ext cx="9677400" cy="45529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mc:AlternateContent xmlns:mc="http://schemas.openxmlformats.org/markup-compatibility/2006">
    <mc:Choice xmlns:a14="http://schemas.microsoft.com/office/drawing/2010/main" Requires="a14">
      <xdr:twoCellAnchor editAs="oneCell">
        <xdr:from>
          <xdr:col>2</xdr:col>
          <xdr:colOff>304800</xdr:colOff>
          <xdr:row>8</xdr:row>
          <xdr:rowOff>66675</xdr:rowOff>
        </xdr:from>
        <xdr:to>
          <xdr:col>4</xdr:col>
          <xdr:colOff>200025</xdr:colOff>
          <xdr:row>9</xdr:row>
          <xdr:rowOff>180975</xdr:rowOff>
        </xdr:to>
        <xdr:sp macro="" textlink="">
          <xdr:nvSpPr>
            <xdr:cNvPr id="26625" name="optDistrict" hidden="1">
              <a:extLst>
                <a:ext uri="{63B3BB69-23CF-44E3-9099-C40C66FF867C}">
                  <a14:compatExt spid="_x0000_s26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438150</xdr:colOff>
          <xdr:row>8</xdr:row>
          <xdr:rowOff>57150</xdr:rowOff>
        </xdr:from>
        <xdr:to>
          <xdr:col>6</xdr:col>
          <xdr:colOff>514350</xdr:colOff>
          <xdr:row>9</xdr:row>
          <xdr:rowOff>180975</xdr:rowOff>
        </xdr:to>
        <xdr:sp macro="" textlink="">
          <xdr:nvSpPr>
            <xdr:cNvPr id="26626" name="optMegaCity" hidden="1">
              <a:extLst>
                <a:ext uri="{63B3BB69-23CF-44E3-9099-C40C66FF867C}">
                  <a14:compatExt spid="_x0000_s26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8</xdr:row>
          <xdr:rowOff>76200</xdr:rowOff>
        </xdr:from>
        <xdr:to>
          <xdr:col>6</xdr:col>
          <xdr:colOff>1628775</xdr:colOff>
          <xdr:row>9</xdr:row>
          <xdr:rowOff>190500</xdr:rowOff>
        </xdr:to>
        <xdr:sp macro="" textlink="">
          <xdr:nvSpPr>
            <xdr:cNvPr id="26627" name="optPS" hidden="1">
              <a:extLst>
                <a:ext uri="{63B3BB69-23CF-44E3-9099-C40C66FF867C}">
                  <a14:compatExt spid="_x0000_s266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4.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5.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6.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495"/>
  <sheetViews>
    <sheetView showGridLines="0" tabSelected="1" topLeftCell="A7" workbookViewId="0">
      <selection activeCell="K23" sqref="K23"/>
    </sheetView>
  </sheetViews>
  <sheetFormatPr defaultRowHeight="15" x14ac:dyDescent="0.25"/>
  <cols>
    <col min="1" max="1" width="3.85546875" style="2" customWidth="1"/>
    <col min="2" max="2" width="4.42578125" style="2" customWidth="1"/>
    <col min="3" max="5" width="9.140625" style="2"/>
    <col min="6" max="6" width="9.7109375" style="2" customWidth="1"/>
    <col min="7" max="7" width="28.28515625" style="2" customWidth="1"/>
    <col min="8" max="8" width="10" style="2" customWidth="1"/>
    <col min="9" max="9" width="5.5703125" style="2" customWidth="1"/>
    <col min="10" max="10" width="13.5703125" style="2" customWidth="1"/>
    <col min="11" max="11" width="23.42578125" style="2" customWidth="1"/>
    <col min="12" max="12" width="13" style="2" customWidth="1"/>
    <col min="13" max="13" width="6.140625" style="2" customWidth="1"/>
    <col min="14" max="16384" width="9.140625" style="2"/>
  </cols>
  <sheetData>
    <row r="1" spans="1:15" ht="18.75" customHeight="1" x14ac:dyDescent="0.25">
      <c r="B1" s="289" t="str">
        <f>IF($G$12&lt;&gt;"",CONCATENATE(PROPER($G$12),", ",PROPER($G$14),IF($G$18&lt;&gt;"",", "&amp;$G$18,""),", ADSI-",$K$12),IF($G$16&lt;&gt;"",CONCATENATE("Mega City: ",PROPER($G$16),", ADSI-",$K$12)))</f>
        <v>Goa, , ADSI-2021</v>
      </c>
      <c r="K1" s="476" t="s">
        <v>1653</v>
      </c>
      <c r="L1" s="477">
        <v>42726</v>
      </c>
    </row>
    <row r="2" spans="1:15" ht="4.5" customHeight="1" x14ac:dyDescent="0.25"/>
    <row r="3" spans="1:15" ht="36" x14ac:dyDescent="0.55000000000000004">
      <c r="A3" s="569" t="s">
        <v>438</v>
      </c>
      <c r="B3" s="569"/>
      <c r="C3" s="569"/>
      <c r="D3" s="569"/>
      <c r="E3" s="569"/>
      <c r="F3" s="569"/>
      <c r="G3" s="569"/>
      <c r="H3" s="569"/>
      <c r="I3" s="569"/>
      <c r="J3" s="569"/>
      <c r="K3" s="569"/>
      <c r="L3" s="569"/>
      <c r="M3" s="569"/>
      <c r="N3" s="569"/>
      <c r="O3" s="82"/>
    </row>
    <row r="4" spans="1:15" ht="18.75" x14ac:dyDescent="0.3">
      <c r="A4" s="570" t="s">
        <v>1669</v>
      </c>
      <c r="B4" s="570"/>
      <c r="C4" s="570"/>
      <c r="D4" s="570"/>
      <c r="E4" s="570"/>
      <c r="F4" s="570"/>
      <c r="G4" s="570"/>
      <c r="H4" s="570"/>
      <c r="I4" s="570"/>
      <c r="J4" s="570"/>
      <c r="K4" s="570"/>
      <c r="L4" s="570"/>
      <c r="M4" s="570"/>
      <c r="N4" s="570"/>
      <c r="O4" s="83"/>
    </row>
    <row r="5" spans="1:15" x14ac:dyDescent="0.25">
      <c r="B5" s="84"/>
      <c r="C5" s="84"/>
      <c r="D5" s="84"/>
      <c r="E5" s="84"/>
      <c r="F5" s="84"/>
      <c r="G5" s="84"/>
      <c r="H5" s="84"/>
      <c r="I5" s="84"/>
      <c r="J5" s="84"/>
      <c r="K5" s="84"/>
      <c r="L5" s="84"/>
      <c r="M5" s="84"/>
      <c r="N5" s="84"/>
      <c r="O5" s="84"/>
    </row>
    <row r="6" spans="1:15" ht="23.25" x14ac:dyDescent="0.35">
      <c r="A6" s="571" t="s">
        <v>1774</v>
      </c>
      <c r="B6" s="571"/>
      <c r="C6" s="571"/>
      <c r="D6" s="571"/>
      <c r="E6" s="571"/>
      <c r="F6" s="571"/>
      <c r="G6" s="571"/>
      <c r="H6" s="571"/>
      <c r="I6" s="571"/>
      <c r="J6" s="571"/>
      <c r="K6" s="571"/>
      <c r="L6" s="571"/>
      <c r="M6" s="571"/>
      <c r="N6" s="571"/>
      <c r="O6" s="85"/>
    </row>
    <row r="7" spans="1:15" ht="11.25" customHeight="1" x14ac:dyDescent="0.25">
      <c r="M7" s="86"/>
    </row>
    <row r="8" spans="1:15" ht="12" customHeight="1" x14ac:dyDescent="0.25"/>
    <row r="9" spans="1:15" x14ac:dyDescent="0.25">
      <c r="J9" s="87"/>
      <c r="K9" s="87"/>
    </row>
    <row r="10" spans="1:15" ht="18" customHeight="1" x14ac:dyDescent="0.25">
      <c r="J10" s="88"/>
      <c r="K10" s="89"/>
      <c r="L10" s="90"/>
    </row>
    <row r="11" spans="1:15" x14ac:dyDescent="0.25">
      <c r="H11" s="91" t="s">
        <v>249</v>
      </c>
      <c r="K11" s="92">
        <f ca="1">YEAR(NOW())-1</f>
        <v>2021</v>
      </c>
    </row>
    <row r="12" spans="1:15" ht="18" customHeight="1" x14ac:dyDescent="0.25">
      <c r="C12" s="300" t="s">
        <v>422</v>
      </c>
      <c r="G12" s="301" t="s">
        <v>308</v>
      </c>
      <c r="H12" s="93">
        <f>IF(ISERROR(LOOKUP(G12,StateList,StateCode)),"",LOOKUP(G12,StateList,StateCode))</f>
        <v>6</v>
      </c>
      <c r="J12" s="91" t="s">
        <v>423</v>
      </c>
      <c r="K12" s="94">
        <v>2021</v>
      </c>
    </row>
    <row r="13" spans="1:15" ht="15.75" thickBot="1" x14ac:dyDescent="0.3">
      <c r="G13" s="95" t="str">
        <f>SUBSTITUTE(SUBSTITUTE(G12," ","_"),"&amp;","_")</f>
        <v>GOA</v>
      </c>
    </row>
    <row r="14" spans="1:15" ht="19.5" thickTop="1" thickBot="1" x14ac:dyDescent="0.3">
      <c r="C14" s="300" t="s">
        <v>424</v>
      </c>
      <c r="G14" s="96"/>
      <c r="H14" s="97" t="str">
        <f ca="1">IF(ISERROR(LOOKUP(G14,INDIRECT(G13),INDIRECT(CONCATENATE(MID(G13,1,7),"Code")))),"",LOOKUP(G14,INDIRECT(G13),INDIRECT(CONCATENATE(MID(G13,1,7),"Code"))))</f>
        <v/>
      </c>
      <c r="K14" s="479" t="s">
        <v>658</v>
      </c>
      <c r="L14" s="298">
        <f>SUM('P-I:P-XXIII'!C2)</f>
        <v>0</v>
      </c>
    </row>
    <row r="15" spans="1:15" ht="16.5" thickTop="1" thickBot="1" x14ac:dyDescent="0.3"/>
    <row r="16" spans="1:15" ht="18.75" customHeight="1" thickTop="1" thickBot="1" x14ac:dyDescent="0.3">
      <c r="C16" s="2" t="s">
        <v>425</v>
      </c>
      <c r="G16" s="98"/>
      <c r="H16" s="97" t="str">
        <f>IF(ISNA(LOOKUP(G16,MegaCityName,MegaCityCode)),"",LOOKUP(G16,MegaCityName,MegaCityCode))</f>
        <v/>
      </c>
      <c r="K16" s="478" t="s">
        <v>1569</v>
      </c>
      <c r="L16" s="475">
        <f>SUM('P-I:P-XXIII'!F2)</f>
        <v>55</v>
      </c>
    </row>
    <row r="17" spans="3:13" ht="15.75" thickTop="1" x14ac:dyDescent="0.25"/>
    <row r="18" spans="3:13" ht="17.25" customHeight="1" x14ac:dyDescent="0.25">
      <c r="C18" s="2" t="s">
        <v>426</v>
      </c>
      <c r="G18" s="99"/>
    </row>
    <row r="20" spans="3:13" ht="16.5" customHeight="1" x14ac:dyDescent="0.25">
      <c r="C20" s="74" t="s">
        <v>427</v>
      </c>
      <c r="G20" s="96"/>
    </row>
    <row r="21" spans="3:13" ht="20.25" customHeight="1" x14ac:dyDescent="0.25">
      <c r="H21" s="100"/>
      <c r="J21" s="7"/>
      <c r="K21" s="101" t="s">
        <v>428</v>
      </c>
      <c r="L21" s="7"/>
      <c r="M21" s="7"/>
    </row>
    <row r="22" spans="3:13" ht="19.5" customHeight="1" x14ac:dyDescent="0.25">
      <c r="C22" s="74" t="s">
        <v>429</v>
      </c>
      <c r="G22" s="96" t="s">
        <v>1824</v>
      </c>
      <c r="J22" s="102" t="s">
        <v>430</v>
      </c>
      <c r="K22" s="103" t="s">
        <v>1825</v>
      </c>
      <c r="L22" s="7"/>
      <c r="M22" s="7"/>
    </row>
    <row r="23" spans="3:13" ht="21.75" customHeight="1" x14ac:dyDescent="0.25">
      <c r="H23" s="100"/>
      <c r="J23" s="102" t="s">
        <v>431</v>
      </c>
      <c r="K23" s="103" t="s">
        <v>1826</v>
      </c>
      <c r="L23" s="7"/>
      <c r="M23" s="7"/>
    </row>
    <row r="24" spans="3:13" ht="22.5" customHeight="1" x14ac:dyDescent="0.25">
      <c r="C24" s="74" t="s">
        <v>432</v>
      </c>
      <c r="G24" s="104">
        <f ca="1">NOW()</f>
        <v>44673.5219005787</v>
      </c>
      <c r="J24" s="102" t="s">
        <v>433</v>
      </c>
      <c r="K24" s="7"/>
      <c r="L24" s="7"/>
      <c r="M24" s="7"/>
    </row>
    <row r="25" spans="3:13" x14ac:dyDescent="0.25">
      <c r="H25" s="100"/>
      <c r="J25" s="7"/>
      <c r="K25" s="7"/>
      <c r="L25" s="7"/>
      <c r="M25" s="7"/>
    </row>
    <row r="26" spans="3:13" ht="18.75" x14ac:dyDescent="0.3">
      <c r="C26" s="105" t="s">
        <v>434</v>
      </c>
    </row>
    <row r="27" spans="3:13" ht="18.75" x14ac:dyDescent="0.3">
      <c r="D27" s="105" t="s">
        <v>435</v>
      </c>
    </row>
    <row r="28" spans="3:13" ht="18.75" x14ac:dyDescent="0.3">
      <c r="D28" s="105" t="s">
        <v>436</v>
      </c>
    </row>
    <row r="495" spans="1:3" x14ac:dyDescent="0.25">
      <c r="A495" s="2" t="s">
        <v>437</v>
      </c>
      <c r="C495" s="2">
        <f>L14</f>
        <v>0</v>
      </c>
    </row>
  </sheetData>
  <sheetProtection password="EB75" sheet="1" objects="1" scenarios="1" selectLockedCells="1"/>
  <dataConsolidate/>
  <mergeCells count="3">
    <mergeCell ref="A3:N3"/>
    <mergeCell ref="A4:N4"/>
    <mergeCell ref="A6:N6"/>
  </mergeCells>
  <dataValidations count="6">
    <dataValidation type="decimal" allowBlank="1" showInputMessage="1" showErrorMessage="1" sqref="K10">
      <formula1>0.1</formula1>
      <formula2>10000</formula2>
    </dataValidation>
    <dataValidation type="list" allowBlank="1" showInputMessage="1" showErrorMessage="1" errorTitle="Mega City name" error="Please select the name of Mega City from the list." sqref="G16">
      <formula1>MegaCityName</formula1>
    </dataValidation>
    <dataValidation type="list" allowBlank="1" showInputMessage="1" showErrorMessage="1" sqref="G12">
      <formula1>StateList</formula1>
    </dataValidation>
    <dataValidation type="list" showInputMessage="1" showErrorMessage="1" errorTitle="Data" error="Please select the data type from the list." sqref="G22">
      <formula1>"Original data, Revised data"</formula1>
    </dataValidation>
    <dataValidation type="whole" showInputMessage="1" showErrorMessage="1" errorTitle="Data Year" error="Please enter valid year." sqref="K12">
      <formula1>K11-2</formula1>
      <formula2>K11</formula2>
    </dataValidation>
    <dataValidation type="list" allowBlank="1" showInputMessage="1" showErrorMessage="1" sqref="G14">
      <formula1>INDIRECT($G$13)</formula1>
    </dataValidation>
  </dataValidations>
  <pageMargins left="0.7" right="0.7" top="0.75" bottom="0.75" header="0.3" footer="0.3"/>
  <pageSetup paperSize="5" orientation="landscape" r:id="rId1"/>
  <drawing r:id="rId2"/>
  <legacyDrawing r:id="rId3"/>
  <controls>
    <mc:AlternateContent xmlns:mc="http://schemas.openxmlformats.org/markup-compatibility/2006">
      <mc:Choice Requires="x14">
        <control shapeId="26625" r:id="rId4" name="optDistrict">
          <controlPr defaultSize="0" autoLine="0" r:id="rId5">
            <anchor moveWithCells="1">
              <from>
                <xdr:col>2</xdr:col>
                <xdr:colOff>304800</xdr:colOff>
                <xdr:row>8</xdr:row>
                <xdr:rowOff>66675</xdr:rowOff>
              </from>
              <to>
                <xdr:col>4</xdr:col>
                <xdr:colOff>200025</xdr:colOff>
                <xdr:row>9</xdr:row>
                <xdr:rowOff>180975</xdr:rowOff>
              </to>
            </anchor>
          </controlPr>
        </control>
      </mc:Choice>
      <mc:Fallback>
        <control shapeId="26625" r:id="rId4" name="optDistrict"/>
      </mc:Fallback>
    </mc:AlternateContent>
    <mc:AlternateContent xmlns:mc="http://schemas.openxmlformats.org/markup-compatibility/2006">
      <mc:Choice Requires="x14">
        <control shapeId="26626" r:id="rId6" name="optMegaCity">
          <controlPr defaultSize="0" autoLine="0" r:id="rId7">
            <anchor moveWithCells="1">
              <from>
                <xdr:col>4</xdr:col>
                <xdr:colOff>438150</xdr:colOff>
                <xdr:row>8</xdr:row>
                <xdr:rowOff>57150</xdr:rowOff>
              </from>
              <to>
                <xdr:col>6</xdr:col>
                <xdr:colOff>514350</xdr:colOff>
                <xdr:row>9</xdr:row>
                <xdr:rowOff>180975</xdr:rowOff>
              </to>
            </anchor>
          </controlPr>
        </control>
      </mc:Choice>
      <mc:Fallback>
        <control shapeId="26626" r:id="rId6" name="optMegaCity"/>
      </mc:Fallback>
    </mc:AlternateContent>
    <mc:AlternateContent xmlns:mc="http://schemas.openxmlformats.org/markup-compatibility/2006">
      <mc:Choice Requires="x14">
        <control shapeId="26627" r:id="rId8" name="optPS">
          <controlPr defaultSize="0" autoLine="0" r:id="rId9">
            <anchor moveWithCells="1">
              <from>
                <xdr:col>6</xdr:col>
                <xdr:colOff>514350</xdr:colOff>
                <xdr:row>8</xdr:row>
                <xdr:rowOff>76200</xdr:rowOff>
              </from>
              <to>
                <xdr:col>6</xdr:col>
                <xdr:colOff>1628775</xdr:colOff>
                <xdr:row>9</xdr:row>
                <xdr:rowOff>190500</xdr:rowOff>
              </to>
            </anchor>
          </controlPr>
        </control>
      </mc:Choice>
      <mc:Fallback>
        <control shapeId="26627" r:id="rId8" name="optP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O86"/>
  <sheetViews>
    <sheetView topLeftCell="BY17" workbookViewId="0">
      <selection activeCell="CG1" sqref="CG1:CH31"/>
    </sheetView>
  </sheetViews>
  <sheetFormatPr defaultRowHeight="18" customHeight="1" x14ac:dyDescent="0.25"/>
  <cols>
    <col min="1" max="1" width="8.7109375" style="377" customWidth="1"/>
    <col min="2" max="2" width="21.28515625" style="386" customWidth="1"/>
    <col min="3" max="3" width="3.42578125" style="377" customWidth="1"/>
    <col min="4" max="4" width="10" style="377" customWidth="1"/>
    <col min="5" max="5" width="17.28515625" style="377" customWidth="1"/>
    <col min="6" max="6" width="4.140625" style="377" customWidth="1"/>
    <col min="7" max="7" width="11.42578125" style="377" customWidth="1"/>
    <col min="8" max="8" width="17.28515625" style="377" customWidth="1"/>
    <col min="9" max="9" width="3.7109375" style="377" customWidth="1"/>
    <col min="10" max="10" width="12.5703125" style="377" customWidth="1"/>
    <col min="11" max="11" width="17.28515625" style="377" customWidth="1"/>
    <col min="12" max="12" width="2.5703125" style="377" customWidth="1"/>
    <col min="13" max="13" width="10.5703125" style="377" customWidth="1"/>
    <col min="14" max="14" width="17.28515625" style="377" customWidth="1"/>
    <col min="15" max="15" width="2.5703125" style="377" customWidth="1"/>
    <col min="16" max="16" width="9.7109375" style="377" customWidth="1"/>
    <col min="17" max="17" width="17.28515625" style="377" customWidth="1"/>
    <col min="18" max="18" width="3.28515625" style="377" customWidth="1"/>
    <col min="19" max="19" width="11.85546875" style="377" customWidth="1"/>
    <col min="20" max="20" width="17.28515625" style="377" customWidth="1"/>
    <col min="21" max="21" width="3.5703125" style="377" customWidth="1"/>
    <col min="22" max="22" width="10.85546875" style="377" customWidth="1"/>
    <col min="23" max="23" width="17.28515625" style="377" customWidth="1"/>
    <col min="24" max="24" width="4.140625" style="377" customWidth="1"/>
    <col min="25" max="25" width="12.5703125" style="377" customWidth="1"/>
    <col min="26" max="26" width="17.28515625" style="377" customWidth="1"/>
    <col min="27" max="27" width="3.85546875" style="377" customWidth="1"/>
    <col min="28" max="28" width="12.85546875" style="377" customWidth="1"/>
    <col min="29" max="29" width="17.28515625" style="377" customWidth="1"/>
    <col min="30" max="30" width="3.85546875" style="377" customWidth="1"/>
    <col min="31" max="31" width="11.7109375" style="377" customWidth="1"/>
    <col min="32" max="32" width="17.28515625" style="377" customWidth="1"/>
    <col min="33" max="33" width="4.42578125" style="377" customWidth="1"/>
    <col min="34" max="34" width="10" style="377" customWidth="1"/>
    <col min="35" max="35" width="17.28515625" style="377" customWidth="1"/>
    <col min="36" max="36" width="3.7109375" style="377" customWidth="1"/>
    <col min="37" max="37" width="11.28515625" style="377" customWidth="1"/>
    <col min="38" max="38" width="17.28515625" style="377" customWidth="1"/>
    <col min="39" max="39" width="4.28515625" style="377" customWidth="1"/>
    <col min="40" max="40" width="12.5703125" style="377" customWidth="1"/>
    <col min="41" max="41" width="17.85546875" style="377" customWidth="1"/>
    <col min="42" max="42" width="3.7109375" style="377" customWidth="1"/>
    <col min="43" max="43" width="12" style="377" customWidth="1"/>
    <col min="44" max="44" width="17.28515625" style="377" customWidth="1"/>
    <col min="45" max="45" width="4.85546875" style="377" customWidth="1"/>
    <col min="46" max="46" width="11.28515625" style="377" customWidth="1"/>
    <col min="47" max="47" width="17.85546875" style="377" customWidth="1"/>
    <col min="48" max="48" width="4" style="377" customWidth="1"/>
    <col min="49" max="49" width="12" style="377" customWidth="1"/>
    <col min="50" max="50" width="17.28515625" style="377" customWidth="1"/>
    <col min="51" max="51" width="4.28515625" style="377" customWidth="1"/>
    <col min="52" max="52" width="12.5703125" style="377" customWidth="1"/>
    <col min="53" max="53" width="18.7109375" style="377" customWidth="1"/>
    <col min="54" max="54" width="4.7109375" style="377" customWidth="1"/>
    <col min="55" max="55" width="10.5703125" style="377" customWidth="1"/>
    <col min="56" max="56" width="19.28515625" style="377" customWidth="1"/>
    <col min="57" max="57" width="4.28515625" style="377" customWidth="1"/>
    <col min="58" max="58" width="13.28515625" style="377" customWidth="1"/>
    <col min="59" max="59" width="17.28515625" style="377" customWidth="1"/>
    <col min="60" max="60" width="3.5703125" style="377" customWidth="1"/>
    <col min="61" max="61" width="12.5703125" style="377" customWidth="1"/>
    <col min="62" max="62" width="17.28515625" style="377" customWidth="1"/>
    <col min="63" max="63" width="5.7109375" style="377" customWidth="1"/>
    <col min="64" max="64" width="12.140625" style="377" customWidth="1"/>
    <col min="65" max="65" width="25" style="377" bestFit="1" customWidth="1"/>
    <col min="66" max="66" width="4" style="377" customWidth="1"/>
    <col min="67" max="67" width="11.7109375" style="377" customWidth="1"/>
    <col min="68" max="68" width="17.28515625" style="377" customWidth="1"/>
    <col min="69" max="69" width="3.42578125" style="377" customWidth="1"/>
    <col min="70" max="70" width="11.7109375" style="377" customWidth="1"/>
    <col min="71" max="71" width="17.28515625" style="377" customWidth="1"/>
    <col min="72" max="72" width="3.85546875" style="377" customWidth="1"/>
    <col min="73" max="73" width="12" style="377" customWidth="1"/>
    <col min="74" max="74" width="17.28515625" style="377" customWidth="1"/>
    <col min="75" max="75" width="4.28515625" style="377" customWidth="1"/>
    <col min="76" max="76" width="12.28515625" style="377" customWidth="1"/>
    <col min="77" max="77" width="17.28515625" style="377" customWidth="1"/>
    <col min="78" max="78" width="3.7109375" style="377" customWidth="1"/>
    <col min="79" max="79" width="11.42578125" style="377" customWidth="1"/>
    <col min="80" max="80" width="17.28515625" style="377" customWidth="1"/>
    <col min="81" max="81" width="3.5703125" style="377" customWidth="1"/>
    <col min="82" max="82" width="12.42578125" style="377" customWidth="1"/>
    <col min="83" max="83" width="17.28515625" style="377" customWidth="1"/>
    <col min="84" max="84" width="4.140625" style="377" customWidth="1"/>
    <col min="85" max="85" width="10.7109375" style="377" customWidth="1"/>
    <col min="86" max="86" width="17.28515625" style="377" customWidth="1"/>
    <col min="87" max="87" width="3.7109375" style="377" customWidth="1"/>
    <col min="88" max="88" width="11.28515625" style="377" customWidth="1"/>
    <col min="89" max="89" width="17.28515625" style="377" customWidth="1"/>
    <col min="90" max="90" width="4.140625" style="377" customWidth="1"/>
    <col min="91" max="91" width="10" style="377" customWidth="1"/>
    <col min="92" max="92" width="17.28515625" style="377" customWidth="1"/>
    <col min="93" max="93" width="4.140625" style="377" customWidth="1"/>
    <col min="94" max="94" width="10.85546875" style="377" customWidth="1"/>
    <col min="95" max="95" width="17.28515625" style="377" customWidth="1"/>
    <col min="96" max="96" width="3.85546875" style="377" customWidth="1"/>
    <col min="97" max="97" width="10.85546875" style="377" customWidth="1"/>
    <col min="98" max="98" width="21.42578125" style="377" customWidth="1"/>
    <col min="99" max="99" width="3.85546875" style="377" customWidth="1"/>
    <col min="100" max="100" width="11.140625" style="377" customWidth="1"/>
    <col min="101" max="101" width="17.28515625" style="377" customWidth="1"/>
    <col min="102" max="102" width="4.85546875" style="377" customWidth="1"/>
    <col min="103" max="103" width="11.7109375" style="377" customWidth="1"/>
    <col min="104" max="104" width="18.28515625" style="377" customWidth="1"/>
    <col min="105" max="105" width="3.85546875" style="377" customWidth="1"/>
    <col min="106" max="106" width="11.7109375" style="377" customWidth="1"/>
    <col min="107" max="107" width="17.28515625" style="377" customWidth="1"/>
    <col min="108" max="108" width="4.140625" style="377" customWidth="1"/>
    <col min="109" max="109" width="12.28515625" style="377" customWidth="1"/>
    <col min="110" max="110" width="17.28515625" style="377" customWidth="1"/>
    <col min="111" max="111" width="4.28515625" style="377" customWidth="1"/>
    <col min="112" max="112" width="13.5703125" style="377" customWidth="1"/>
    <col min="113" max="113" width="24.7109375" style="377" customWidth="1"/>
    <col min="114" max="114" width="17.7109375" style="377" customWidth="1"/>
    <col min="115" max="115" width="10" style="377" customWidth="1"/>
    <col min="116" max="116" width="15.7109375" style="377" bestFit="1" customWidth="1"/>
    <col min="117" max="119" width="17.28515625" style="377" customWidth="1"/>
    <col min="120" max="16384" width="9.140625" style="377"/>
  </cols>
  <sheetData>
    <row r="1" spans="1:119" ht="18" customHeight="1" x14ac:dyDescent="0.25">
      <c r="A1" s="81" t="s">
        <v>288</v>
      </c>
      <c r="B1" s="81" t="s">
        <v>289</v>
      </c>
      <c r="C1" s="371"/>
      <c r="D1" s="372" t="s">
        <v>290</v>
      </c>
      <c r="E1" s="372" t="s">
        <v>291</v>
      </c>
      <c r="F1" s="373"/>
      <c r="G1" s="372" t="s">
        <v>292</v>
      </c>
      <c r="H1" s="372" t="s">
        <v>293</v>
      </c>
      <c r="I1" s="373"/>
      <c r="J1" s="372" t="s">
        <v>294</v>
      </c>
      <c r="K1" s="372" t="s">
        <v>295</v>
      </c>
      <c r="L1" s="373"/>
      <c r="M1" s="372" t="s">
        <v>296</v>
      </c>
      <c r="N1" s="372" t="s">
        <v>297</v>
      </c>
      <c r="O1" s="373"/>
      <c r="P1" s="372" t="s">
        <v>298</v>
      </c>
      <c r="Q1" s="372" t="s">
        <v>299</v>
      </c>
      <c r="R1" s="373"/>
      <c r="S1" s="372" t="s">
        <v>300</v>
      </c>
      <c r="T1" s="372" t="s">
        <v>301</v>
      </c>
      <c r="U1" s="373"/>
      <c r="V1" s="372" t="s">
        <v>302</v>
      </c>
      <c r="W1" s="372" t="s">
        <v>303</v>
      </c>
      <c r="X1" s="373"/>
      <c r="Y1" s="372" t="s">
        <v>304</v>
      </c>
      <c r="Z1" s="372" t="s">
        <v>1716</v>
      </c>
      <c r="AA1" s="373"/>
      <c r="AB1" s="372" t="s">
        <v>1717</v>
      </c>
      <c r="AC1" s="372" t="s">
        <v>1718</v>
      </c>
      <c r="AD1" s="373"/>
      <c r="AE1" s="372" t="s">
        <v>305</v>
      </c>
      <c r="AF1" s="372" t="s">
        <v>306</v>
      </c>
      <c r="AG1" s="373"/>
      <c r="AH1" s="372" t="s">
        <v>307</v>
      </c>
      <c r="AI1" s="372" t="s">
        <v>308</v>
      </c>
      <c r="AJ1" s="373"/>
      <c r="AK1" s="372" t="s">
        <v>309</v>
      </c>
      <c r="AL1" s="372" t="s">
        <v>310</v>
      </c>
      <c r="AM1" s="373"/>
      <c r="AN1" s="372" t="s">
        <v>311</v>
      </c>
      <c r="AO1" s="372" t="s">
        <v>312</v>
      </c>
      <c r="AP1" s="373"/>
      <c r="AQ1" s="372" t="s">
        <v>313</v>
      </c>
      <c r="AR1" s="372" t="s">
        <v>314</v>
      </c>
      <c r="AS1" s="373"/>
      <c r="AT1" s="372" t="s">
        <v>315</v>
      </c>
      <c r="AU1" s="372" t="s">
        <v>316</v>
      </c>
      <c r="AV1" s="373"/>
      <c r="AW1" s="372" t="s">
        <v>317</v>
      </c>
      <c r="AX1" s="372" t="s">
        <v>318</v>
      </c>
      <c r="AY1" s="373"/>
      <c r="AZ1" s="372" t="s">
        <v>319</v>
      </c>
      <c r="BA1" s="372" t="s">
        <v>320</v>
      </c>
      <c r="BB1" s="373"/>
      <c r="BC1" s="372" t="s">
        <v>321</v>
      </c>
      <c r="BD1" s="372" t="s">
        <v>322</v>
      </c>
      <c r="BE1" s="373"/>
      <c r="BF1" s="372" t="s">
        <v>323</v>
      </c>
      <c r="BG1" s="372" t="s">
        <v>324</v>
      </c>
      <c r="BH1" s="373"/>
      <c r="BI1" s="372" t="s">
        <v>325</v>
      </c>
      <c r="BJ1" s="372" t="s">
        <v>326</v>
      </c>
      <c r="BK1" s="373"/>
      <c r="BL1" s="372" t="s">
        <v>327</v>
      </c>
      <c r="BM1" s="372" t="s">
        <v>328</v>
      </c>
      <c r="BN1" s="373"/>
      <c r="BO1" s="372" t="s">
        <v>329</v>
      </c>
      <c r="BP1" s="372" t="s">
        <v>330</v>
      </c>
      <c r="BQ1" s="373"/>
      <c r="BR1" s="372" t="s">
        <v>331</v>
      </c>
      <c r="BS1" s="372" t="s">
        <v>332</v>
      </c>
      <c r="BT1" s="373"/>
      <c r="BU1" s="372" t="s">
        <v>333</v>
      </c>
      <c r="BV1" s="372" t="s">
        <v>334</v>
      </c>
      <c r="BW1" s="373"/>
      <c r="BX1" s="372" t="s">
        <v>335</v>
      </c>
      <c r="BY1" s="372" t="s">
        <v>336</v>
      </c>
      <c r="BZ1" s="373"/>
      <c r="CA1" s="372" t="s">
        <v>337</v>
      </c>
      <c r="CB1" s="372" t="s">
        <v>338</v>
      </c>
      <c r="CC1" s="373"/>
      <c r="CD1" s="372" t="s">
        <v>339</v>
      </c>
      <c r="CE1" s="372" t="s">
        <v>340</v>
      </c>
      <c r="CF1" s="373"/>
      <c r="CG1" s="372" t="s">
        <v>341</v>
      </c>
      <c r="CH1" s="372" t="s">
        <v>342</v>
      </c>
      <c r="CI1" s="373"/>
      <c r="CJ1" s="372" t="s">
        <v>343</v>
      </c>
      <c r="CK1" s="372" t="s">
        <v>344</v>
      </c>
      <c r="CL1" s="373"/>
      <c r="CM1" s="372" t="s">
        <v>345</v>
      </c>
      <c r="CN1" s="372" t="s">
        <v>346</v>
      </c>
      <c r="CO1" s="373"/>
      <c r="CP1" s="372" t="s">
        <v>347</v>
      </c>
      <c r="CQ1" s="372" t="s">
        <v>348</v>
      </c>
      <c r="CR1" s="373"/>
      <c r="CS1" s="372" t="s">
        <v>349</v>
      </c>
      <c r="CT1" s="372" t="s">
        <v>350</v>
      </c>
      <c r="CU1" s="373"/>
      <c r="CV1" s="372" t="s">
        <v>351</v>
      </c>
      <c r="CW1" s="372" t="s">
        <v>352</v>
      </c>
      <c r="CX1" s="373"/>
      <c r="CY1" s="372" t="s">
        <v>353</v>
      </c>
      <c r="CZ1" s="372" t="s">
        <v>354</v>
      </c>
      <c r="DA1" s="373"/>
      <c r="DB1" s="372" t="s">
        <v>355</v>
      </c>
      <c r="DC1" s="372" t="s">
        <v>356</v>
      </c>
      <c r="DD1" s="373"/>
      <c r="DE1" s="372" t="s">
        <v>357</v>
      </c>
      <c r="DF1" s="372" t="s">
        <v>358</v>
      </c>
      <c r="DG1" s="374"/>
      <c r="DH1" s="81" t="s">
        <v>359</v>
      </c>
      <c r="DI1" s="81" t="s">
        <v>360</v>
      </c>
      <c r="DJ1" s="387"/>
      <c r="DK1" s="81" t="s">
        <v>1428</v>
      </c>
      <c r="DL1" s="81" t="s">
        <v>1429</v>
      </c>
      <c r="DM1" s="387"/>
      <c r="DN1" s="387"/>
      <c r="DO1" s="387"/>
    </row>
    <row r="2" spans="1:119" ht="18" customHeight="1" x14ac:dyDescent="0.25">
      <c r="A2" s="375">
        <v>29</v>
      </c>
      <c r="B2" s="376" t="s">
        <v>291</v>
      </c>
      <c r="D2" s="545">
        <v>0</v>
      </c>
      <c r="E2" s="546" t="s">
        <v>678</v>
      </c>
      <c r="G2" s="545">
        <v>0</v>
      </c>
      <c r="H2" s="546" t="s">
        <v>678</v>
      </c>
      <c r="J2" s="545">
        <v>0</v>
      </c>
      <c r="K2" s="546" t="s">
        <v>678</v>
      </c>
      <c r="M2" s="545">
        <v>0</v>
      </c>
      <c r="N2" s="546" t="s">
        <v>678</v>
      </c>
      <c r="O2" s="378"/>
      <c r="P2" s="545">
        <v>0</v>
      </c>
      <c r="Q2" s="546" t="s">
        <v>678</v>
      </c>
      <c r="R2" s="378"/>
      <c r="S2" s="545">
        <v>0</v>
      </c>
      <c r="T2" s="546" t="s">
        <v>678</v>
      </c>
      <c r="V2" s="545">
        <v>0</v>
      </c>
      <c r="W2" s="546" t="s">
        <v>678</v>
      </c>
      <c r="Y2" s="545">
        <v>0</v>
      </c>
      <c r="Z2" s="546" t="s">
        <v>678</v>
      </c>
      <c r="AB2" s="545">
        <v>0</v>
      </c>
      <c r="AC2" s="546" t="s">
        <v>678</v>
      </c>
      <c r="AE2" s="545">
        <v>0</v>
      </c>
      <c r="AF2" s="546" t="s">
        <v>678</v>
      </c>
      <c r="AH2" s="545">
        <v>0</v>
      </c>
      <c r="AI2" s="546" t="s">
        <v>678</v>
      </c>
      <c r="AK2" s="545">
        <v>0</v>
      </c>
      <c r="AL2" s="546" t="s">
        <v>678</v>
      </c>
      <c r="AN2" s="545">
        <v>0</v>
      </c>
      <c r="AO2" s="546" t="s">
        <v>678</v>
      </c>
      <c r="AQ2" s="545">
        <v>0</v>
      </c>
      <c r="AR2" s="546" t="s">
        <v>678</v>
      </c>
      <c r="AT2" s="545">
        <v>0</v>
      </c>
      <c r="AU2" s="546" t="s">
        <v>678</v>
      </c>
      <c r="AW2" s="545">
        <v>0</v>
      </c>
      <c r="AX2" s="546" t="s">
        <v>678</v>
      </c>
      <c r="AZ2" s="545">
        <v>0</v>
      </c>
      <c r="BA2" s="546" t="s">
        <v>678</v>
      </c>
      <c r="BC2" s="545">
        <v>0</v>
      </c>
      <c r="BD2" s="546" t="s">
        <v>678</v>
      </c>
      <c r="BF2" s="545">
        <v>0</v>
      </c>
      <c r="BG2" s="546" t="s">
        <v>678</v>
      </c>
      <c r="BI2" s="545">
        <v>0</v>
      </c>
      <c r="BJ2" s="546" t="s">
        <v>678</v>
      </c>
      <c r="BL2" s="545">
        <v>0</v>
      </c>
      <c r="BM2" s="546" t="s">
        <v>678</v>
      </c>
      <c r="BO2" s="545">
        <v>0</v>
      </c>
      <c r="BP2" s="546" t="s">
        <v>678</v>
      </c>
      <c r="BR2" s="545">
        <v>0</v>
      </c>
      <c r="BS2" s="546" t="s">
        <v>678</v>
      </c>
      <c r="BU2" s="545">
        <v>0</v>
      </c>
      <c r="BV2" s="546" t="s">
        <v>678</v>
      </c>
      <c r="BX2" s="545">
        <v>0</v>
      </c>
      <c r="BY2" s="546" t="s">
        <v>678</v>
      </c>
      <c r="CA2" s="545">
        <v>0</v>
      </c>
      <c r="CB2" s="546" t="s">
        <v>678</v>
      </c>
      <c r="CD2" s="545">
        <v>0</v>
      </c>
      <c r="CE2" s="546" t="s">
        <v>678</v>
      </c>
      <c r="CG2" s="545">
        <v>0</v>
      </c>
      <c r="CH2" s="546" t="s">
        <v>678</v>
      </c>
      <c r="CJ2" s="545">
        <v>0</v>
      </c>
      <c r="CK2" s="546" t="s">
        <v>678</v>
      </c>
      <c r="CM2" s="545">
        <v>0</v>
      </c>
      <c r="CN2" s="546" t="s">
        <v>678</v>
      </c>
      <c r="CP2" s="545">
        <v>0</v>
      </c>
      <c r="CQ2" s="546" t="s">
        <v>678</v>
      </c>
      <c r="CS2" s="545">
        <v>0</v>
      </c>
      <c r="CT2" s="546" t="s">
        <v>678</v>
      </c>
      <c r="CV2" s="545">
        <v>0</v>
      </c>
      <c r="CW2" s="546" t="s">
        <v>678</v>
      </c>
      <c r="CY2" s="547">
        <v>0</v>
      </c>
      <c r="CZ2" s="548" t="s">
        <v>678</v>
      </c>
      <c r="DB2" s="545">
        <v>0</v>
      </c>
      <c r="DC2" s="546" t="s">
        <v>678</v>
      </c>
      <c r="DE2" s="547">
        <v>0</v>
      </c>
      <c r="DF2" s="548" t="s">
        <v>678</v>
      </c>
      <c r="DH2" s="379">
        <v>37</v>
      </c>
      <c r="DI2" s="380" t="s">
        <v>362</v>
      </c>
      <c r="DK2" s="379">
        <v>1</v>
      </c>
      <c r="DL2" s="380" t="s">
        <v>1430</v>
      </c>
    </row>
    <row r="3" spans="1:119" ht="18" customHeight="1" x14ac:dyDescent="0.25">
      <c r="A3" s="381">
        <v>1</v>
      </c>
      <c r="B3" s="382" t="s">
        <v>293</v>
      </c>
      <c r="D3" s="545">
        <v>3</v>
      </c>
      <c r="E3" s="549" t="s">
        <v>679</v>
      </c>
      <c r="G3" s="545">
        <v>1</v>
      </c>
      <c r="H3" s="549" t="s">
        <v>682</v>
      </c>
      <c r="J3" s="545">
        <v>1</v>
      </c>
      <c r="K3" s="549" t="s">
        <v>700</v>
      </c>
      <c r="M3" s="545">
        <v>1</v>
      </c>
      <c r="N3" s="549" t="s">
        <v>718</v>
      </c>
      <c r="O3" s="378"/>
      <c r="P3" s="545">
        <v>46</v>
      </c>
      <c r="Q3" s="549" t="s">
        <v>1371</v>
      </c>
      <c r="R3" s="378"/>
      <c r="S3" s="545">
        <v>1</v>
      </c>
      <c r="T3" s="549" t="s">
        <v>786</v>
      </c>
      <c r="V3" s="545">
        <v>1</v>
      </c>
      <c r="W3" s="549" t="s">
        <v>787</v>
      </c>
      <c r="Y3" s="545">
        <v>1</v>
      </c>
      <c r="Z3" s="549" t="s">
        <v>815</v>
      </c>
      <c r="AB3" s="545">
        <v>1</v>
      </c>
      <c r="AC3" s="549" t="s">
        <v>919</v>
      </c>
      <c r="AE3" s="545">
        <v>1</v>
      </c>
      <c r="AF3" s="549" t="s">
        <v>818</v>
      </c>
      <c r="AH3" s="545">
        <v>3</v>
      </c>
      <c r="AI3" s="549" t="s">
        <v>371</v>
      </c>
      <c r="AK3" s="545">
        <v>1</v>
      </c>
      <c r="AL3" s="549" t="s">
        <v>835</v>
      </c>
      <c r="AN3" s="545">
        <v>25</v>
      </c>
      <c r="AO3" s="384" t="s">
        <v>1719</v>
      </c>
      <c r="AQ3" s="545">
        <v>1</v>
      </c>
      <c r="AR3" s="549" t="s">
        <v>896</v>
      </c>
      <c r="AT3" s="545">
        <v>1</v>
      </c>
      <c r="AU3" s="549" t="s">
        <v>908</v>
      </c>
      <c r="AW3" s="545">
        <v>1</v>
      </c>
      <c r="AX3" s="549" t="s">
        <v>938</v>
      </c>
      <c r="AZ3" s="545">
        <v>1</v>
      </c>
      <c r="BA3" s="549" t="s">
        <v>962</v>
      </c>
      <c r="BC3" s="545">
        <v>1</v>
      </c>
      <c r="BD3" s="549" t="s">
        <v>980</v>
      </c>
      <c r="BF3" s="545">
        <v>1</v>
      </c>
      <c r="BG3" s="549" t="s">
        <v>998</v>
      </c>
      <c r="BI3" s="545">
        <v>1</v>
      </c>
      <c r="BJ3" s="549" t="s">
        <v>999</v>
      </c>
      <c r="BL3" s="545">
        <v>1</v>
      </c>
      <c r="BM3" s="549" t="s">
        <v>1000</v>
      </c>
      <c r="BO3" s="545">
        <v>1</v>
      </c>
      <c r="BP3" s="549" t="s">
        <v>1001</v>
      </c>
      <c r="BR3" s="545">
        <v>1</v>
      </c>
      <c r="BS3" s="549" t="s">
        <v>1002</v>
      </c>
      <c r="BU3" s="545">
        <v>1</v>
      </c>
      <c r="BV3" s="549" t="s">
        <v>1003</v>
      </c>
      <c r="BX3" s="545">
        <v>1</v>
      </c>
      <c r="BY3" s="549" t="s">
        <v>1004</v>
      </c>
      <c r="CA3" s="545">
        <v>1</v>
      </c>
      <c r="CB3" s="549" t="s">
        <v>1005</v>
      </c>
      <c r="CD3" s="545">
        <v>1</v>
      </c>
      <c r="CE3" s="549" t="s">
        <v>1006</v>
      </c>
      <c r="CG3" s="545">
        <v>1</v>
      </c>
      <c r="CH3" s="549" t="s">
        <v>1007</v>
      </c>
      <c r="CJ3" s="545">
        <v>1</v>
      </c>
      <c r="CK3" s="549" t="s">
        <v>1008</v>
      </c>
      <c r="CM3" s="545">
        <v>1</v>
      </c>
      <c r="CN3" s="549" t="s">
        <v>819</v>
      </c>
      <c r="CP3" s="545">
        <v>1</v>
      </c>
      <c r="CQ3" s="549" t="s">
        <v>1009</v>
      </c>
      <c r="CS3" s="545" t="s">
        <v>1690</v>
      </c>
      <c r="CT3" s="549" t="s">
        <v>1691</v>
      </c>
      <c r="CV3" s="545">
        <v>1</v>
      </c>
      <c r="CW3" s="549" t="s">
        <v>1010</v>
      </c>
      <c r="CY3" s="547">
        <v>1</v>
      </c>
      <c r="CZ3" s="550" t="s">
        <v>1011</v>
      </c>
      <c r="DB3" s="545">
        <v>1</v>
      </c>
      <c r="DC3" s="549" t="s">
        <v>1012</v>
      </c>
      <c r="DE3" s="547">
        <v>3</v>
      </c>
      <c r="DF3" s="550" t="s">
        <v>1376</v>
      </c>
      <c r="DH3" s="379">
        <v>38</v>
      </c>
      <c r="DI3" s="380" t="s">
        <v>365</v>
      </c>
      <c r="DK3" s="379">
        <v>2</v>
      </c>
      <c r="DL3" s="380" t="s">
        <v>1431</v>
      </c>
    </row>
    <row r="4" spans="1:119" ht="18" customHeight="1" x14ac:dyDescent="0.25">
      <c r="A4" s="375">
        <v>2</v>
      </c>
      <c r="B4" s="382" t="s">
        <v>295</v>
      </c>
      <c r="D4" s="545">
        <v>2</v>
      </c>
      <c r="E4" s="549" t="s">
        <v>1372</v>
      </c>
      <c r="G4" s="545">
        <v>2</v>
      </c>
      <c r="H4" s="549" t="s">
        <v>683</v>
      </c>
      <c r="J4" s="545">
        <v>2</v>
      </c>
      <c r="K4" s="549" t="s">
        <v>701</v>
      </c>
      <c r="M4" s="545">
        <v>3</v>
      </c>
      <c r="N4" s="549" t="s">
        <v>1630</v>
      </c>
      <c r="O4" s="378"/>
      <c r="P4" s="545">
        <v>1</v>
      </c>
      <c r="Q4" s="549" t="s">
        <v>746</v>
      </c>
      <c r="R4" s="378"/>
      <c r="S4" s="378"/>
      <c r="V4" s="545">
        <v>2</v>
      </c>
      <c r="W4" s="549" t="s">
        <v>788</v>
      </c>
      <c r="Y4" s="545">
        <v>2</v>
      </c>
      <c r="Z4" s="549" t="s">
        <v>816</v>
      </c>
      <c r="AB4" s="545">
        <v>2</v>
      </c>
      <c r="AC4" s="549" t="s">
        <v>924</v>
      </c>
      <c r="AE4" s="545">
        <v>2</v>
      </c>
      <c r="AF4" s="549" t="s">
        <v>702</v>
      </c>
      <c r="AH4" s="545">
        <v>1</v>
      </c>
      <c r="AI4" s="549" t="s">
        <v>833</v>
      </c>
      <c r="AK4" s="545">
        <v>2</v>
      </c>
      <c r="AL4" s="549" t="s">
        <v>836</v>
      </c>
      <c r="AN4" s="545">
        <v>3</v>
      </c>
      <c r="AO4" s="549" t="s">
        <v>875</v>
      </c>
      <c r="AQ4" s="545">
        <v>2</v>
      </c>
      <c r="AR4" s="549" t="s">
        <v>791</v>
      </c>
      <c r="AT4" s="545">
        <v>2</v>
      </c>
      <c r="AU4" s="549" t="s">
        <v>909</v>
      </c>
      <c r="AW4" s="545">
        <v>2</v>
      </c>
      <c r="AX4" s="549" t="s">
        <v>939</v>
      </c>
      <c r="AZ4" s="545">
        <v>5</v>
      </c>
      <c r="BA4" s="549" t="s">
        <v>1373</v>
      </c>
      <c r="BC4" s="383">
        <v>21</v>
      </c>
      <c r="BD4" s="384" t="s">
        <v>702</v>
      </c>
      <c r="BI4" s="545">
        <v>2</v>
      </c>
      <c r="BJ4" s="549" t="s">
        <v>1013</v>
      </c>
      <c r="BL4" s="545">
        <v>2</v>
      </c>
      <c r="BM4" s="549" t="s">
        <v>1014</v>
      </c>
      <c r="BO4" s="545">
        <v>2</v>
      </c>
      <c r="BP4" s="549" t="s">
        <v>1015</v>
      </c>
      <c r="BR4" s="545">
        <v>2</v>
      </c>
      <c r="BS4" s="549" t="s">
        <v>1016</v>
      </c>
      <c r="BU4" s="545">
        <v>2</v>
      </c>
      <c r="BV4" s="549" t="s">
        <v>1017</v>
      </c>
      <c r="BX4" s="545">
        <v>2</v>
      </c>
      <c r="BY4" s="549" t="s">
        <v>1018</v>
      </c>
      <c r="CA4" s="545">
        <v>2</v>
      </c>
      <c r="CB4" s="549" t="s">
        <v>1019</v>
      </c>
      <c r="CD4" s="545">
        <v>2</v>
      </c>
      <c r="CE4" s="549" t="s">
        <v>1020</v>
      </c>
      <c r="CG4" s="545">
        <v>2</v>
      </c>
      <c r="CH4" s="549" t="s">
        <v>1021</v>
      </c>
      <c r="CJ4" s="545">
        <v>2</v>
      </c>
      <c r="CK4" s="549" t="s">
        <v>1022</v>
      </c>
      <c r="CM4" s="545">
        <v>2</v>
      </c>
      <c r="CN4" s="549" t="s">
        <v>680</v>
      </c>
      <c r="CP4" s="545">
        <v>41</v>
      </c>
      <c r="CQ4" s="549" t="s">
        <v>1720</v>
      </c>
      <c r="CS4" s="545">
        <v>31</v>
      </c>
      <c r="CT4" s="549" t="s">
        <v>1678</v>
      </c>
      <c r="CV4" s="545">
        <v>2</v>
      </c>
      <c r="CW4" s="549" t="s">
        <v>1024</v>
      </c>
      <c r="CY4" s="547">
        <v>2</v>
      </c>
      <c r="CZ4" s="550" t="s">
        <v>1025</v>
      </c>
      <c r="DB4" s="545">
        <v>2</v>
      </c>
      <c r="DC4" s="549" t="s">
        <v>1026</v>
      </c>
      <c r="DE4" s="547">
        <v>4</v>
      </c>
      <c r="DF4" s="550" t="s">
        <v>1705</v>
      </c>
      <c r="DH4" s="379">
        <v>39</v>
      </c>
      <c r="DI4" s="380" t="s">
        <v>368</v>
      </c>
      <c r="DK4" s="379">
        <v>3</v>
      </c>
      <c r="DL4" s="380" t="s">
        <v>1432</v>
      </c>
    </row>
    <row r="5" spans="1:119" ht="18" customHeight="1" x14ac:dyDescent="0.25">
      <c r="A5" s="381">
        <v>3</v>
      </c>
      <c r="B5" s="382" t="s">
        <v>297</v>
      </c>
      <c r="D5" s="545">
        <v>1</v>
      </c>
      <c r="E5" s="549" t="s">
        <v>1374</v>
      </c>
      <c r="G5" s="545">
        <v>3</v>
      </c>
      <c r="H5" s="549" t="s">
        <v>684</v>
      </c>
      <c r="J5" s="545">
        <v>3</v>
      </c>
      <c r="K5" s="549" t="s">
        <v>702</v>
      </c>
      <c r="M5" s="545">
        <v>2</v>
      </c>
      <c r="N5" s="549" t="s">
        <v>719</v>
      </c>
      <c r="O5" s="378"/>
      <c r="P5" s="545">
        <v>2</v>
      </c>
      <c r="Q5" s="549" t="s">
        <v>747</v>
      </c>
      <c r="R5" s="378"/>
      <c r="S5" s="378"/>
      <c r="V5" s="545">
        <v>3</v>
      </c>
      <c r="W5" s="549" t="s">
        <v>789</v>
      </c>
      <c r="Y5" s="545">
        <v>3</v>
      </c>
      <c r="Z5" s="549" t="s">
        <v>817</v>
      </c>
      <c r="AB5" s="545"/>
      <c r="AC5" s="549"/>
      <c r="AE5" s="545">
        <v>22</v>
      </c>
      <c r="AF5" s="384" t="s">
        <v>1721</v>
      </c>
      <c r="AH5" s="545">
        <v>2</v>
      </c>
      <c r="AI5" s="549" t="s">
        <v>834</v>
      </c>
      <c r="AK5" s="545">
        <v>3</v>
      </c>
      <c r="AL5" s="549" t="s">
        <v>837</v>
      </c>
      <c r="AN5" s="545">
        <v>26</v>
      </c>
      <c r="AO5" s="549" t="s">
        <v>1722</v>
      </c>
      <c r="AQ5" s="545">
        <v>3</v>
      </c>
      <c r="AR5" s="549" t="s">
        <v>897</v>
      </c>
      <c r="AT5" s="545">
        <v>3</v>
      </c>
      <c r="AU5" s="549" t="s">
        <v>910</v>
      </c>
      <c r="AW5" s="545">
        <v>3</v>
      </c>
      <c r="AX5" s="549" t="s">
        <v>940</v>
      </c>
      <c r="AZ5" s="545">
        <v>36</v>
      </c>
      <c r="BA5" s="549" t="s">
        <v>1647</v>
      </c>
      <c r="BC5" s="545">
        <v>2</v>
      </c>
      <c r="BD5" s="549" t="s">
        <v>981</v>
      </c>
      <c r="BI5" s="545">
        <v>3</v>
      </c>
      <c r="BJ5" s="549" t="s">
        <v>1027</v>
      </c>
      <c r="BL5" s="545">
        <v>3</v>
      </c>
      <c r="BM5" s="549" t="s">
        <v>1028</v>
      </c>
      <c r="BO5" s="545">
        <v>3</v>
      </c>
      <c r="BP5" s="549" t="s">
        <v>1029</v>
      </c>
      <c r="BR5" s="545">
        <v>3</v>
      </c>
      <c r="BS5" s="549" t="s">
        <v>1030</v>
      </c>
      <c r="BU5" s="545">
        <v>11</v>
      </c>
      <c r="BV5" s="549" t="s">
        <v>1723</v>
      </c>
      <c r="BX5" s="545">
        <v>3</v>
      </c>
      <c r="BY5" s="549" t="s">
        <v>1032</v>
      </c>
      <c r="CA5" s="545">
        <v>3</v>
      </c>
      <c r="CB5" s="549" t="s">
        <v>1033</v>
      </c>
      <c r="CG5" s="545">
        <v>3</v>
      </c>
      <c r="CH5" s="549" t="s">
        <v>1034</v>
      </c>
      <c r="CJ5" s="545">
        <v>3</v>
      </c>
      <c r="CK5" s="549" t="s">
        <v>1035</v>
      </c>
      <c r="CM5" s="545">
        <v>3</v>
      </c>
      <c r="CN5" s="549" t="s">
        <v>681</v>
      </c>
      <c r="CP5" s="545">
        <v>2</v>
      </c>
      <c r="CQ5" s="549" t="s">
        <v>1023</v>
      </c>
      <c r="CS5" s="545">
        <v>21</v>
      </c>
      <c r="CT5" s="549" t="s">
        <v>1692</v>
      </c>
      <c r="CV5" s="545">
        <v>3</v>
      </c>
      <c r="CW5" s="549" t="s">
        <v>364</v>
      </c>
      <c r="CY5" s="547">
        <v>3</v>
      </c>
      <c r="CZ5" s="550" t="s">
        <v>1036</v>
      </c>
      <c r="DB5" s="545">
        <v>3</v>
      </c>
      <c r="DC5" s="549" t="s">
        <v>1037</v>
      </c>
      <c r="DE5" s="547">
        <v>5</v>
      </c>
      <c r="DF5" s="550" t="s">
        <v>1050</v>
      </c>
      <c r="DH5" s="379">
        <v>40</v>
      </c>
      <c r="DI5" s="380" t="s">
        <v>361</v>
      </c>
      <c r="DK5" s="379"/>
      <c r="DL5" s="380"/>
    </row>
    <row r="6" spans="1:119" ht="18" customHeight="1" x14ac:dyDescent="0.25">
      <c r="A6" s="375">
        <v>4</v>
      </c>
      <c r="B6" s="382" t="s">
        <v>299</v>
      </c>
      <c r="D6" s="545"/>
      <c r="E6" s="549"/>
      <c r="G6" s="545">
        <v>4</v>
      </c>
      <c r="H6" s="549" t="s">
        <v>685</v>
      </c>
      <c r="J6" s="545">
        <v>4</v>
      </c>
      <c r="K6" s="549" t="s">
        <v>703</v>
      </c>
      <c r="M6" s="545">
        <v>37</v>
      </c>
      <c r="N6" s="549" t="s">
        <v>1635</v>
      </c>
      <c r="O6" s="378"/>
      <c r="P6" s="545">
        <v>3</v>
      </c>
      <c r="Q6" s="549" t="s">
        <v>748</v>
      </c>
      <c r="R6" s="378"/>
      <c r="S6" s="378"/>
      <c r="V6" s="545">
        <v>4</v>
      </c>
      <c r="W6" s="549" t="s">
        <v>790</v>
      </c>
      <c r="AE6" s="545">
        <v>3</v>
      </c>
      <c r="AF6" s="549" t="s">
        <v>819</v>
      </c>
      <c r="AK6" s="545">
        <v>4</v>
      </c>
      <c r="AL6" s="549" t="s">
        <v>838</v>
      </c>
      <c r="AN6" s="545">
        <v>4</v>
      </c>
      <c r="AO6" s="549" t="s">
        <v>876</v>
      </c>
      <c r="AQ6" s="545">
        <v>4</v>
      </c>
      <c r="AR6" s="549" t="s">
        <v>371</v>
      </c>
      <c r="AT6" s="545">
        <v>4</v>
      </c>
      <c r="AU6" s="549" t="s">
        <v>911</v>
      </c>
      <c r="AW6" s="545">
        <v>4</v>
      </c>
      <c r="AX6" s="549" t="s">
        <v>941</v>
      </c>
      <c r="AZ6" s="545">
        <v>4</v>
      </c>
      <c r="BA6" s="549" t="s">
        <v>1646</v>
      </c>
      <c r="BC6" s="545">
        <v>3</v>
      </c>
      <c r="BD6" s="549" t="s">
        <v>982</v>
      </c>
      <c r="BI6" s="545">
        <v>4</v>
      </c>
      <c r="BJ6" s="549" t="s">
        <v>1038</v>
      </c>
      <c r="BL6" s="545">
        <v>4</v>
      </c>
      <c r="BM6" s="549" t="s">
        <v>1039</v>
      </c>
      <c r="BO6" s="545">
        <v>4</v>
      </c>
      <c r="BP6" s="549" t="s">
        <v>371</v>
      </c>
      <c r="BR6" s="545">
        <v>4</v>
      </c>
      <c r="BS6" s="549" t="s">
        <v>1040</v>
      </c>
      <c r="BU6" s="545">
        <v>12</v>
      </c>
      <c r="BV6" s="549" t="s">
        <v>1724</v>
      </c>
      <c r="BX6" s="545">
        <v>4</v>
      </c>
      <c r="BY6" s="549" t="s">
        <v>1042</v>
      </c>
      <c r="CA6" s="545">
        <v>4</v>
      </c>
      <c r="CB6" s="549" t="s">
        <v>1043</v>
      </c>
      <c r="CG6" s="545">
        <v>4</v>
      </c>
      <c r="CH6" s="549" t="s">
        <v>1044</v>
      </c>
      <c r="CJ6" s="545">
        <v>4</v>
      </c>
      <c r="CK6" s="549" t="s">
        <v>1045</v>
      </c>
      <c r="CM6" s="545">
        <v>4</v>
      </c>
      <c r="CN6" s="549" t="s">
        <v>832</v>
      </c>
      <c r="CP6" s="545">
        <v>3</v>
      </c>
      <c r="CQ6" s="549" t="s">
        <v>1375</v>
      </c>
      <c r="CS6" s="545">
        <v>22</v>
      </c>
      <c r="CT6" s="549" t="s">
        <v>1693</v>
      </c>
      <c r="CV6" s="545">
        <v>4</v>
      </c>
      <c r="CW6" s="549" t="s">
        <v>1047</v>
      </c>
      <c r="CY6" s="547">
        <v>4</v>
      </c>
      <c r="CZ6" s="550" t="s">
        <v>1048</v>
      </c>
      <c r="DB6" s="545">
        <v>4</v>
      </c>
      <c r="DC6" s="549" t="s">
        <v>1049</v>
      </c>
      <c r="DE6" s="547">
        <v>38</v>
      </c>
      <c r="DF6" s="550" t="s">
        <v>1725</v>
      </c>
      <c r="DH6" s="379">
        <v>41</v>
      </c>
      <c r="DI6" s="380" t="s">
        <v>369</v>
      </c>
      <c r="DK6" s="379"/>
      <c r="DL6" s="380"/>
    </row>
    <row r="7" spans="1:119" ht="18" customHeight="1" x14ac:dyDescent="0.25">
      <c r="A7" s="381">
        <v>30</v>
      </c>
      <c r="B7" s="382" t="s">
        <v>301</v>
      </c>
      <c r="D7" s="545"/>
      <c r="E7" s="549"/>
      <c r="G7" s="545">
        <v>5</v>
      </c>
      <c r="H7" s="549" t="s">
        <v>1378</v>
      </c>
      <c r="J7" s="545">
        <v>5</v>
      </c>
      <c r="K7" s="549" t="s">
        <v>704</v>
      </c>
      <c r="M7" s="545">
        <v>4</v>
      </c>
      <c r="N7" s="549" t="s">
        <v>720</v>
      </c>
      <c r="O7" s="378"/>
      <c r="P7" s="545">
        <v>4</v>
      </c>
      <c r="Q7" s="549" t="s">
        <v>749</v>
      </c>
      <c r="R7" s="378"/>
      <c r="S7" s="378"/>
      <c r="V7" s="545">
        <v>5</v>
      </c>
      <c r="W7" s="549" t="s">
        <v>791</v>
      </c>
      <c r="AE7" s="545">
        <v>4</v>
      </c>
      <c r="AF7" s="549" t="s">
        <v>372</v>
      </c>
      <c r="AK7" s="545">
        <v>5</v>
      </c>
      <c r="AL7" s="549" t="s">
        <v>839</v>
      </c>
      <c r="AN7" s="545">
        <v>5</v>
      </c>
      <c r="AO7" s="549" t="s">
        <v>877</v>
      </c>
      <c r="AQ7" s="545">
        <v>5</v>
      </c>
      <c r="AR7" s="549" t="s">
        <v>364</v>
      </c>
      <c r="AT7" s="545">
        <v>5</v>
      </c>
      <c r="AU7" s="549" t="s">
        <v>912</v>
      </c>
      <c r="AW7" s="545">
        <v>5</v>
      </c>
      <c r="AX7" s="549" t="s">
        <v>942</v>
      </c>
      <c r="AZ7" s="545">
        <v>2</v>
      </c>
      <c r="BA7" s="549" t="s">
        <v>1377</v>
      </c>
      <c r="BC7" s="545">
        <v>4</v>
      </c>
      <c r="BD7" s="549" t="s">
        <v>983</v>
      </c>
      <c r="BI7" s="545">
        <v>5</v>
      </c>
      <c r="BJ7" s="549" t="s">
        <v>1051</v>
      </c>
      <c r="BL7" s="545">
        <v>5</v>
      </c>
      <c r="BM7" s="549" t="s">
        <v>1052</v>
      </c>
      <c r="BO7" s="545">
        <v>5</v>
      </c>
      <c r="BP7" s="549" t="s">
        <v>1053</v>
      </c>
      <c r="BR7" s="545">
        <v>5</v>
      </c>
      <c r="BS7" s="549" t="s">
        <v>1054</v>
      </c>
      <c r="BU7" s="545">
        <v>3</v>
      </c>
      <c r="BV7" s="549" t="s">
        <v>1031</v>
      </c>
      <c r="BX7" s="545">
        <v>5</v>
      </c>
      <c r="BY7" s="549" t="s">
        <v>1056</v>
      </c>
      <c r="CA7" s="545">
        <v>5</v>
      </c>
      <c r="CB7" s="549" t="s">
        <v>1057</v>
      </c>
      <c r="CG7" s="545">
        <v>5</v>
      </c>
      <c r="CH7" s="549" t="s">
        <v>1058</v>
      </c>
      <c r="CJ7" s="545">
        <v>5</v>
      </c>
      <c r="CK7" s="549" t="s">
        <v>1059</v>
      </c>
      <c r="CP7" s="545">
        <v>4</v>
      </c>
      <c r="CQ7" s="549" t="s">
        <v>1046</v>
      </c>
      <c r="CS7" s="545">
        <v>32</v>
      </c>
      <c r="CT7" s="549" t="s">
        <v>1679</v>
      </c>
      <c r="CV7" s="545">
        <v>5</v>
      </c>
      <c r="CW7" s="549" t="s">
        <v>680</v>
      </c>
      <c r="CY7" s="547">
        <v>5</v>
      </c>
      <c r="CZ7" s="550" t="s">
        <v>1061</v>
      </c>
      <c r="DB7" s="545">
        <v>5</v>
      </c>
      <c r="DC7" s="549" t="s">
        <v>1062</v>
      </c>
      <c r="DE7" s="547">
        <v>6</v>
      </c>
      <c r="DF7" s="550" t="s">
        <v>1063</v>
      </c>
      <c r="DH7" s="379">
        <v>42</v>
      </c>
      <c r="DI7" s="380" t="s">
        <v>366</v>
      </c>
      <c r="DK7" s="379"/>
      <c r="DL7" s="380"/>
    </row>
    <row r="8" spans="1:119" ht="18" customHeight="1" x14ac:dyDescent="0.25">
      <c r="A8" s="375">
        <v>5</v>
      </c>
      <c r="B8" s="382" t="s">
        <v>303</v>
      </c>
      <c r="G8" s="545">
        <v>6</v>
      </c>
      <c r="H8" s="549" t="s">
        <v>686</v>
      </c>
      <c r="J8" s="545">
        <v>6</v>
      </c>
      <c r="K8" s="549" t="s">
        <v>705</v>
      </c>
      <c r="M8" s="545">
        <v>5</v>
      </c>
      <c r="N8" s="549" t="s">
        <v>370</v>
      </c>
      <c r="O8" s="378"/>
      <c r="P8" s="545">
        <v>5</v>
      </c>
      <c r="Q8" s="549" t="s">
        <v>750</v>
      </c>
      <c r="R8" s="378"/>
      <c r="S8" s="378"/>
      <c r="V8" s="545">
        <v>6</v>
      </c>
      <c r="W8" s="549" t="s">
        <v>792</v>
      </c>
      <c r="AE8" s="545">
        <v>5</v>
      </c>
      <c r="AF8" s="549" t="s">
        <v>820</v>
      </c>
      <c r="AK8" s="545">
        <v>6</v>
      </c>
      <c r="AL8" s="549" t="s">
        <v>840</v>
      </c>
      <c r="AN8" s="545">
        <v>6</v>
      </c>
      <c r="AO8" s="549" t="s">
        <v>364</v>
      </c>
      <c r="AQ8" s="545">
        <v>6</v>
      </c>
      <c r="AR8" s="549" t="s">
        <v>898</v>
      </c>
      <c r="AT8" s="545">
        <v>6</v>
      </c>
      <c r="AU8" s="549" t="s">
        <v>913</v>
      </c>
      <c r="AW8" s="545">
        <v>6</v>
      </c>
      <c r="AX8" s="549" t="s">
        <v>1380</v>
      </c>
      <c r="AZ8" s="545">
        <v>3</v>
      </c>
      <c r="BA8" s="549" t="s">
        <v>1379</v>
      </c>
      <c r="BC8" s="545">
        <v>5</v>
      </c>
      <c r="BD8" s="549" t="s">
        <v>1786</v>
      </c>
      <c r="BI8" s="545">
        <v>6</v>
      </c>
      <c r="BJ8" s="549" t="s">
        <v>1064</v>
      </c>
      <c r="BL8" s="545">
        <v>48</v>
      </c>
      <c r="BM8" s="549" t="s">
        <v>1726</v>
      </c>
      <c r="BO8" s="545">
        <v>6</v>
      </c>
      <c r="BP8" s="549" t="s">
        <v>1066</v>
      </c>
      <c r="BR8" s="545">
        <v>7</v>
      </c>
      <c r="BS8" s="549" t="s">
        <v>1067</v>
      </c>
      <c r="BU8" s="545">
        <v>4</v>
      </c>
      <c r="BV8" s="549" t="s">
        <v>1041</v>
      </c>
      <c r="BX8" s="545">
        <v>6</v>
      </c>
      <c r="BY8" s="549" t="s">
        <v>1069</v>
      </c>
      <c r="CA8" s="545">
        <v>6</v>
      </c>
      <c r="CB8" s="549" t="s">
        <v>1070</v>
      </c>
      <c r="CG8" s="545">
        <v>6</v>
      </c>
      <c r="CH8" s="549" t="s">
        <v>1071</v>
      </c>
      <c r="CJ8" s="545">
        <v>6</v>
      </c>
      <c r="CK8" s="549" t="s">
        <v>1072</v>
      </c>
      <c r="CP8" s="545">
        <v>5</v>
      </c>
      <c r="CQ8" s="549" t="s">
        <v>1060</v>
      </c>
      <c r="CS8" s="545">
        <v>33</v>
      </c>
      <c r="CT8" s="549" t="s">
        <v>1680</v>
      </c>
      <c r="CV8" s="545">
        <v>6</v>
      </c>
      <c r="CW8" s="549" t="s">
        <v>1074</v>
      </c>
      <c r="CY8" s="547">
        <v>6</v>
      </c>
      <c r="CZ8" s="550" t="s">
        <v>1075</v>
      </c>
      <c r="DB8" s="545">
        <v>14</v>
      </c>
      <c r="DC8" s="549" t="s">
        <v>364</v>
      </c>
      <c r="DE8" s="547">
        <v>31</v>
      </c>
      <c r="DF8" s="550" t="s">
        <v>1706</v>
      </c>
      <c r="DH8" s="379">
        <v>43</v>
      </c>
      <c r="DI8" s="380" t="s">
        <v>376</v>
      </c>
      <c r="DK8" s="379"/>
      <c r="DL8" s="380"/>
    </row>
    <row r="9" spans="1:119" ht="18" customHeight="1" x14ac:dyDescent="0.25">
      <c r="A9" s="381">
        <v>31</v>
      </c>
      <c r="B9" s="382" t="s">
        <v>1727</v>
      </c>
      <c r="G9" s="545">
        <v>7</v>
      </c>
      <c r="H9" s="549" t="s">
        <v>687</v>
      </c>
      <c r="J9" s="545">
        <v>27</v>
      </c>
      <c r="K9" s="549" t="s">
        <v>1728</v>
      </c>
      <c r="M9" s="545">
        <v>6</v>
      </c>
      <c r="N9" s="549" t="s">
        <v>721</v>
      </c>
      <c r="O9" s="378"/>
      <c r="P9" s="545">
        <v>6</v>
      </c>
      <c r="Q9" s="549" t="s">
        <v>751</v>
      </c>
      <c r="R9" s="378"/>
      <c r="S9" s="378"/>
      <c r="V9" s="545">
        <v>7</v>
      </c>
      <c r="W9" s="549" t="s">
        <v>793</v>
      </c>
      <c r="AE9" s="545">
        <v>6</v>
      </c>
      <c r="AF9" s="549" t="s">
        <v>821</v>
      </c>
      <c r="AK9" s="545">
        <v>7</v>
      </c>
      <c r="AL9" s="549" t="s">
        <v>841</v>
      </c>
      <c r="AN9" s="545">
        <v>7</v>
      </c>
      <c r="AO9" s="549" t="s">
        <v>878</v>
      </c>
      <c r="AQ9" s="545">
        <v>7</v>
      </c>
      <c r="AR9" s="549" t="s">
        <v>899</v>
      </c>
      <c r="AT9" s="545">
        <v>7</v>
      </c>
      <c r="AU9" s="549" t="s">
        <v>914</v>
      </c>
      <c r="AW9" s="545">
        <v>7</v>
      </c>
      <c r="AX9" s="549" t="s">
        <v>943</v>
      </c>
      <c r="AZ9" s="545">
        <v>6</v>
      </c>
      <c r="BA9" s="549" t="s">
        <v>963</v>
      </c>
      <c r="BC9" s="545">
        <v>22</v>
      </c>
      <c r="BD9" s="549" t="s">
        <v>1787</v>
      </c>
      <c r="BI9" s="545">
        <v>7</v>
      </c>
      <c r="BJ9" s="549" t="s">
        <v>1078</v>
      </c>
      <c r="BL9" s="545">
        <v>6</v>
      </c>
      <c r="BM9" s="549" t="s">
        <v>1065</v>
      </c>
      <c r="BO9" s="545">
        <v>11</v>
      </c>
      <c r="BP9" s="549" t="s">
        <v>1729</v>
      </c>
      <c r="BR9" s="545">
        <v>6</v>
      </c>
      <c r="BS9" s="549" t="s">
        <v>1081</v>
      </c>
      <c r="BU9" s="545">
        <v>5</v>
      </c>
      <c r="BV9" s="549" t="s">
        <v>1055</v>
      </c>
      <c r="BX9" s="545">
        <v>7</v>
      </c>
      <c r="BY9" s="549" t="s">
        <v>1083</v>
      </c>
      <c r="CA9" s="545">
        <v>7</v>
      </c>
      <c r="CB9" s="549" t="s">
        <v>1084</v>
      </c>
      <c r="CG9" s="545">
        <v>7</v>
      </c>
      <c r="CH9" s="549" t="s">
        <v>1085</v>
      </c>
      <c r="CJ9" s="545">
        <v>7</v>
      </c>
      <c r="CK9" s="549" t="s">
        <v>1086</v>
      </c>
      <c r="CP9" s="545">
        <v>6</v>
      </c>
      <c r="CQ9" s="549" t="s">
        <v>1073</v>
      </c>
      <c r="CS9" s="545">
        <v>34</v>
      </c>
      <c r="CT9" s="549" t="s">
        <v>1681</v>
      </c>
      <c r="CV9" s="545">
        <v>7</v>
      </c>
      <c r="CW9" s="549" t="s">
        <v>681</v>
      </c>
      <c r="CY9" s="547">
        <v>7</v>
      </c>
      <c r="CZ9" s="550" t="s">
        <v>1089</v>
      </c>
      <c r="DB9" s="545">
        <v>6</v>
      </c>
      <c r="DC9" s="549" t="s">
        <v>1076</v>
      </c>
      <c r="DE9" s="547">
        <v>43</v>
      </c>
      <c r="DF9" s="550" t="s">
        <v>1730</v>
      </c>
      <c r="DH9" s="379">
        <v>44</v>
      </c>
      <c r="DI9" s="380" t="s">
        <v>377</v>
      </c>
      <c r="DK9" s="379"/>
      <c r="DL9" s="380"/>
    </row>
    <row r="10" spans="1:119" ht="18" customHeight="1" x14ac:dyDescent="0.25">
      <c r="A10" s="375">
        <v>32</v>
      </c>
      <c r="B10" s="382" t="s">
        <v>306</v>
      </c>
      <c r="G10" s="545">
        <v>8</v>
      </c>
      <c r="H10" s="549" t="s">
        <v>688</v>
      </c>
      <c r="J10" s="545">
        <v>23</v>
      </c>
      <c r="K10" s="549" t="s">
        <v>1731</v>
      </c>
      <c r="M10" s="545">
        <v>40</v>
      </c>
      <c r="N10" s="549" t="s">
        <v>1677</v>
      </c>
      <c r="O10" s="378"/>
      <c r="P10" s="545">
        <v>7</v>
      </c>
      <c r="Q10" s="549" t="s">
        <v>752</v>
      </c>
      <c r="R10" s="378"/>
      <c r="S10" s="378"/>
      <c r="V10" s="545">
        <v>8</v>
      </c>
      <c r="W10" s="549" t="s">
        <v>794</v>
      </c>
      <c r="AE10" s="545">
        <v>7</v>
      </c>
      <c r="AF10" s="549" t="s">
        <v>822</v>
      </c>
      <c r="AK10" s="545">
        <v>8</v>
      </c>
      <c r="AL10" s="549" t="s">
        <v>842</v>
      </c>
      <c r="AN10" s="545">
        <v>27</v>
      </c>
      <c r="AO10" s="384" t="s">
        <v>1732</v>
      </c>
      <c r="AQ10" s="545">
        <v>8</v>
      </c>
      <c r="AR10" s="549" t="s">
        <v>900</v>
      </c>
      <c r="AT10" s="545">
        <v>8</v>
      </c>
      <c r="AU10" s="549" t="s">
        <v>915</v>
      </c>
      <c r="AW10" s="545">
        <v>8</v>
      </c>
      <c r="AX10" s="549" t="s">
        <v>944</v>
      </c>
      <c r="AZ10" s="545">
        <v>9</v>
      </c>
      <c r="BA10" s="549" t="s">
        <v>964</v>
      </c>
      <c r="BC10" s="545">
        <v>6</v>
      </c>
      <c r="BD10" s="549" t="s">
        <v>984</v>
      </c>
      <c r="BI10" s="545">
        <v>8</v>
      </c>
      <c r="BJ10" s="549" t="s">
        <v>1092</v>
      </c>
      <c r="BL10" s="545">
        <v>7</v>
      </c>
      <c r="BM10" s="549" t="s">
        <v>1079</v>
      </c>
      <c r="BO10" s="545">
        <v>13</v>
      </c>
      <c r="BP10" s="549" t="s">
        <v>1733</v>
      </c>
      <c r="BR10" s="545">
        <v>8</v>
      </c>
      <c r="BS10" s="549" t="s">
        <v>1095</v>
      </c>
      <c r="BU10" s="545">
        <v>6</v>
      </c>
      <c r="BV10" s="549" t="s">
        <v>1068</v>
      </c>
      <c r="BX10" s="545">
        <v>8</v>
      </c>
      <c r="BY10" s="549" t="s">
        <v>1097</v>
      </c>
      <c r="CA10" s="545">
        <v>8</v>
      </c>
      <c r="CB10" s="549" t="s">
        <v>1098</v>
      </c>
      <c r="CG10" s="545">
        <v>8</v>
      </c>
      <c r="CH10" s="549" t="s">
        <v>1099</v>
      </c>
      <c r="CJ10" s="545">
        <v>49</v>
      </c>
      <c r="CK10" s="549" t="s">
        <v>1734</v>
      </c>
      <c r="CP10" s="545">
        <v>7</v>
      </c>
      <c r="CQ10" s="549" t="s">
        <v>1087</v>
      </c>
      <c r="CS10" s="545">
        <v>35</v>
      </c>
      <c r="CT10" s="549" t="s">
        <v>1694</v>
      </c>
      <c r="CV10" s="545">
        <v>8</v>
      </c>
      <c r="CW10" s="549" t="s">
        <v>1103</v>
      </c>
      <c r="CY10" s="547">
        <v>8</v>
      </c>
      <c r="CZ10" s="550" t="s">
        <v>1104</v>
      </c>
      <c r="DB10" s="545">
        <v>7</v>
      </c>
      <c r="DC10" s="549" t="s">
        <v>1090</v>
      </c>
      <c r="DE10" s="547">
        <v>7</v>
      </c>
      <c r="DF10" s="550" t="s">
        <v>1077</v>
      </c>
      <c r="DH10" s="379">
        <v>45</v>
      </c>
      <c r="DI10" s="380" t="s">
        <v>378</v>
      </c>
      <c r="DK10" s="379"/>
      <c r="DL10" s="380"/>
    </row>
    <row r="11" spans="1:119" ht="18" customHeight="1" x14ac:dyDescent="0.25">
      <c r="A11" s="381">
        <v>6</v>
      </c>
      <c r="B11" s="382" t="s">
        <v>308</v>
      </c>
      <c r="G11" s="545">
        <v>9</v>
      </c>
      <c r="H11" s="549" t="s">
        <v>689</v>
      </c>
      <c r="J11" s="545">
        <v>7</v>
      </c>
      <c r="K11" s="549" t="s">
        <v>1643</v>
      </c>
      <c r="M11" s="545">
        <v>7</v>
      </c>
      <c r="N11" s="549" t="s">
        <v>722</v>
      </c>
      <c r="O11" s="378"/>
      <c r="P11" s="545">
        <v>8</v>
      </c>
      <c r="Q11" s="549" t="s">
        <v>753</v>
      </c>
      <c r="R11" s="378"/>
      <c r="S11" s="378"/>
      <c r="V11" s="545">
        <v>9</v>
      </c>
      <c r="W11" s="549" t="s">
        <v>795</v>
      </c>
      <c r="AE11" s="545">
        <v>8</v>
      </c>
      <c r="AF11" s="549" t="s">
        <v>680</v>
      </c>
      <c r="AK11" s="545">
        <v>9</v>
      </c>
      <c r="AL11" s="549" t="s">
        <v>843</v>
      </c>
      <c r="AN11" s="545">
        <v>8</v>
      </c>
      <c r="AO11" s="549" t="s">
        <v>879</v>
      </c>
      <c r="AQ11" s="545">
        <v>9</v>
      </c>
      <c r="AR11" s="549" t="s">
        <v>901</v>
      </c>
      <c r="AT11" s="545">
        <v>9</v>
      </c>
      <c r="AU11" s="549" t="s">
        <v>916</v>
      </c>
      <c r="AW11" s="545">
        <v>9</v>
      </c>
      <c r="AX11" s="549" t="s">
        <v>945</v>
      </c>
      <c r="AZ11" s="545">
        <v>8</v>
      </c>
      <c r="BA11" s="549" t="s">
        <v>1381</v>
      </c>
      <c r="BC11" s="545">
        <v>7</v>
      </c>
      <c r="BD11" s="549" t="s">
        <v>985</v>
      </c>
      <c r="BI11" s="545">
        <v>9</v>
      </c>
      <c r="BJ11" s="549" t="s">
        <v>1106</v>
      </c>
      <c r="BL11" s="545">
        <v>8</v>
      </c>
      <c r="BM11" s="549" t="s">
        <v>1093</v>
      </c>
      <c r="BO11" s="545">
        <v>15</v>
      </c>
      <c r="BP11" s="549" t="s">
        <v>1735</v>
      </c>
      <c r="BR11" s="545">
        <v>9</v>
      </c>
      <c r="BS11" s="549" t="s">
        <v>1109</v>
      </c>
      <c r="BU11" s="545">
        <v>7</v>
      </c>
      <c r="BV11" s="549" t="s">
        <v>1082</v>
      </c>
      <c r="BX11" s="545">
        <v>9</v>
      </c>
      <c r="BY11" s="549" t="s">
        <v>1111</v>
      </c>
      <c r="CA11" s="545">
        <v>9</v>
      </c>
      <c r="CB11" s="549" t="s">
        <v>1383</v>
      </c>
      <c r="CG11" s="545">
        <v>9</v>
      </c>
      <c r="CH11" s="549" t="s">
        <v>1112</v>
      </c>
      <c r="CJ11" s="545">
        <v>8</v>
      </c>
      <c r="CK11" s="549" t="s">
        <v>1100</v>
      </c>
      <c r="CP11" s="545">
        <v>8</v>
      </c>
      <c r="CQ11" s="549" t="s">
        <v>1101</v>
      </c>
      <c r="CS11" s="545">
        <v>23</v>
      </c>
      <c r="CT11" s="549" t="s">
        <v>1695</v>
      </c>
      <c r="CV11" s="545">
        <v>9</v>
      </c>
      <c r="CW11" s="549" t="s">
        <v>832</v>
      </c>
      <c r="CY11" s="547">
        <v>9</v>
      </c>
      <c r="CZ11" s="550" t="s">
        <v>1115</v>
      </c>
      <c r="DB11" s="545">
        <v>8</v>
      </c>
      <c r="DC11" s="549" t="s">
        <v>1105</v>
      </c>
      <c r="DE11" s="547">
        <v>8</v>
      </c>
      <c r="DF11" s="550" t="s">
        <v>1091</v>
      </c>
      <c r="DH11" s="379">
        <v>46</v>
      </c>
      <c r="DI11" s="380" t="s">
        <v>363</v>
      </c>
    </row>
    <row r="12" spans="1:119" ht="18" customHeight="1" x14ac:dyDescent="0.25">
      <c r="A12" s="375">
        <v>7</v>
      </c>
      <c r="B12" s="382" t="s">
        <v>310</v>
      </c>
      <c r="G12" s="545">
        <v>10</v>
      </c>
      <c r="H12" s="549" t="s">
        <v>690</v>
      </c>
      <c r="J12" s="545">
        <v>25</v>
      </c>
      <c r="K12" s="551" t="s">
        <v>1736</v>
      </c>
      <c r="M12" s="545">
        <v>8</v>
      </c>
      <c r="N12" s="549" t="s">
        <v>723</v>
      </c>
      <c r="O12" s="378"/>
      <c r="P12" s="545">
        <v>9</v>
      </c>
      <c r="Q12" s="549" t="s">
        <v>754</v>
      </c>
      <c r="R12" s="378"/>
      <c r="S12" s="378"/>
      <c r="V12" s="545">
        <v>10</v>
      </c>
      <c r="W12" s="549" t="s">
        <v>796</v>
      </c>
      <c r="AE12" s="545">
        <v>9</v>
      </c>
      <c r="AF12" s="549" t="s">
        <v>823</v>
      </c>
      <c r="AK12" s="545">
        <v>10</v>
      </c>
      <c r="AL12" s="549" t="s">
        <v>844</v>
      </c>
      <c r="AN12" s="545">
        <v>24</v>
      </c>
      <c r="AO12" s="549" t="s">
        <v>880</v>
      </c>
      <c r="AQ12" s="545">
        <v>10</v>
      </c>
      <c r="AR12" s="549" t="s">
        <v>902</v>
      </c>
      <c r="AT12" s="545">
        <v>10</v>
      </c>
      <c r="AU12" s="549" t="s">
        <v>917</v>
      </c>
      <c r="AW12" s="545">
        <v>10</v>
      </c>
      <c r="AX12" s="549" t="s">
        <v>946</v>
      </c>
      <c r="AZ12" s="545">
        <v>10</v>
      </c>
      <c r="BA12" s="549" t="s">
        <v>1382</v>
      </c>
      <c r="BC12" s="545">
        <v>8</v>
      </c>
      <c r="BD12" s="549" t="s">
        <v>986</v>
      </c>
      <c r="BI12" s="545">
        <v>10</v>
      </c>
      <c r="BJ12" s="549" t="s">
        <v>1384</v>
      </c>
      <c r="BL12" s="545">
        <v>9</v>
      </c>
      <c r="BM12" s="549" t="s">
        <v>1107</v>
      </c>
      <c r="BO12" s="545">
        <v>12</v>
      </c>
      <c r="BP12" s="549" t="s">
        <v>1737</v>
      </c>
      <c r="BR12" s="545">
        <v>10</v>
      </c>
      <c r="BS12" s="549" t="s">
        <v>1120</v>
      </c>
      <c r="BU12" s="545">
        <v>13</v>
      </c>
      <c r="BV12" s="549" t="s">
        <v>1738</v>
      </c>
      <c r="BX12" s="545">
        <v>10</v>
      </c>
      <c r="BY12" s="549" t="s">
        <v>1122</v>
      </c>
      <c r="CA12" s="545">
        <v>10</v>
      </c>
      <c r="CB12" s="549" t="s">
        <v>1385</v>
      </c>
      <c r="CG12" s="545">
        <v>10</v>
      </c>
      <c r="CH12" s="549" t="s">
        <v>1123</v>
      </c>
      <c r="CJ12" s="545">
        <v>9</v>
      </c>
      <c r="CK12" s="549" t="s">
        <v>1113</v>
      </c>
      <c r="CP12" s="545">
        <v>42</v>
      </c>
      <c r="CQ12" s="549" t="s">
        <v>1739</v>
      </c>
      <c r="CS12" s="545">
        <v>24</v>
      </c>
      <c r="CT12" s="549" t="s">
        <v>1696</v>
      </c>
      <c r="CY12" s="547">
        <v>10</v>
      </c>
      <c r="CZ12" s="550" t="s">
        <v>1126</v>
      </c>
      <c r="DB12" s="545">
        <v>9</v>
      </c>
      <c r="DC12" s="549" t="s">
        <v>1116</v>
      </c>
      <c r="DE12" s="547">
        <v>37</v>
      </c>
      <c r="DF12" s="550" t="s">
        <v>1740</v>
      </c>
      <c r="DH12" s="379">
        <v>47</v>
      </c>
      <c r="DI12" s="380" t="s">
        <v>379</v>
      </c>
    </row>
    <row r="13" spans="1:119" ht="18" customHeight="1" x14ac:dyDescent="0.25">
      <c r="A13" s="381">
        <v>8</v>
      </c>
      <c r="B13" s="382" t="s">
        <v>312</v>
      </c>
      <c r="G13" s="545">
        <v>11</v>
      </c>
      <c r="H13" s="549" t="s">
        <v>691</v>
      </c>
      <c r="J13" s="545">
        <v>8</v>
      </c>
      <c r="K13" s="549" t="s">
        <v>706</v>
      </c>
      <c r="M13" s="545">
        <v>9</v>
      </c>
      <c r="N13" s="549" t="s">
        <v>724</v>
      </c>
      <c r="O13" s="378"/>
      <c r="P13" s="545">
        <v>10</v>
      </c>
      <c r="Q13" s="549" t="s">
        <v>755</v>
      </c>
      <c r="R13" s="378"/>
      <c r="S13" s="378"/>
      <c r="V13" s="545">
        <v>30</v>
      </c>
      <c r="W13" s="549" t="s">
        <v>1741</v>
      </c>
      <c r="AE13" s="545">
        <v>10</v>
      </c>
      <c r="AF13" s="549" t="s">
        <v>824</v>
      </c>
      <c r="AK13" s="545">
        <v>11</v>
      </c>
      <c r="AL13" s="549" t="s">
        <v>1387</v>
      </c>
      <c r="AN13" s="545">
        <v>9</v>
      </c>
      <c r="AO13" s="549" t="s">
        <v>881</v>
      </c>
      <c r="AQ13" s="545">
        <v>11</v>
      </c>
      <c r="AR13" s="549" t="s">
        <v>903</v>
      </c>
      <c r="AT13" s="545">
        <v>11</v>
      </c>
      <c r="AU13" s="549" t="s">
        <v>918</v>
      </c>
      <c r="AW13" s="545">
        <v>11</v>
      </c>
      <c r="AX13" s="549" t="s">
        <v>947</v>
      </c>
      <c r="AZ13" s="545">
        <v>11</v>
      </c>
      <c r="BA13" s="549" t="s">
        <v>965</v>
      </c>
      <c r="BC13" s="545">
        <v>9</v>
      </c>
      <c r="BD13" s="549" t="s">
        <v>987</v>
      </c>
      <c r="BI13" s="545">
        <v>11</v>
      </c>
      <c r="BJ13" s="549" t="s">
        <v>1129</v>
      </c>
      <c r="BL13" s="545">
        <v>10</v>
      </c>
      <c r="BM13" s="549" t="s">
        <v>1118</v>
      </c>
      <c r="BO13" s="552">
        <v>16</v>
      </c>
      <c r="BP13" s="553" t="s">
        <v>1742</v>
      </c>
      <c r="BR13" s="545">
        <v>11</v>
      </c>
      <c r="BS13" s="549" t="s">
        <v>1131</v>
      </c>
      <c r="BU13" s="552">
        <v>8</v>
      </c>
      <c r="BV13" s="549" t="s">
        <v>1096</v>
      </c>
      <c r="BX13" s="545">
        <v>11</v>
      </c>
      <c r="BY13" s="549" t="s">
        <v>1132</v>
      </c>
      <c r="CA13" s="545">
        <v>11</v>
      </c>
      <c r="CB13" s="549" t="s">
        <v>1133</v>
      </c>
      <c r="CG13" s="545">
        <v>11</v>
      </c>
      <c r="CH13" s="549" t="s">
        <v>1134</v>
      </c>
      <c r="CJ13" s="545">
        <v>10</v>
      </c>
      <c r="CK13" s="549" t="s">
        <v>1124</v>
      </c>
      <c r="CP13" s="545">
        <v>9</v>
      </c>
      <c r="CQ13" s="549" t="s">
        <v>1114</v>
      </c>
      <c r="CS13" s="545">
        <v>36</v>
      </c>
      <c r="CT13" s="549" t="s">
        <v>1697</v>
      </c>
      <c r="CY13" s="547">
        <v>11</v>
      </c>
      <c r="CZ13" s="550" t="s">
        <v>1137</v>
      </c>
      <c r="DB13" s="545">
        <v>10</v>
      </c>
      <c r="DC13" s="549" t="s">
        <v>1127</v>
      </c>
      <c r="DE13" s="547">
        <v>32</v>
      </c>
      <c r="DF13" s="550" t="s">
        <v>1707</v>
      </c>
      <c r="DH13" s="379">
        <v>48</v>
      </c>
      <c r="DI13" s="380" t="s">
        <v>382</v>
      </c>
    </row>
    <row r="14" spans="1:119" ht="18" customHeight="1" x14ac:dyDescent="0.25">
      <c r="A14" s="375">
        <v>9</v>
      </c>
      <c r="B14" s="382" t="s">
        <v>314</v>
      </c>
      <c r="G14" s="545">
        <v>12</v>
      </c>
      <c r="H14" s="549" t="s">
        <v>692</v>
      </c>
      <c r="J14" s="545">
        <v>9</v>
      </c>
      <c r="K14" s="549" t="s">
        <v>707</v>
      </c>
      <c r="M14" s="545">
        <v>10</v>
      </c>
      <c r="N14" s="549" t="s">
        <v>725</v>
      </c>
      <c r="O14" s="378"/>
      <c r="P14" s="545">
        <v>11</v>
      </c>
      <c r="Q14" s="549" t="s">
        <v>756</v>
      </c>
      <c r="R14" s="378"/>
      <c r="S14" s="378"/>
      <c r="V14" s="545">
        <v>11</v>
      </c>
      <c r="W14" s="549" t="s">
        <v>1386</v>
      </c>
      <c r="AE14" s="545">
        <v>11</v>
      </c>
      <c r="AF14" s="549" t="s">
        <v>825</v>
      </c>
      <c r="AK14" s="545">
        <v>12</v>
      </c>
      <c r="AL14" s="549" t="s">
        <v>845</v>
      </c>
      <c r="AN14" s="545">
        <v>10</v>
      </c>
      <c r="AO14" s="549" t="s">
        <v>882</v>
      </c>
      <c r="AQ14" s="545">
        <v>12</v>
      </c>
      <c r="AR14" s="549" t="s">
        <v>904</v>
      </c>
      <c r="AT14" s="545">
        <v>13</v>
      </c>
      <c r="AU14" s="549" t="s">
        <v>920</v>
      </c>
      <c r="AW14" s="545">
        <v>12</v>
      </c>
      <c r="AX14" s="549" t="s">
        <v>948</v>
      </c>
      <c r="AZ14" s="545">
        <v>12</v>
      </c>
      <c r="BA14" s="549" t="s">
        <v>1388</v>
      </c>
      <c r="BC14" s="545">
        <v>10</v>
      </c>
      <c r="BD14" s="549" t="s">
        <v>988</v>
      </c>
      <c r="BI14" s="545">
        <v>12</v>
      </c>
      <c r="BJ14" s="549" t="s">
        <v>1140</v>
      </c>
      <c r="BL14" s="545">
        <v>11</v>
      </c>
      <c r="BM14" s="549" t="s">
        <v>1130</v>
      </c>
      <c r="BO14" s="552">
        <v>17</v>
      </c>
      <c r="BP14" s="553" t="s">
        <v>1743</v>
      </c>
      <c r="BU14" s="552">
        <v>10</v>
      </c>
      <c r="BV14" s="549" t="s">
        <v>1110</v>
      </c>
      <c r="CA14" s="545">
        <v>12</v>
      </c>
      <c r="CB14" s="549" t="s">
        <v>1142</v>
      </c>
      <c r="CG14" s="545">
        <v>12</v>
      </c>
      <c r="CH14" s="549" t="s">
        <v>381</v>
      </c>
      <c r="CJ14" s="545">
        <v>11</v>
      </c>
      <c r="CK14" s="549" t="s">
        <v>1135</v>
      </c>
      <c r="CP14" s="545">
        <v>10</v>
      </c>
      <c r="CQ14" s="549" t="s">
        <v>1125</v>
      </c>
      <c r="CS14" s="545">
        <v>37</v>
      </c>
      <c r="CT14" s="549" t="s">
        <v>1682</v>
      </c>
      <c r="CY14" s="547">
        <v>12</v>
      </c>
      <c r="CZ14" s="550" t="s">
        <v>1145</v>
      </c>
      <c r="DB14" s="545">
        <v>11</v>
      </c>
      <c r="DC14" s="549" t="s">
        <v>1138</v>
      </c>
      <c r="DE14" s="547">
        <v>10</v>
      </c>
      <c r="DF14" s="550" t="s">
        <v>1117</v>
      </c>
      <c r="DH14" s="379">
        <v>49</v>
      </c>
      <c r="DI14" s="380" t="s">
        <v>374</v>
      </c>
    </row>
    <row r="15" spans="1:119" ht="18" customHeight="1" x14ac:dyDescent="0.25">
      <c r="A15" s="381">
        <v>33</v>
      </c>
      <c r="B15" s="382" t="s">
        <v>316</v>
      </c>
      <c r="G15" s="545">
        <v>13</v>
      </c>
      <c r="H15" s="549" t="s">
        <v>693</v>
      </c>
      <c r="J15" s="545">
        <v>10</v>
      </c>
      <c r="K15" s="549" t="s">
        <v>708</v>
      </c>
      <c r="M15" s="545">
        <v>11</v>
      </c>
      <c r="N15" s="549" t="s">
        <v>726</v>
      </c>
      <c r="O15" s="378"/>
      <c r="P15" s="545">
        <v>12</v>
      </c>
      <c r="Q15" s="549" t="s">
        <v>757</v>
      </c>
      <c r="R15" s="378"/>
      <c r="S15" s="378"/>
      <c r="V15" s="545">
        <v>12</v>
      </c>
      <c r="W15" s="549" t="s">
        <v>797</v>
      </c>
      <c r="AE15" s="545">
        <v>23</v>
      </c>
      <c r="AF15" s="554" t="s">
        <v>1744</v>
      </c>
      <c r="AK15" s="545">
        <v>13</v>
      </c>
      <c r="AL15" s="549" t="s">
        <v>846</v>
      </c>
      <c r="AN15" s="545">
        <v>11</v>
      </c>
      <c r="AO15" s="549" t="s">
        <v>883</v>
      </c>
      <c r="AQ15" s="545">
        <v>13</v>
      </c>
      <c r="AR15" s="549" t="s">
        <v>905</v>
      </c>
      <c r="AT15" s="545">
        <v>14</v>
      </c>
      <c r="AU15" s="549" t="s">
        <v>921</v>
      </c>
      <c r="AW15" s="545">
        <v>13</v>
      </c>
      <c r="AX15" s="549" t="s">
        <v>949</v>
      </c>
      <c r="AZ15" s="545">
        <v>13</v>
      </c>
      <c r="BA15" s="549" t="s">
        <v>966</v>
      </c>
      <c r="BC15" s="545">
        <v>11</v>
      </c>
      <c r="BD15" s="549" t="s">
        <v>989</v>
      </c>
      <c r="BI15" s="545">
        <v>13</v>
      </c>
      <c r="BJ15" s="549" t="s">
        <v>1147</v>
      </c>
      <c r="BL15" s="545">
        <v>12</v>
      </c>
      <c r="BM15" s="549" t="s">
        <v>1141</v>
      </c>
      <c r="BO15" s="552">
        <v>7</v>
      </c>
      <c r="BP15" s="553" t="s">
        <v>1080</v>
      </c>
      <c r="BU15" s="552">
        <v>9</v>
      </c>
      <c r="BV15" s="549" t="s">
        <v>1121</v>
      </c>
      <c r="CA15" s="545">
        <v>13</v>
      </c>
      <c r="CB15" s="549" t="s">
        <v>1149</v>
      </c>
      <c r="CG15" s="545">
        <v>13</v>
      </c>
      <c r="CH15" s="549" t="s">
        <v>1150</v>
      </c>
      <c r="CJ15" s="545">
        <v>12</v>
      </c>
      <c r="CK15" s="549" t="s">
        <v>1143</v>
      </c>
      <c r="CP15" s="545">
        <v>11</v>
      </c>
      <c r="CQ15" s="549" t="s">
        <v>1136</v>
      </c>
      <c r="CS15" s="545">
        <v>38</v>
      </c>
      <c r="CT15" s="549" t="s">
        <v>1683</v>
      </c>
      <c r="CY15" s="547">
        <v>13</v>
      </c>
      <c r="CZ15" s="550" t="s">
        <v>789</v>
      </c>
      <c r="DB15" s="545">
        <v>12</v>
      </c>
      <c r="DC15" s="549" t="s">
        <v>1146</v>
      </c>
      <c r="DE15" s="547">
        <v>11</v>
      </c>
      <c r="DF15" s="550" t="s">
        <v>1128</v>
      </c>
      <c r="DH15" s="379">
        <v>50</v>
      </c>
      <c r="DI15" s="380" t="s">
        <v>384</v>
      </c>
    </row>
    <row r="16" spans="1:119" ht="18" customHeight="1" x14ac:dyDescent="0.25">
      <c r="A16" s="375">
        <v>10</v>
      </c>
      <c r="B16" s="382" t="s">
        <v>318</v>
      </c>
      <c r="G16" s="545">
        <v>14</v>
      </c>
      <c r="H16" s="549" t="s">
        <v>694</v>
      </c>
      <c r="J16" s="545">
        <v>22</v>
      </c>
      <c r="K16" s="549" t="s">
        <v>1745</v>
      </c>
      <c r="M16" s="545">
        <v>25</v>
      </c>
      <c r="N16" s="549" t="s">
        <v>1632</v>
      </c>
      <c r="O16" s="378"/>
      <c r="P16" s="545">
        <v>45</v>
      </c>
      <c r="Q16" s="549" t="s">
        <v>1391</v>
      </c>
      <c r="R16" s="378"/>
      <c r="S16" s="378"/>
      <c r="V16" s="545">
        <v>13</v>
      </c>
      <c r="W16" s="549" t="s">
        <v>798</v>
      </c>
      <c r="AE16" s="545">
        <v>12</v>
      </c>
      <c r="AF16" s="549" t="s">
        <v>826</v>
      </c>
      <c r="AK16" s="545">
        <v>14</v>
      </c>
      <c r="AL16" s="549" t="s">
        <v>847</v>
      </c>
      <c r="AN16" s="545">
        <v>12</v>
      </c>
      <c r="AO16" s="549" t="s">
        <v>884</v>
      </c>
      <c r="AQ16" s="545">
        <v>14</v>
      </c>
      <c r="AR16" s="549" t="s">
        <v>906</v>
      </c>
      <c r="AT16" s="545">
        <v>15</v>
      </c>
      <c r="AU16" s="549" t="s">
        <v>922</v>
      </c>
      <c r="AW16" s="545">
        <v>14</v>
      </c>
      <c r="AX16" s="549" t="s">
        <v>1392</v>
      </c>
      <c r="AZ16" s="545">
        <v>14</v>
      </c>
      <c r="BA16" s="549" t="s">
        <v>1389</v>
      </c>
      <c r="BC16" s="545">
        <v>12</v>
      </c>
      <c r="BD16" s="549" t="s">
        <v>990</v>
      </c>
      <c r="BI16" s="545">
        <v>14</v>
      </c>
      <c r="BJ16" s="549" t="s">
        <v>1154</v>
      </c>
      <c r="BL16" s="545">
        <v>13</v>
      </c>
      <c r="BM16" s="549" t="s">
        <v>1148</v>
      </c>
      <c r="BO16" s="552">
        <v>8</v>
      </c>
      <c r="BP16" s="553" t="s">
        <v>1094</v>
      </c>
      <c r="CA16" s="545">
        <v>14</v>
      </c>
      <c r="CB16" s="549" t="s">
        <v>1156</v>
      </c>
      <c r="CG16" s="545">
        <v>14</v>
      </c>
      <c r="CH16" s="549" t="s">
        <v>1157</v>
      </c>
      <c r="CJ16" s="545">
        <v>13</v>
      </c>
      <c r="CK16" s="549" t="s">
        <v>1151</v>
      </c>
      <c r="CP16" s="545">
        <v>12</v>
      </c>
      <c r="CQ16" s="549" t="s">
        <v>1144</v>
      </c>
      <c r="CS16" s="545">
        <v>39</v>
      </c>
      <c r="CT16" s="549" t="s">
        <v>1088</v>
      </c>
      <c r="CY16" s="547">
        <v>14</v>
      </c>
      <c r="CZ16" s="550" t="s">
        <v>1160</v>
      </c>
      <c r="DB16" s="552">
        <v>13</v>
      </c>
      <c r="DC16" s="553" t="s">
        <v>1153</v>
      </c>
      <c r="DE16" s="547">
        <v>12</v>
      </c>
      <c r="DF16" s="550" t="s">
        <v>1139</v>
      </c>
      <c r="DH16" s="379">
        <v>51</v>
      </c>
      <c r="DI16" s="380" t="s">
        <v>367</v>
      </c>
    </row>
    <row r="17" spans="1:113" ht="18" customHeight="1" x14ac:dyDescent="0.25">
      <c r="A17" s="381">
        <v>11</v>
      </c>
      <c r="B17" s="382" t="s">
        <v>320</v>
      </c>
      <c r="G17" s="545">
        <v>15</v>
      </c>
      <c r="H17" s="549" t="s">
        <v>695</v>
      </c>
      <c r="J17" s="545">
        <v>20</v>
      </c>
      <c r="K17" s="549" t="s">
        <v>1644</v>
      </c>
      <c r="M17" s="545">
        <v>12</v>
      </c>
      <c r="N17" s="549" t="s">
        <v>373</v>
      </c>
      <c r="O17" s="378"/>
      <c r="P17" s="545">
        <v>13</v>
      </c>
      <c r="Q17" s="549" t="s">
        <v>758</v>
      </c>
      <c r="R17" s="378"/>
      <c r="S17" s="378"/>
      <c r="V17" s="545">
        <v>14</v>
      </c>
      <c r="W17" s="549" t="s">
        <v>799</v>
      </c>
      <c r="AE17" s="545">
        <v>20</v>
      </c>
      <c r="AF17" s="384" t="s">
        <v>1746</v>
      </c>
      <c r="AK17" s="545">
        <v>15</v>
      </c>
      <c r="AL17" s="549" t="s">
        <v>848</v>
      </c>
      <c r="AN17" s="545">
        <v>13</v>
      </c>
      <c r="AO17" s="549" t="s">
        <v>885</v>
      </c>
      <c r="AQ17" s="545">
        <v>15</v>
      </c>
      <c r="AR17" s="549" t="s">
        <v>907</v>
      </c>
      <c r="AT17" s="545">
        <v>16</v>
      </c>
      <c r="AU17" s="549" t="s">
        <v>923</v>
      </c>
      <c r="AW17" s="545">
        <v>15</v>
      </c>
      <c r="AX17" s="549" t="s">
        <v>950</v>
      </c>
      <c r="AZ17" s="545">
        <v>15</v>
      </c>
      <c r="BA17" s="549" t="s">
        <v>967</v>
      </c>
      <c r="BC17" s="545">
        <v>13</v>
      </c>
      <c r="BD17" s="549" t="s">
        <v>991</v>
      </c>
      <c r="BI17" s="545">
        <v>15</v>
      </c>
      <c r="BJ17" s="549" t="s">
        <v>1362</v>
      </c>
      <c r="BL17" s="545">
        <v>14</v>
      </c>
      <c r="BM17" s="549" t="s">
        <v>1155</v>
      </c>
      <c r="BO17" s="552">
        <v>14</v>
      </c>
      <c r="BP17" s="553" t="s">
        <v>1747</v>
      </c>
      <c r="CA17" s="545">
        <v>15</v>
      </c>
      <c r="CB17" s="549" t="s">
        <v>1162</v>
      </c>
      <c r="CG17" s="545">
        <v>15</v>
      </c>
      <c r="CH17" s="549" t="s">
        <v>1163</v>
      </c>
      <c r="CJ17" s="545">
        <v>43</v>
      </c>
      <c r="CK17" s="549" t="s">
        <v>1673</v>
      </c>
      <c r="CP17" s="545">
        <v>13</v>
      </c>
      <c r="CQ17" s="549" t="s">
        <v>1390</v>
      </c>
      <c r="CS17" s="545">
        <v>49</v>
      </c>
      <c r="CT17" s="549" t="s">
        <v>1748</v>
      </c>
      <c r="CY17" s="547">
        <v>15</v>
      </c>
      <c r="CZ17" s="550" t="s">
        <v>1166</v>
      </c>
      <c r="DE17" s="547">
        <v>33</v>
      </c>
      <c r="DF17" s="550" t="s">
        <v>1708</v>
      </c>
      <c r="DH17" s="379">
        <v>52</v>
      </c>
      <c r="DI17" s="380" t="s">
        <v>386</v>
      </c>
    </row>
    <row r="18" spans="1:113" ht="18" customHeight="1" x14ac:dyDescent="0.25">
      <c r="A18" s="375">
        <v>12</v>
      </c>
      <c r="B18" s="382" t="s">
        <v>322</v>
      </c>
      <c r="G18" s="545">
        <v>16</v>
      </c>
      <c r="H18" s="549" t="s">
        <v>1393</v>
      </c>
      <c r="J18" s="545">
        <v>26</v>
      </c>
      <c r="K18" s="549" t="s">
        <v>1749</v>
      </c>
      <c r="M18" s="545">
        <v>13</v>
      </c>
      <c r="N18" s="549" t="s">
        <v>727</v>
      </c>
      <c r="O18" s="378"/>
      <c r="P18" s="545">
        <v>14</v>
      </c>
      <c r="Q18" s="549" t="s">
        <v>759</v>
      </c>
      <c r="R18" s="378"/>
      <c r="S18" s="378"/>
      <c r="V18" s="545">
        <v>15</v>
      </c>
      <c r="W18" s="549" t="s">
        <v>800</v>
      </c>
      <c r="AE18" s="545">
        <v>21</v>
      </c>
      <c r="AF18" s="384" t="s">
        <v>1750</v>
      </c>
      <c r="AK18" s="545">
        <v>16</v>
      </c>
      <c r="AL18" s="549" t="s">
        <v>849</v>
      </c>
      <c r="AN18" s="545">
        <v>14</v>
      </c>
      <c r="AO18" s="549" t="s">
        <v>886</v>
      </c>
      <c r="AT18" s="545">
        <v>18</v>
      </c>
      <c r="AU18" s="549" t="s">
        <v>925</v>
      </c>
      <c r="AW18" s="545">
        <v>16</v>
      </c>
      <c r="AX18" s="549" t="s">
        <v>951</v>
      </c>
      <c r="AZ18" s="545">
        <v>17</v>
      </c>
      <c r="BA18" s="549" t="s">
        <v>968</v>
      </c>
      <c r="BC18" s="545">
        <v>14</v>
      </c>
      <c r="BD18" s="549" t="s">
        <v>992</v>
      </c>
      <c r="BI18" s="545">
        <v>16</v>
      </c>
      <c r="BJ18" s="549" t="s">
        <v>1167</v>
      </c>
      <c r="BL18" s="545">
        <v>15</v>
      </c>
      <c r="BM18" s="549" t="s">
        <v>1161</v>
      </c>
      <c r="BO18" s="552">
        <v>9</v>
      </c>
      <c r="BP18" s="553" t="s">
        <v>1108</v>
      </c>
      <c r="CA18" s="545">
        <v>16</v>
      </c>
      <c r="CB18" s="549" t="s">
        <v>1169</v>
      </c>
      <c r="CG18" s="545">
        <v>16</v>
      </c>
      <c r="CH18" s="549" t="s">
        <v>1170</v>
      </c>
      <c r="CJ18" s="545">
        <v>14</v>
      </c>
      <c r="CK18" s="549" t="s">
        <v>1158</v>
      </c>
      <c r="CP18" s="545">
        <v>14</v>
      </c>
      <c r="CQ18" s="549" t="s">
        <v>1152</v>
      </c>
      <c r="CS18" s="545">
        <v>40</v>
      </c>
      <c r="CT18" s="549" t="s">
        <v>1684</v>
      </c>
      <c r="CY18" s="547">
        <v>16</v>
      </c>
      <c r="CZ18" s="550" t="s">
        <v>1173</v>
      </c>
      <c r="DE18" s="547">
        <v>13</v>
      </c>
      <c r="DF18" s="550" t="s">
        <v>1709</v>
      </c>
      <c r="DH18" s="379">
        <v>53</v>
      </c>
      <c r="DI18" s="380" t="s">
        <v>387</v>
      </c>
    </row>
    <row r="19" spans="1:113" ht="18" customHeight="1" x14ac:dyDescent="0.25">
      <c r="A19" s="381">
        <v>34</v>
      </c>
      <c r="B19" s="382" t="s">
        <v>1718</v>
      </c>
      <c r="G19" s="545">
        <v>17</v>
      </c>
      <c r="H19" s="549" t="s">
        <v>696</v>
      </c>
      <c r="J19" s="545">
        <v>11</v>
      </c>
      <c r="K19" s="549" t="s">
        <v>709</v>
      </c>
      <c r="M19" s="545">
        <v>14</v>
      </c>
      <c r="N19" s="549" t="s">
        <v>728</v>
      </c>
      <c r="O19" s="378"/>
      <c r="P19" s="545">
        <v>15</v>
      </c>
      <c r="Q19" s="549" t="s">
        <v>1395</v>
      </c>
      <c r="R19" s="378"/>
      <c r="S19" s="378"/>
      <c r="V19" s="545">
        <v>16</v>
      </c>
      <c r="W19" s="549" t="s">
        <v>801</v>
      </c>
      <c r="AE19" s="545">
        <v>13</v>
      </c>
      <c r="AF19" s="549" t="s">
        <v>681</v>
      </c>
      <c r="AK19" s="545">
        <v>17</v>
      </c>
      <c r="AL19" s="549" t="s">
        <v>850</v>
      </c>
      <c r="AN19" s="545">
        <v>15</v>
      </c>
      <c r="AO19" s="549" t="s">
        <v>887</v>
      </c>
      <c r="AT19" s="545">
        <v>19</v>
      </c>
      <c r="AU19" s="549" t="s">
        <v>926</v>
      </c>
      <c r="AW19" s="545">
        <v>17</v>
      </c>
      <c r="AX19" s="549" t="s">
        <v>952</v>
      </c>
      <c r="AZ19" s="545">
        <v>18</v>
      </c>
      <c r="BA19" s="549" t="s">
        <v>969</v>
      </c>
      <c r="BC19" s="545">
        <v>15</v>
      </c>
      <c r="BD19" s="549" t="s">
        <v>975</v>
      </c>
      <c r="BI19" s="545">
        <v>17</v>
      </c>
      <c r="BJ19" s="549" t="s">
        <v>1174</v>
      </c>
      <c r="BL19" s="545">
        <v>16</v>
      </c>
      <c r="BM19" s="549" t="s">
        <v>1168</v>
      </c>
      <c r="BO19" s="552">
        <v>10</v>
      </c>
      <c r="BP19" s="553" t="s">
        <v>1119</v>
      </c>
      <c r="CA19" s="545">
        <v>17</v>
      </c>
      <c r="CB19" s="549" t="s">
        <v>1176</v>
      </c>
      <c r="CG19" s="545">
        <v>17</v>
      </c>
      <c r="CH19" s="549" t="s">
        <v>1177</v>
      </c>
      <c r="CJ19" s="545">
        <v>15</v>
      </c>
      <c r="CK19" s="549" t="s">
        <v>1164</v>
      </c>
      <c r="CP19" s="545">
        <v>46</v>
      </c>
      <c r="CQ19" s="549" t="s">
        <v>1751</v>
      </c>
      <c r="CS19" s="545">
        <v>41</v>
      </c>
      <c r="CT19" s="549" t="s">
        <v>1102</v>
      </c>
      <c r="CY19" s="547">
        <v>17</v>
      </c>
      <c r="CZ19" s="550" t="s">
        <v>1180</v>
      </c>
      <c r="DE19" s="547">
        <v>14</v>
      </c>
      <c r="DF19" s="550" t="s">
        <v>1394</v>
      </c>
      <c r="DH19" s="379">
        <v>54</v>
      </c>
      <c r="DI19" s="380" t="s">
        <v>389</v>
      </c>
    </row>
    <row r="20" spans="1:113" ht="18" customHeight="1" x14ac:dyDescent="0.25">
      <c r="A20" s="375">
        <v>35</v>
      </c>
      <c r="B20" s="382" t="s">
        <v>324</v>
      </c>
      <c r="G20" s="545">
        <v>18</v>
      </c>
      <c r="H20" s="549" t="s">
        <v>697</v>
      </c>
      <c r="J20" s="545">
        <v>12</v>
      </c>
      <c r="K20" s="549" t="s">
        <v>710</v>
      </c>
      <c r="M20" s="545">
        <v>15</v>
      </c>
      <c r="N20" s="549" t="s">
        <v>729</v>
      </c>
      <c r="O20" s="378"/>
      <c r="P20" s="545">
        <v>16</v>
      </c>
      <c r="Q20" s="549" t="s">
        <v>760</v>
      </c>
      <c r="R20" s="378"/>
      <c r="S20" s="378"/>
      <c r="V20" s="545">
        <v>17</v>
      </c>
      <c r="W20" s="549" t="s">
        <v>802</v>
      </c>
      <c r="AE20" s="545">
        <v>14</v>
      </c>
      <c r="AF20" s="549" t="s">
        <v>827</v>
      </c>
      <c r="AK20" s="545">
        <v>18</v>
      </c>
      <c r="AL20" s="549" t="s">
        <v>851</v>
      </c>
      <c r="AN20" s="545">
        <v>16</v>
      </c>
      <c r="AO20" s="549" t="s">
        <v>888</v>
      </c>
      <c r="AT20" s="545">
        <v>20</v>
      </c>
      <c r="AU20" s="549" t="s">
        <v>927</v>
      </c>
      <c r="AW20" s="545">
        <v>18</v>
      </c>
      <c r="AX20" s="549" t="s">
        <v>953</v>
      </c>
      <c r="AZ20" s="545">
        <v>19</v>
      </c>
      <c r="BA20" s="549" t="s">
        <v>1396</v>
      </c>
      <c r="BC20" s="545">
        <v>16</v>
      </c>
      <c r="BD20" s="549" t="s">
        <v>993</v>
      </c>
      <c r="BI20" s="545">
        <v>18</v>
      </c>
      <c r="BJ20" s="549" t="s">
        <v>1182</v>
      </c>
      <c r="BL20" s="545">
        <v>17</v>
      </c>
      <c r="BM20" s="549" t="s">
        <v>1175</v>
      </c>
      <c r="BO20" s="552"/>
      <c r="CA20" s="545">
        <v>18</v>
      </c>
      <c r="CB20" s="549" t="s">
        <v>1184</v>
      </c>
      <c r="CG20" s="545">
        <v>18</v>
      </c>
      <c r="CH20" s="549" t="s">
        <v>1185</v>
      </c>
      <c r="CJ20" s="545">
        <v>16</v>
      </c>
      <c r="CK20" s="549" t="s">
        <v>1171</v>
      </c>
      <c r="CP20" s="545">
        <v>15</v>
      </c>
      <c r="CQ20" s="549" t="s">
        <v>1159</v>
      </c>
      <c r="CS20" s="545">
        <v>50</v>
      </c>
      <c r="CT20" s="549" t="s">
        <v>1752</v>
      </c>
      <c r="CY20" s="547">
        <v>18</v>
      </c>
      <c r="CZ20" s="550" t="s">
        <v>1194</v>
      </c>
      <c r="DE20" s="547">
        <v>15</v>
      </c>
      <c r="DF20" s="550" t="s">
        <v>1710</v>
      </c>
      <c r="DH20" s="379">
        <v>55</v>
      </c>
      <c r="DI20" s="380" t="s">
        <v>391</v>
      </c>
    </row>
    <row r="21" spans="1:113" ht="18" customHeight="1" x14ac:dyDescent="0.25">
      <c r="A21" s="381">
        <v>13</v>
      </c>
      <c r="B21" s="382" t="s">
        <v>326</v>
      </c>
      <c r="G21" s="545">
        <v>19</v>
      </c>
      <c r="H21" s="549" t="s">
        <v>698</v>
      </c>
      <c r="J21" s="545">
        <v>24</v>
      </c>
      <c r="K21" s="549" t="s">
        <v>1753</v>
      </c>
      <c r="M21" s="545">
        <v>16</v>
      </c>
      <c r="N21" s="549" t="s">
        <v>730</v>
      </c>
      <c r="O21" s="378"/>
      <c r="P21" s="545">
        <v>17</v>
      </c>
      <c r="Q21" s="549" t="s">
        <v>761</v>
      </c>
      <c r="R21" s="378"/>
      <c r="S21" s="378"/>
      <c r="V21" s="545">
        <v>18</v>
      </c>
      <c r="W21" s="549" t="s">
        <v>803</v>
      </c>
      <c r="AE21" s="545">
        <v>15</v>
      </c>
      <c r="AF21" s="549" t="s">
        <v>828</v>
      </c>
      <c r="AK21" s="545">
        <v>19</v>
      </c>
      <c r="AL21" s="549" t="s">
        <v>852</v>
      </c>
      <c r="AN21" s="545">
        <v>17</v>
      </c>
      <c r="AO21" s="549" t="s">
        <v>889</v>
      </c>
      <c r="AT21" s="545">
        <v>21</v>
      </c>
      <c r="AU21" s="549" t="s">
        <v>928</v>
      </c>
      <c r="AW21" s="545">
        <v>19</v>
      </c>
      <c r="AX21" s="549" t="s">
        <v>954</v>
      </c>
      <c r="AZ21" s="545">
        <v>20</v>
      </c>
      <c r="BA21" s="549" t="s">
        <v>392</v>
      </c>
      <c r="BC21" s="545">
        <v>17</v>
      </c>
      <c r="BD21" s="549" t="s">
        <v>994</v>
      </c>
      <c r="BI21" s="545">
        <v>19</v>
      </c>
      <c r="BJ21" s="549" t="s">
        <v>1188</v>
      </c>
      <c r="BL21" s="545">
        <v>18</v>
      </c>
      <c r="BM21" s="549" t="s">
        <v>1183</v>
      </c>
      <c r="CA21" s="545">
        <v>19</v>
      </c>
      <c r="CB21" s="549" t="s">
        <v>1190</v>
      </c>
      <c r="CG21" s="545">
        <v>29</v>
      </c>
      <c r="CH21" s="549" t="s">
        <v>1794</v>
      </c>
      <c r="CJ21" s="545">
        <v>17</v>
      </c>
      <c r="CK21" s="549" t="s">
        <v>1178</v>
      </c>
      <c r="CP21" s="545">
        <v>16</v>
      </c>
      <c r="CQ21" s="549" t="s">
        <v>1165</v>
      </c>
      <c r="CS21" s="545">
        <v>42</v>
      </c>
      <c r="CT21" s="549" t="s">
        <v>1685</v>
      </c>
      <c r="CY21" s="547">
        <v>19</v>
      </c>
      <c r="CZ21" s="550" t="s">
        <v>1200</v>
      </c>
      <c r="DE21" s="547">
        <v>16</v>
      </c>
      <c r="DF21" s="550" t="s">
        <v>1711</v>
      </c>
      <c r="DH21" s="379">
        <v>56</v>
      </c>
      <c r="DI21" s="380" t="s">
        <v>393</v>
      </c>
    </row>
    <row r="22" spans="1:113" ht="18" customHeight="1" x14ac:dyDescent="0.25">
      <c r="A22" s="375">
        <v>14</v>
      </c>
      <c r="B22" s="382" t="s">
        <v>328</v>
      </c>
      <c r="G22" s="545">
        <v>20</v>
      </c>
      <c r="H22" s="549" t="s">
        <v>699</v>
      </c>
      <c r="J22" s="545">
        <v>21</v>
      </c>
      <c r="K22" s="549" t="s">
        <v>1645</v>
      </c>
      <c r="M22" s="545">
        <v>17</v>
      </c>
      <c r="N22" s="549" t="s">
        <v>1631</v>
      </c>
      <c r="O22" s="378"/>
      <c r="P22" s="545">
        <v>18</v>
      </c>
      <c r="Q22" s="549" t="s">
        <v>762</v>
      </c>
      <c r="R22" s="378"/>
      <c r="S22" s="378"/>
      <c r="V22" s="545">
        <v>19</v>
      </c>
      <c r="W22" s="549" t="s">
        <v>804</v>
      </c>
      <c r="AE22" s="552">
        <v>16</v>
      </c>
      <c r="AF22" s="555" t="s">
        <v>829</v>
      </c>
      <c r="AK22" s="545">
        <v>20</v>
      </c>
      <c r="AL22" s="549" t="s">
        <v>853</v>
      </c>
      <c r="AN22" s="545">
        <v>18</v>
      </c>
      <c r="AO22" s="549" t="s">
        <v>890</v>
      </c>
      <c r="AT22" s="545">
        <v>22</v>
      </c>
      <c r="AU22" s="549" t="s">
        <v>929</v>
      </c>
      <c r="AW22" s="545">
        <v>20</v>
      </c>
      <c r="AX22" s="549" t="s">
        <v>955</v>
      </c>
      <c r="AZ22" s="545">
        <v>29</v>
      </c>
      <c r="BA22" s="549" t="s">
        <v>1398</v>
      </c>
      <c r="BC22" s="545">
        <v>18</v>
      </c>
      <c r="BD22" s="549" t="s">
        <v>995</v>
      </c>
      <c r="BI22" s="545">
        <v>20</v>
      </c>
      <c r="BJ22" s="549" t="s">
        <v>1195</v>
      </c>
      <c r="BL22" s="545">
        <v>49</v>
      </c>
      <c r="BM22" s="549" t="s">
        <v>1754</v>
      </c>
      <c r="CA22" s="545">
        <v>20</v>
      </c>
      <c r="CB22" s="549" t="s">
        <v>1196</v>
      </c>
      <c r="CG22" s="545">
        <v>19</v>
      </c>
      <c r="CH22" s="549" t="s">
        <v>1191</v>
      </c>
      <c r="CJ22" s="545">
        <v>18</v>
      </c>
      <c r="CK22" s="549" t="s">
        <v>1186</v>
      </c>
      <c r="CP22" s="545">
        <v>17</v>
      </c>
      <c r="CQ22" s="549" t="s">
        <v>1172</v>
      </c>
      <c r="CS22" s="545">
        <v>25</v>
      </c>
      <c r="CT22" s="549" t="s">
        <v>1698</v>
      </c>
      <c r="CY22" s="547">
        <v>20</v>
      </c>
      <c r="CZ22" s="550" t="s">
        <v>1208</v>
      </c>
      <c r="DE22" s="547">
        <v>39</v>
      </c>
      <c r="DF22" s="550" t="s">
        <v>1755</v>
      </c>
      <c r="DH22" s="379">
        <v>57</v>
      </c>
      <c r="DI22" s="380" t="s">
        <v>394</v>
      </c>
    </row>
    <row r="23" spans="1:113" ht="18" customHeight="1" x14ac:dyDescent="0.25">
      <c r="A23" s="381">
        <v>15</v>
      </c>
      <c r="B23" s="382" t="s">
        <v>330</v>
      </c>
      <c r="J23" s="545">
        <v>13</v>
      </c>
      <c r="K23" s="549" t="s">
        <v>711</v>
      </c>
      <c r="M23" s="545">
        <v>38</v>
      </c>
      <c r="N23" s="549" t="s">
        <v>1636</v>
      </c>
      <c r="O23" s="378"/>
      <c r="P23" s="545">
        <v>19</v>
      </c>
      <c r="Q23" s="549" t="s">
        <v>1402</v>
      </c>
      <c r="R23" s="378"/>
      <c r="S23" s="378"/>
      <c r="V23" s="545">
        <v>20</v>
      </c>
      <c r="W23" s="549" t="s">
        <v>805</v>
      </c>
      <c r="AE23" s="552">
        <v>17</v>
      </c>
      <c r="AF23" s="555" t="s">
        <v>830</v>
      </c>
      <c r="AK23" s="545">
        <v>21</v>
      </c>
      <c r="AL23" s="549" t="s">
        <v>854</v>
      </c>
      <c r="AN23" s="545">
        <v>19</v>
      </c>
      <c r="AO23" s="549" t="s">
        <v>891</v>
      </c>
      <c r="AT23" s="545">
        <v>23</v>
      </c>
      <c r="AU23" s="549" t="s">
        <v>930</v>
      </c>
      <c r="AW23" s="545">
        <v>21</v>
      </c>
      <c r="AX23" s="549" t="s">
        <v>956</v>
      </c>
      <c r="AZ23" s="545">
        <v>16</v>
      </c>
      <c r="BA23" s="549" t="s">
        <v>1756</v>
      </c>
      <c r="BC23" s="556">
        <v>19</v>
      </c>
      <c r="BD23" s="555" t="s">
        <v>996</v>
      </c>
      <c r="BI23" s="545">
        <v>21</v>
      </c>
      <c r="BJ23" s="549" t="s">
        <v>1202</v>
      </c>
      <c r="BL23" s="545">
        <v>19</v>
      </c>
      <c r="BM23" s="549" t="s">
        <v>1189</v>
      </c>
      <c r="CA23" s="545">
        <v>21</v>
      </c>
      <c r="CB23" s="549" t="s">
        <v>1204</v>
      </c>
      <c r="CG23" s="545">
        <v>20</v>
      </c>
      <c r="CH23" s="549" t="s">
        <v>1197</v>
      </c>
      <c r="CJ23" s="545">
        <v>48</v>
      </c>
      <c r="CK23" s="549" t="s">
        <v>1757</v>
      </c>
      <c r="CP23" s="545">
        <v>18</v>
      </c>
      <c r="CQ23" s="549" t="s">
        <v>1179</v>
      </c>
      <c r="CS23" s="545">
        <v>26</v>
      </c>
      <c r="CT23" s="549" t="s">
        <v>1699</v>
      </c>
      <c r="CY23" s="547">
        <v>21</v>
      </c>
      <c r="CZ23" s="550" t="s">
        <v>1215</v>
      </c>
      <c r="DE23" s="547">
        <v>17</v>
      </c>
      <c r="DF23" s="550" t="s">
        <v>1181</v>
      </c>
      <c r="DH23" s="379">
        <v>58</v>
      </c>
      <c r="DI23" s="380" t="s">
        <v>383</v>
      </c>
    </row>
    <row r="24" spans="1:113" ht="18" customHeight="1" x14ac:dyDescent="0.25">
      <c r="A24" s="375">
        <v>16</v>
      </c>
      <c r="B24" s="382" t="s">
        <v>332</v>
      </c>
      <c r="G24" s="385"/>
      <c r="J24" s="552">
        <v>14</v>
      </c>
      <c r="K24" s="553" t="s">
        <v>712</v>
      </c>
      <c r="M24" s="545">
        <v>18</v>
      </c>
      <c r="N24" s="549" t="s">
        <v>731</v>
      </c>
      <c r="O24" s="378"/>
      <c r="P24" s="545">
        <v>20</v>
      </c>
      <c r="Q24" s="549" t="s">
        <v>763</v>
      </c>
      <c r="R24" s="378"/>
      <c r="S24" s="378"/>
      <c r="V24" s="545">
        <v>21</v>
      </c>
      <c r="W24" s="549" t="s">
        <v>806</v>
      </c>
      <c r="AE24" s="552">
        <v>18</v>
      </c>
      <c r="AF24" s="555" t="s">
        <v>831</v>
      </c>
      <c r="AK24" s="545">
        <v>22</v>
      </c>
      <c r="AL24" s="549" t="s">
        <v>855</v>
      </c>
      <c r="AN24" s="545">
        <v>20</v>
      </c>
      <c r="AO24" s="549" t="s">
        <v>892</v>
      </c>
      <c r="AT24" s="545">
        <v>24</v>
      </c>
      <c r="AU24" s="549" t="s">
        <v>931</v>
      </c>
      <c r="AW24" s="545">
        <v>22</v>
      </c>
      <c r="AX24" s="549" t="s">
        <v>957</v>
      </c>
      <c r="AZ24" s="545">
        <v>37</v>
      </c>
      <c r="BA24" s="549" t="s">
        <v>1758</v>
      </c>
      <c r="BC24" s="556">
        <v>20</v>
      </c>
      <c r="BD24" s="555" t="s">
        <v>997</v>
      </c>
      <c r="BI24" s="545">
        <v>22</v>
      </c>
      <c r="BJ24" s="549" t="s">
        <v>1210</v>
      </c>
      <c r="BL24" s="545">
        <v>20</v>
      </c>
      <c r="BM24" s="549" t="s">
        <v>1400</v>
      </c>
      <c r="CA24" s="545">
        <v>22</v>
      </c>
      <c r="CB24" s="549" t="s">
        <v>1211</v>
      </c>
      <c r="CG24" s="545">
        <v>21</v>
      </c>
      <c r="CH24" s="549" t="s">
        <v>1205</v>
      </c>
      <c r="CJ24" s="545">
        <v>19</v>
      </c>
      <c r="CK24" s="549" t="s">
        <v>1192</v>
      </c>
      <c r="CP24" s="545">
        <v>19</v>
      </c>
      <c r="CQ24" s="549" t="s">
        <v>1187</v>
      </c>
      <c r="CS24" s="545">
        <v>48</v>
      </c>
      <c r="CT24" s="549" t="s">
        <v>1700</v>
      </c>
      <c r="CY24" s="547">
        <v>22</v>
      </c>
      <c r="CZ24" s="550" t="s">
        <v>1232</v>
      </c>
      <c r="DE24" s="547">
        <v>46</v>
      </c>
      <c r="DF24" s="550" t="s">
        <v>1759</v>
      </c>
      <c r="DH24" s="379">
        <v>59</v>
      </c>
      <c r="DI24" s="380" t="s">
        <v>396</v>
      </c>
    </row>
    <row r="25" spans="1:113" ht="18" customHeight="1" x14ac:dyDescent="0.25">
      <c r="A25" s="381">
        <v>17</v>
      </c>
      <c r="B25" s="382" t="s">
        <v>334</v>
      </c>
      <c r="J25" s="545">
        <v>15</v>
      </c>
      <c r="K25" s="553" t="s">
        <v>713</v>
      </c>
      <c r="M25" s="545">
        <v>19</v>
      </c>
      <c r="N25" s="549" t="s">
        <v>732</v>
      </c>
      <c r="O25" s="378"/>
      <c r="P25" s="545">
        <v>21</v>
      </c>
      <c r="Q25" s="549" t="s">
        <v>764</v>
      </c>
      <c r="R25" s="378"/>
      <c r="S25" s="378"/>
      <c r="V25" s="545">
        <v>22</v>
      </c>
      <c r="W25" s="549" t="s">
        <v>807</v>
      </c>
      <c r="AE25" s="552">
        <v>19</v>
      </c>
      <c r="AF25" s="555" t="s">
        <v>832</v>
      </c>
      <c r="AK25" s="545">
        <v>23</v>
      </c>
      <c r="AL25" s="549" t="s">
        <v>856</v>
      </c>
      <c r="AN25" s="552">
        <v>21</v>
      </c>
      <c r="AO25" s="555" t="s">
        <v>893</v>
      </c>
      <c r="AT25" s="545">
        <v>25</v>
      </c>
      <c r="AU25" s="549" t="s">
        <v>932</v>
      </c>
      <c r="AW25" s="545">
        <v>23</v>
      </c>
      <c r="AX25" s="549" t="s">
        <v>958</v>
      </c>
      <c r="AZ25" s="545">
        <v>21</v>
      </c>
      <c r="BA25" s="549" t="s">
        <v>970</v>
      </c>
      <c r="BI25" s="545">
        <v>23</v>
      </c>
      <c r="BJ25" s="549" t="s">
        <v>1216</v>
      </c>
      <c r="BL25" s="545">
        <v>21</v>
      </c>
      <c r="BM25" s="549" t="s">
        <v>1203</v>
      </c>
      <c r="CA25" s="545">
        <v>23</v>
      </c>
      <c r="CB25" s="549" t="s">
        <v>1218</v>
      </c>
      <c r="CG25" s="545">
        <v>22</v>
      </c>
      <c r="CH25" s="549" t="s">
        <v>1212</v>
      </c>
      <c r="CJ25" s="545">
        <v>44</v>
      </c>
      <c r="CK25" s="549" t="s">
        <v>1672</v>
      </c>
      <c r="CP25" s="545">
        <v>21</v>
      </c>
      <c r="CQ25" s="549" t="s">
        <v>1401</v>
      </c>
      <c r="CS25" s="545">
        <v>43</v>
      </c>
      <c r="CT25" s="549" t="s">
        <v>1686</v>
      </c>
      <c r="CY25" s="547">
        <v>23</v>
      </c>
      <c r="CZ25" s="550" t="s">
        <v>1238</v>
      </c>
      <c r="DE25" s="547">
        <v>18</v>
      </c>
      <c r="DF25" s="550" t="s">
        <v>1397</v>
      </c>
      <c r="DH25" s="379">
        <v>60</v>
      </c>
      <c r="DI25" s="380" t="s">
        <v>375</v>
      </c>
    </row>
    <row r="26" spans="1:113" ht="18" customHeight="1" x14ac:dyDescent="0.25">
      <c r="A26" s="375">
        <v>18</v>
      </c>
      <c r="B26" s="382" t="s">
        <v>336</v>
      </c>
      <c r="J26" s="552">
        <v>16</v>
      </c>
      <c r="K26" s="553" t="s">
        <v>714</v>
      </c>
      <c r="M26" s="545">
        <v>20</v>
      </c>
      <c r="N26" s="549" t="s">
        <v>733</v>
      </c>
      <c r="O26" s="378"/>
      <c r="P26" s="545">
        <v>22</v>
      </c>
      <c r="Q26" s="549" t="s">
        <v>765</v>
      </c>
      <c r="R26" s="378"/>
      <c r="S26" s="378"/>
      <c r="V26" s="545">
        <v>23</v>
      </c>
      <c r="W26" s="549" t="s">
        <v>808</v>
      </c>
      <c r="AK26" s="545">
        <v>24</v>
      </c>
      <c r="AL26" s="549" t="s">
        <v>857</v>
      </c>
      <c r="AN26" s="552">
        <v>22</v>
      </c>
      <c r="AO26" s="557" t="s">
        <v>894</v>
      </c>
      <c r="AT26" s="545">
        <v>26</v>
      </c>
      <c r="AU26" s="549" t="s">
        <v>933</v>
      </c>
      <c r="AW26" s="545">
        <v>24</v>
      </c>
      <c r="AX26" s="549" t="s">
        <v>959</v>
      </c>
      <c r="AZ26" s="545">
        <v>22</v>
      </c>
      <c r="BA26" s="549" t="s">
        <v>971</v>
      </c>
      <c r="BI26" s="545">
        <v>24</v>
      </c>
      <c r="BJ26" s="549" t="s">
        <v>1406</v>
      </c>
      <c r="BL26" s="545">
        <v>22</v>
      </c>
      <c r="BM26" s="549" t="s">
        <v>1404</v>
      </c>
      <c r="CA26" s="545">
        <v>24</v>
      </c>
      <c r="CB26" s="549" t="s">
        <v>1407</v>
      </c>
      <c r="CG26" s="545">
        <v>23</v>
      </c>
      <c r="CH26" s="549" t="s">
        <v>1219</v>
      </c>
      <c r="CJ26" s="545">
        <v>20</v>
      </c>
      <c r="CK26" s="549" t="s">
        <v>1198</v>
      </c>
      <c r="CP26" s="545">
        <v>22</v>
      </c>
      <c r="CQ26" s="549" t="s">
        <v>1403</v>
      </c>
      <c r="CS26" s="545">
        <v>27</v>
      </c>
      <c r="CT26" s="549" t="s">
        <v>1701</v>
      </c>
      <c r="CY26" s="547">
        <v>24</v>
      </c>
      <c r="CZ26" s="550" t="s">
        <v>1245</v>
      </c>
      <c r="DE26" s="547">
        <v>34</v>
      </c>
      <c r="DF26" s="550" t="s">
        <v>1712</v>
      </c>
      <c r="DH26" s="379">
        <v>61</v>
      </c>
      <c r="DI26" s="380" t="s">
        <v>397</v>
      </c>
    </row>
    <row r="27" spans="1:113" ht="18" customHeight="1" x14ac:dyDescent="0.25">
      <c r="A27" s="381">
        <v>19</v>
      </c>
      <c r="B27" s="382" t="s">
        <v>338</v>
      </c>
      <c r="J27" s="545">
        <v>17</v>
      </c>
      <c r="K27" s="555" t="s">
        <v>715</v>
      </c>
      <c r="M27" s="545">
        <v>21</v>
      </c>
      <c r="N27" s="549" t="s">
        <v>734</v>
      </c>
      <c r="O27" s="378"/>
      <c r="P27" s="545">
        <v>23</v>
      </c>
      <c r="Q27" s="549" t="s">
        <v>766</v>
      </c>
      <c r="R27" s="378"/>
      <c r="S27" s="378"/>
      <c r="V27" s="545">
        <v>24</v>
      </c>
      <c r="W27" s="549" t="s">
        <v>809</v>
      </c>
      <c r="AK27" s="545">
        <v>25</v>
      </c>
      <c r="AL27" s="549" t="s">
        <v>858</v>
      </c>
      <c r="AN27" s="552">
        <v>23</v>
      </c>
      <c r="AO27" s="555" t="s">
        <v>895</v>
      </c>
      <c r="AT27" s="545">
        <v>27</v>
      </c>
      <c r="AU27" s="549" t="s">
        <v>934</v>
      </c>
      <c r="AW27" s="545">
        <v>25</v>
      </c>
      <c r="AX27" s="549" t="s">
        <v>960</v>
      </c>
      <c r="AZ27" s="545">
        <v>23</v>
      </c>
      <c r="BA27" s="549" t="s">
        <v>972</v>
      </c>
      <c r="BI27" s="545">
        <v>25</v>
      </c>
      <c r="BJ27" s="549" t="s">
        <v>1226</v>
      </c>
      <c r="BL27" s="545">
        <v>23</v>
      </c>
      <c r="BM27" s="549" t="s">
        <v>1217</v>
      </c>
      <c r="CA27" s="545">
        <v>25</v>
      </c>
      <c r="CB27" s="549" t="s">
        <v>1228</v>
      </c>
      <c r="CG27" s="545">
        <v>24</v>
      </c>
      <c r="CH27" s="549" t="s">
        <v>1223</v>
      </c>
      <c r="CJ27" s="545">
        <v>21</v>
      </c>
      <c r="CK27" s="549" t="s">
        <v>1206</v>
      </c>
      <c r="CP27" s="545">
        <v>20</v>
      </c>
      <c r="CQ27" s="549" t="s">
        <v>1193</v>
      </c>
      <c r="CS27" s="545">
        <v>44</v>
      </c>
      <c r="CT27" s="549" t="s">
        <v>1702</v>
      </c>
      <c r="CY27" s="547">
        <v>25</v>
      </c>
      <c r="CZ27" s="550" t="s">
        <v>1251</v>
      </c>
      <c r="DE27" s="547">
        <v>19</v>
      </c>
      <c r="DF27" s="550" t="s">
        <v>1399</v>
      </c>
      <c r="DH27" s="379">
        <v>62</v>
      </c>
      <c r="DI27" s="380" t="s">
        <v>399</v>
      </c>
    </row>
    <row r="28" spans="1:113" ht="18" customHeight="1" x14ac:dyDescent="0.25">
      <c r="A28" s="375">
        <v>36</v>
      </c>
      <c r="B28" s="382" t="s">
        <v>340</v>
      </c>
      <c r="J28" s="552">
        <v>18</v>
      </c>
      <c r="K28" s="555" t="s">
        <v>716</v>
      </c>
      <c r="M28" s="545">
        <v>22</v>
      </c>
      <c r="N28" s="549" t="s">
        <v>735</v>
      </c>
      <c r="O28" s="378"/>
      <c r="P28" s="545">
        <v>24</v>
      </c>
      <c r="Q28" s="549" t="s">
        <v>767</v>
      </c>
      <c r="R28" s="378"/>
      <c r="S28" s="378"/>
      <c r="V28" s="545">
        <v>25</v>
      </c>
      <c r="W28" s="549" t="s">
        <v>810</v>
      </c>
      <c r="AK28" s="545">
        <v>26</v>
      </c>
      <c r="AL28" s="549" t="s">
        <v>859</v>
      </c>
      <c r="AT28" s="545">
        <v>28</v>
      </c>
      <c r="AU28" s="549" t="s">
        <v>935</v>
      </c>
      <c r="AW28" s="545">
        <v>26</v>
      </c>
      <c r="AX28" s="549" t="s">
        <v>961</v>
      </c>
      <c r="AZ28" s="545">
        <v>24</v>
      </c>
      <c r="BA28" s="549" t="s">
        <v>973</v>
      </c>
      <c r="BI28" s="545">
        <v>26</v>
      </c>
      <c r="BJ28" s="549" t="s">
        <v>1410</v>
      </c>
      <c r="BL28" s="545">
        <v>24</v>
      </c>
      <c r="BM28" s="549" t="s">
        <v>1222</v>
      </c>
      <c r="CA28" s="545">
        <v>27</v>
      </c>
      <c r="CB28" s="549" t="s">
        <v>1411</v>
      </c>
      <c r="CG28" s="545">
        <v>25</v>
      </c>
      <c r="CH28" s="549" t="s">
        <v>1229</v>
      </c>
      <c r="CJ28" s="545">
        <v>22</v>
      </c>
      <c r="CK28" s="549" t="s">
        <v>1213</v>
      </c>
      <c r="CP28" s="545">
        <v>43</v>
      </c>
      <c r="CQ28" s="549" t="s">
        <v>1760</v>
      </c>
      <c r="CS28" s="545">
        <v>28</v>
      </c>
      <c r="CT28" s="549" t="s">
        <v>1703</v>
      </c>
      <c r="CY28" s="547">
        <v>26</v>
      </c>
      <c r="CZ28" s="550" t="s">
        <v>1257</v>
      </c>
      <c r="DE28" s="547">
        <v>20</v>
      </c>
      <c r="DF28" s="550" t="s">
        <v>1201</v>
      </c>
      <c r="DH28" s="379">
        <v>63</v>
      </c>
      <c r="DI28" s="380" t="s">
        <v>385</v>
      </c>
    </row>
    <row r="29" spans="1:113" ht="18" customHeight="1" x14ac:dyDescent="0.25">
      <c r="A29" s="381">
        <v>20</v>
      </c>
      <c r="B29" s="382" t="s">
        <v>342</v>
      </c>
      <c r="J29" s="545">
        <v>19</v>
      </c>
      <c r="K29" s="555" t="s">
        <v>717</v>
      </c>
      <c r="M29" s="545">
        <v>23</v>
      </c>
      <c r="N29" s="549" t="s">
        <v>736</v>
      </c>
      <c r="O29" s="378"/>
      <c r="P29" s="545">
        <v>25</v>
      </c>
      <c r="Q29" s="549" t="s">
        <v>768</v>
      </c>
      <c r="R29" s="378"/>
      <c r="S29" s="378"/>
      <c r="V29" s="545">
        <v>26</v>
      </c>
      <c r="W29" s="549" t="s">
        <v>811</v>
      </c>
      <c r="AK29" s="545">
        <v>27</v>
      </c>
      <c r="AL29" s="549" t="s">
        <v>860</v>
      </c>
      <c r="AT29" s="545">
        <v>29</v>
      </c>
      <c r="AU29" s="549" t="s">
        <v>936</v>
      </c>
      <c r="AZ29" s="545">
        <v>25</v>
      </c>
      <c r="BA29" s="549" t="s">
        <v>1408</v>
      </c>
      <c r="BI29" s="545">
        <v>27</v>
      </c>
      <c r="BJ29" s="549" t="s">
        <v>1240</v>
      </c>
      <c r="BL29" s="545">
        <v>25</v>
      </c>
      <c r="BM29" s="549" t="s">
        <v>1227</v>
      </c>
      <c r="CA29" s="545">
        <v>26</v>
      </c>
      <c r="CB29" s="549" t="s">
        <v>1234</v>
      </c>
      <c r="CG29" s="545">
        <v>26</v>
      </c>
      <c r="CH29" s="549" t="s">
        <v>1235</v>
      </c>
      <c r="CJ29" s="545">
        <v>23</v>
      </c>
      <c r="CK29" s="549" t="s">
        <v>1220</v>
      </c>
      <c r="CP29" s="545">
        <v>23</v>
      </c>
      <c r="CQ29" s="549" t="s">
        <v>1405</v>
      </c>
      <c r="CS29" s="545">
        <v>45</v>
      </c>
      <c r="CT29" s="549" t="s">
        <v>1687</v>
      </c>
      <c r="CY29" s="547">
        <v>27</v>
      </c>
      <c r="CZ29" s="550" t="s">
        <v>1263</v>
      </c>
      <c r="DE29" s="547">
        <v>45</v>
      </c>
      <c r="DF29" s="550" t="s">
        <v>1761</v>
      </c>
      <c r="DH29" s="379">
        <v>64</v>
      </c>
      <c r="DI29" s="380" t="s">
        <v>401</v>
      </c>
    </row>
    <row r="30" spans="1:113" ht="18" customHeight="1" x14ac:dyDescent="0.25">
      <c r="A30" s="375">
        <v>21</v>
      </c>
      <c r="B30" s="382" t="s">
        <v>344</v>
      </c>
      <c r="M30" s="545">
        <v>36</v>
      </c>
      <c r="N30" s="549" t="s">
        <v>1634</v>
      </c>
      <c r="O30" s="378"/>
      <c r="P30" s="545">
        <v>26</v>
      </c>
      <c r="Q30" s="549" t="s">
        <v>769</v>
      </c>
      <c r="R30" s="378"/>
      <c r="S30" s="378"/>
      <c r="V30" s="545">
        <v>27</v>
      </c>
      <c r="W30" s="549" t="s">
        <v>812</v>
      </c>
      <c r="AK30" s="545">
        <v>28</v>
      </c>
      <c r="AL30" s="549" t="s">
        <v>861</v>
      </c>
      <c r="AT30" s="545">
        <v>30</v>
      </c>
      <c r="AU30" s="549" t="s">
        <v>937</v>
      </c>
      <c r="AZ30" s="545">
        <v>26</v>
      </c>
      <c r="BA30" s="549" t="s">
        <v>1409</v>
      </c>
      <c r="BI30" s="545">
        <v>28</v>
      </c>
      <c r="BJ30" s="549" t="s">
        <v>1246</v>
      </c>
      <c r="BL30" s="545">
        <v>26</v>
      </c>
      <c r="BM30" s="549" t="s">
        <v>1233</v>
      </c>
      <c r="CA30" s="545">
        <v>28</v>
      </c>
      <c r="CB30" s="549" t="s">
        <v>1248</v>
      </c>
      <c r="CG30" s="545">
        <v>27</v>
      </c>
      <c r="CH30" s="549" t="s">
        <v>1242</v>
      </c>
      <c r="CJ30" s="545">
        <v>24</v>
      </c>
      <c r="CK30" s="549" t="s">
        <v>1224</v>
      </c>
      <c r="CP30" s="545">
        <v>24</v>
      </c>
      <c r="CQ30" s="549" t="s">
        <v>1199</v>
      </c>
      <c r="CS30" s="545">
        <v>46</v>
      </c>
      <c r="CT30" s="549" t="s">
        <v>1688</v>
      </c>
      <c r="CY30" s="547">
        <v>28</v>
      </c>
      <c r="CZ30" s="550" t="s">
        <v>1269</v>
      </c>
      <c r="DE30" s="547">
        <v>21</v>
      </c>
      <c r="DF30" s="550" t="s">
        <v>1209</v>
      </c>
      <c r="DH30" s="379">
        <v>65</v>
      </c>
      <c r="DI30" s="380" t="s">
        <v>402</v>
      </c>
    </row>
    <row r="31" spans="1:113" ht="18" customHeight="1" x14ac:dyDescent="0.25">
      <c r="A31" s="381">
        <v>22</v>
      </c>
      <c r="B31" s="382" t="s">
        <v>346</v>
      </c>
      <c r="M31" s="545">
        <v>24</v>
      </c>
      <c r="N31" s="549" t="s">
        <v>737</v>
      </c>
      <c r="O31" s="378"/>
      <c r="P31" s="545">
        <v>27</v>
      </c>
      <c r="Q31" s="549" t="s">
        <v>770</v>
      </c>
      <c r="R31" s="378"/>
      <c r="S31" s="378"/>
      <c r="V31" s="545">
        <v>28</v>
      </c>
      <c r="W31" s="549" t="s">
        <v>813</v>
      </c>
      <c r="AK31" s="545">
        <v>29</v>
      </c>
      <c r="AL31" s="549" t="s">
        <v>862</v>
      </c>
      <c r="AZ31" s="545">
        <v>27</v>
      </c>
      <c r="BA31" s="549" t="s">
        <v>1412</v>
      </c>
      <c r="BI31" s="545">
        <v>29</v>
      </c>
      <c r="BJ31" s="549" t="s">
        <v>1252</v>
      </c>
      <c r="BL31" s="545">
        <v>27</v>
      </c>
      <c r="BM31" s="549" t="s">
        <v>1241</v>
      </c>
      <c r="CA31" s="545">
        <v>29</v>
      </c>
      <c r="CB31" s="549" t="s">
        <v>1254</v>
      </c>
      <c r="CG31" s="552">
        <v>28</v>
      </c>
      <c r="CH31" s="553" t="s">
        <v>1249</v>
      </c>
      <c r="CJ31" s="545">
        <v>25</v>
      </c>
      <c r="CK31" s="549" t="s">
        <v>1230</v>
      </c>
      <c r="CP31" s="545">
        <v>25</v>
      </c>
      <c r="CQ31" s="549" t="s">
        <v>1207</v>
      </c>
      <c r="CS31" s="545">
        <v>47</v>
      </c>
      <c r="CT31" s="549" t="s">
        <v>1689</v>
      </c>
      <c r="CY31" s="547">
        <v>29</v>
      </c>
      <c r="CZ31" s="550" t="s">
        <v>373</v>
      </c>
      <c r="DE31" s="547">
        <v>22</v>
      </c>
      <c r="DF31" s="550" t="s">
        <v>1762</v>
      </c>
      <c r="DH31" s="379">
        <v>66</v>
      </c>
      <c r="DI31" s="380" t="s">
        <v>403</v>
      </c>
    </row>
    <row r="32" spans="1:113" ht="18" customHeight="1" x14ac:dyDescent="0.25">
      <c r="A32" s="375">
        <v>23</v>
      </c>
      <c r="B32" s="382" t="s">
        <v>348</v>
      </c>
      <c r="M32" s="545">
        <v>26</v>
      </c>
      <c r="N32" s="549" t="s">
        <v>738</v>
      </c>
      <c r="P32" s="545">
        <v>28</v>
      </c>
      <c r="Q32" s="549" t="s">
        <v>1416</v>
      </c>
      <c r="R32" s="378"/>
      <c r="S32" s="378"/>
      <c r="V32" s="545">
        <v>29</v>
      </c>
      <c r="W32" s="549" t="s">
        <v>814</v>
      </c>
      <c r="AK32" s="545">
        <v>30</v>
      </c>
      <c r="AL32" s="549" t="s">
        <v>863</v>
      </c>
      <c r="AZ32" s="545">
        <v>28</v>
      </c>
      <c r="BA32" s="549" t="s">
        <v>974</v>
      </c>
      <c r="BI32" s="545">
        <v>30</v>
      </c>
      <c r="BJ32" s="549" t="s">
        <v>1363</v>
      </c>
      <c r="BL32" s="545">
        <v>28</v>
      </c>
      <c r="BM32" s="549" t="s">
        <v>1247</v>
      </c>
      <c r="CA32" s="545">
        <v>30</v>
      </c>
      <c r="CB32" s="549" t="s">
        <v>1260</v>
      </c>
      <c r="CJ32" s="545">
        <v>26</v>
      </c>
      <c r="CK32" s="549" t="s">
        <v>1236</v>
      </c>
      <c r="CP32" s="545">
        <v>44</v>
      </c>
      <c r="CQ32" s="549" t="s">
        <v>1763</v>
      </c>
      <c r="CS32" s="545">
        <v>29</v>
      </c>
      <c r="CT32" s="549" t="s">
        <v>1704</v>
      </c>
      <c r="CY32" s="547">
        <v>30</v>
      </c>
      <c r="CZ32" s="550" t="s">
        <v>1773</v>
      </c>
      <c r="DE32" s="547">
        <v>24</v>
      </c>
      <c r="DF32" s="550" t="s">
        <v>1713</v>
      </c>
      <c r="DH32" s="379">
        <v>67</v>
      </c>
      <c r="DI32" s="380" t="s">
        <v>404</v>
      </c>
    </row>
    <row r="33" spans="1:113" ht="18" customHeight="1" x14ac:dyDescent="0.25">
      <c r="A33" s="381">
        <v>24</v>
      </c>
      <c r="B33" s="382" t="s">
        <v>350</v>
      </c>
      <c r="M33" s="545">
        <v>27</v>
      </c>
      <c r="N33" s="549" t="s">
        <v>739</v>
      </c>
      <c r="P33" s="545">
        <v>29</v>
      </c>
      <c r="Q33" s="549" t="s">
        <v>771</v>
      </c>
      <c r="R33" s="378"/>
      <c r="S33" s="378"/>
      <c r="AK33" s="545">
        <v>31</v>
      </c>
      <c r="AL33" s="549" t="s">
        <v>864</v>
      </c>
      <c r="AZ33" s="545">
        <v>30</v>
      </c>
      <c r="BA33" s="549" t="s">
        <v>976</v>
      </c>
      <c r="BI33" s="545">
        <v>31</v>
      </c>
      <c r="BJ33" s="549" t="s">
        <v>1264</v>
      </c>
      <c r="BL33" s="545">
        <v>29</v>
      </c>
      <c r="BM33" s="549" t="s">
        <v>1253</v>
      </c>
      <c r="CA33" s="545">
        <v>31</v>
      </c>
      <c r="CB33" s="549" t="s">
        <v>1266</v>
      </c>
      <c r="CJ33" s="545">
        <v>27</v>
      </c>
      <c r="CK33" s="549" t="s">
        <v>1243</v>
      </c>
      <c r="CP33" s="545">
        <v>26</v>
      </c>
      <c r="CQ33" s="549" t="s">
        <v>1214</v>
      </c>
      <c r="CS33" s="545"/>
      <c r="CT33" s="549"/>
      <c r="CY33" s="547">
        <v>31</v>
      </c>
      <c r="CZ33" s="550" t="s">
        <v>1282</v>
      </c>
      <c r="DE33" s="547">
        <v>25</v>
      </c>
      <c r="DF33" s="550" t="s">
        <v>1714</v>
      </c>
      <c r="DH33" s="379">
        <v>68</v>
      </c>
      <c r="DI33" s="380" t="s">
        <v>388</v>
      </c>
    </row>
    <row r="34" spans="1:113" ht="18" customHeight="1" x14ac:dyDescent="0.25">
      <c r="A34" s="375">
        <v>25</v>
      </c>
      <c r="B34" s="382" t="s">
        <v>352</v>
      </c>
      <c r="M34" s="545">
        <v>28</v>
      </c>
      <c r="N34" s="549" t="s">
        <v>398</v>
      </c>
      <c r="P34" s="545">
        <v>30</v>
      </c>
      <c r="Q34" s="549" t="s">
        <v>772</v>
      </c>
      <c r="R34" s="378"/>
      <c r="S34" s="378"/>
      <c r="AK34" s="545">
        <v>32</v>
      </c>
      <c r="AL34" s="549" t="s">
        <v>865</v>
      </c>
      <c r="AZ34" s="545">
        <v>31</v>
      </c>
      <c r="BA34" s="549" t="s">
        <v>977</v>
      </c>
      <c r="BI34" s="545">
        <v>32</v>
      </c>
      <c r="BJ34" s="549" t="s">
        <v>1270</v>
      </c>
      <c r="BL34" s="545">
        <v>30</v>
      </c>
      <c r="BM34" s="549" t="s">
        <v>1259</v>
      </c>
      <c r="CA34" s="545">
        <v>32</v>
      </c>
      <c r="CB34" s="549" t="s">
        <v>1272</v>
      </c>
      <c r="CJ34" s="545">
        <v>28</v>
      </c>
      <c r="CK34" s="549" t="s">
        <v>1433</v>
      </c>
      <c r="CP34" s="545">
        <v>27</v>
      </c>
      <c r="CQ34" s="549" t="s">
        <v>1221</v>
      </c>
      <c r="CS34" s="545"/>
      <c r="CT34" s="549"/>
      <c r="CY34" s="547">
        <v>32</v>
      </c>
      <c r="CZ34" s="550" t="s">
        <v>1287</v>
      </c>
      <c r="DE34" s="547">
        <v>35</v>
      </c>
      <c r="DF34" s="550" t="s">
        <v>1715</v>
      </c>
      <c r="DH34" s="379">
        <v>69</v>
      </c>
      <c r="DI34" s="380" t="s">
        <v>406</v>
      </c>
    </row>
    <row r="35" spans="1:113" ht="18" customHeight="1" x14ac:dyDescent="0.25">
      <c r="A35" s="381">
        <v>26</v>
      </c>
      <c r="B35" s="558" t="s">
        <v>354</v>
      </c>
      <c r="M35" s="545">
        <v>29</v>
      </c>
      <c r="N35" s="549" t="s">
        <v>740</v>
      </c>
      <c r="P35" s="545">
        <v>31</v>
      </c>
      <c r="Q35" s="549" t="s">
        <v>773</v>
      </c>
      <c r="R35" s="378"/>
      <c r="S35" s="378"/>
      <c r="AK35" s="545">
        <v>33</v>
      </c>
      <c r="AL35" s="549" t="s">
        <v>866</v>
      </c>
      <c r="AZ35" s="545">
        <v>32</v>
      </c>
      <c r="BA35" s="549" t="s">
        <v>1417</v>
      </c>
      <c r="BI35" s="545">
        <v>33</v>
      </c>
      <c r="BJ35" s="549" t="s">
        <v>1274</v>
      </c>
      <c r="BL35" s="545">
        <v>31</v>
      </c>
      <c r="BM35" s="549" t="s">
        <v>1265</v>
      </c>
      <c r="CA35" s="545">
        <v>33</v>
      </c>
      <c r="CB35" s="549" t="s">
        <v>1275</v>
      </c>
      <c r="CJ35" s="545">
        <v>30</v>
      </c>
      <c r="CK35" s="549" t="s">
        <v>1434</v>
      </c>
      <c r="CP35" s="545">
        <v>28</v>
      </c>
      <c r="CQ35" s="549" t="s">
        <v>1414</v>
      </c>
      <c r="CS35" s="545"/>
      <c r="CT35" s="549"/>
      <c r="CY35" s="547">
        <v>33</v>
      </c>
      <c r="CZ35" s="550" t="s">
        <v>1292</v>
      </c>
      <c r="DE35" s="547">
        <v>26</v>
      </c>
      <c r="DF35" s="550" t="s">
        <v>1239</v>
      </c>
      <c r="DH35" s="379">
        <v>70</v>
      </c>
      <c r="DI35" s="380" t="s">
        <v>380</v>
      </c>
    </row>
    <row r="36" spans="1:113" ht="18" customHeight="1" x14ac:dyDescent="0.25">
      <c r="A36" s="375">
        <v>27</v>
      </c>
      <c r="B36" s="382" t="s">
        <v>356</v>
      </c>
      <c r="M36" s="545">
        <v>30</v>
      </c>
      <c r="N36" s="549" t="s">
        <v>741</v>
      </c>
      <c r="P36" s="545">
        <v>32</v>
      </c>
      <c r="Q36" s="549" t="s">
        <v>774</v>
      </c>
      <c r="R36" s="378"/>
      <c r="S36" s="378"/>
      <c r="AK36" s="545">
        <v>34</v>
      </c>
      <c r="AL36" s="549" t="s">
        <v>867</v>
      </c>
      <c r="AZ36" s="545">
        <v>33</v>
      </c>
      <c r="BA36" s="549" t="s">
        <v>978</v>
      </c>
      <c r="BI36" s="545">
        <v>34</v>
      </c>
      <c r="BJ36" s="549" t="s">
        <v>1278</v>
      </c>
      <c r="BL36" s="545">
        <v>47</v>
      </c>
      <c r="BM36" s="549" t="s">
        <v>1764</v>
      </c>
      <c r="CA36" s="545">
        <v>34</v>
      </c>
      <c r="CB36" s="549" t="s">
        <v>1421</v>
      </c>
      <c r="CJ36" s="545">
        <v>29</v>
      </c>
      <c r="CK36" s="549" t="s">
        <v>1255</v>
      </c>
      <c r="CP36" s="545">
        <v>29</v>
      </c>
      <c r="CQ36" s="549" t="s">
        <v>1225</v>
      </c>
      <c r="CS36" s="545"/>
      <c r="CT36" s="549"/>
      <c r="CY36" s="547">
        <v>34</v>
      </c>
      <c r="CZ36" s="550" t="s">
        <v>1296</v>
      </c>
      <c r="DE36" s="547">
        <v>44</v>
      </c>
      <c r="DF36" s="550" t="s">
        <v>1765</v>
      </c>
      <c r="DH36" s="379">
        <v>71</v>
      </c>
      <c r="DI36" s="380" t="s">
        <v>407</v>
      </c>
    </row>
    <row r="37" spans="1:113" ht="18" customHeight="1" x14ac:dyDescent="0.25">
      <c r="A37" s="381">
        <v>28</v>
      </c>
      <c r="B37" s="382" t="s">
        <v>358</v>
      </c>
      <c r="M37" s="545">
        <v>35</v>
      </c>
      <c r="N37" s="549" t="s">
        <v>1633</v>
      </c>
      <c r="P37" s="545">
        <v>33</v>
      </c>
      <c r="Q37" s="549" t="s">
        <v>1422</v>
      </c>
      <c r="R37" s="378"/>
      <c r="S37" s="378"/>
      <c r="AK37" s="545">
        <v>35</v>
      </c>
      <c r="AL37" s="549" t="s">
        <v>868</v>
      </c>
      <c r="AZ37" s="545">
        <v>34</v>
      </c>
      <c r="BA37" s="549" t="s">
        <v>1418</v>
      </c>
      <c r="BI37" s="545">
        <v>35</v>
      </c>
      <c r="BJ37" s="549" t="s">
        <v>1283</v>
      </c>
      <c r="BL37" s="545">
        <v>32</v>
      </c>
      <c r="BM37" s="549" t="s">
        <v>1271</v>
      </c>
      <c r="CA37" s="545">
        <v>35</v>
      </c>
      <c r="CB37" s="549" t="s">
        <v>1423</v>
      </c>
      <c r="CJ37" s="545">
        <v>31</v>
      </c>
      <c r="CK37" s="549" t="s">
        <v>1261</v>
      </c>
      <c r="CP37" s="545">
        <v>30</v>
      </c>
      <c r="CQ37" s="549" t="s">
        <v>1231</v>
      </c>
      <c r="CS37" s="545"/>
      <c r="CT37" s="549"/>
      <c r="CY37" s="547">
        <v>35</v>
      </c>
      <c r="CZ37" s="550" t="s">
        <v>898</v>
      </c>
      <c r="DE37" s="547">
        <v>40</v>
      </c>
      <c r="DF37" s="550" t="s">
        <v>1766</v>
      </c>
      <c r="DH37" s="379">
        <v>72</v>
      </c>
      <c r="DI37" s="380" t="s">
        <v>408</v>
      </c>
    </row>
    <row r="38" spans="1:113" ht="18" customHeight="1" x14ac:dyDescent="0.25">
      <c r="M38" s="545">
        <v>31</v>
      </c>
      <c r="N38" s="549" t="s">
        <v>742</v>
      </c>
      <c r="P38" s="545">
        <v>34</v>
      </c>
      <c r="Q38" s="549" t="s">
        <v>775</v>
      </c>
      <c r="R38" s="378"/>
      <c r="S38" s="378"/>
      <c r="AK38" s="545">
        <v>36</v>
      </c>
      <c r="AL38" s="549" t="s">
        <v>869</v>
      </c>
      <c r="AZ38" s="545">
        <v>7</v>
      </c>
      <c r="BA38" s="549" t="s">
        <v>1420</v>
      </c>
      <c r="BI38" s="545">
        <v>55</v>
      </c>
      <c r="BJ38" s="549" t="s">
        <v>1767</v>
      </c>
      <c r="BL38" s="545">
        <v>33</v>
      </c>
      <c r="BM38" s="549" t="s">
        <v>1419</v>
      </c>
      <c r="CA38" s="545">
        <v>36</v>
      </c>
      <c r="CB38" s="549" t="s">
        <v>1290</v>
      </c>
      <c r="CJ38" s="545">
        <v>32</v>
      </c>
      <c r="CK38" s="549" t="s">
        <v>1267</v>
      </c>
      <c r="CP38" s="545">
        <v>31</v>
      </c>
      <c r="CQ38" s="549" t="s">
        <v>1237</v>
      </c>
      <c r="CS38" s="545"/>
      <c r="CT38" s="549"/>
      <c r="CY38" s="547">
        <v>36</v>
      </c>
      <c r="CZ38" s="550" t="s">
        <v>1303</v>
      </c>
      <c r="DE38" s="547">
        <v>27</v>
      </c>
      <c r="DF38" s="550" t="s">
        <v>1413</v>
      </c>
      <c r="DH38" s="379">
        <v>73</v>
      </c>
      <c r="DI38" s="380" t="s">
        <v>409</v>
      </c>
    </row>
    <row r="39" spans="1:113" ht="18" customHeight="1" x14ac:dyDescent="0.25">
      <c r="M39" s="545">
        <v>32</v>
      </c>
      <c r="N39" s="549" t="s">
        <v>743</v>
      </c>
      <c r="P39" s="545">
        <v>35</v>
      </c>
      <c r="Q39" s="549" t="s">
        <v>776</v>
      </c>
      <c r="R39" s="378"/>
      <c r="S39" s="378"/>
      <c r="AK39" s="545">
        <v>37</v>
      </c>
      <c r="AL39" s="549" t="s">
        <v>870</v>
      </c>
      <c r="AZ39" s="552">
        <v>35</v>
      </c>
      <c r="BA39" s="553" t="s">
        <v>979</v>
      </c>
      <c r="BI39" s="545">
        <v>36</v>
      </c>
      <c r="BJ39" s="549" t="s">
        <v>1288</v>
      </c>
      <c r="BL39" s="545">
        <v>34</v>
      </c>
      <c r="BM39" s="549" t="s">
        <v>1279</v>
      </c>
      <c r="CJ39" s="545">
        <v>33</v>
      </c>
      <c r="CK39" s="549" t="s">
        <v>1273</v>
      </c>
      <c r="CP39" s="545">
        <v>32</v>
      </c>
      <c r="CQ39" s="549" t="s">
        <v>1244</v>
      </c>
      <c r="CS39" s="545"/>
      <c r="CT39" s="549"/>
      <c r="CY39" s="547">
        <v>37</v>
      </c>
      <c r="CZ39" s="550" t="s">
        <v>1307</v>
      </c>
      <c r="DE39" s="547">
        <v>28</v>
      </c>
      <c r="DF39" s="550" t="s">
        <v>1415</v>
      </c>
      <c r="DH39" s="379">
        <v>74</v>
      </c>
      <c r="DI39" s="380" t="s">
        <v>410</v>
      </c>
    </row>
    <row r="40" spans="1:113" ht="18" customHeight="1" x14ac:dyDescent="0.25">
      <c r="M40" s="545">
        <v>39</v>
      </c>
      <c r="N40" s="549" t="s">
        <v>1637</v>
      </c>
      <c r="P40" s="545">
        <v>36</v>
      </c>
      <c r="Q40" s="549" t="s">
        <v>777</v>
      </c>
      <c r="R40" s="378"/>
      <c r="S40" s="378"/>
      <c r="AK40" s="545">
        <v>38</v>
      </c>
      <c r="AL40" s="549" t="s">
        <v>871</v>
      </c>
      <c r="BI40" s="545">
        <v>37</v>
      </c>
      <c r="BJ40" s="549" t="s">
        <v>1293</v>
      </c>
      <c r="BL40" s="545">
        <v>35</v>
      </c>
      <c r="BM40" s="549" t="s">
        <v>1284</v>
      </c>
      <c r="CJ40" s="545">
        <v>34</v>
      </c>
      <c r="CK40" s="549" t="s">
        <v>1276</v>
      </c>
      <c r="CP40" s="545">
        <v>33</v>
      </c>
      <c r="CQ40" s="549" t="s">
        <v>1250</v>
      </c>
      <c r="CS40" s="545"/>
      <c r="CT40" s="549"/>
      <c r="CY40" s="547">
        <v>38</v>
      </c>
      <c r="CZ40" s="550" t="s">
        <v>1311</v>
      </c>
      <c r="DE40" s="547">
        <v>29</v>
      </c>
      <c r="DF40" s="550" t="s">
        <v>1258</v>
      </c>
      <c r="DH40" s="379">
        <v>75</v>
      </c>
      <c r="DI40" s="380" t="s">
        <v>405</v>
      </c>
    </row>
    <row r="41" spans="1:113" ht="18" customHeight="1" x14ac:dyDescent="0.25">
      <c r="M41" s="545">
        <v>33</v>
      </c>
      <c r="N41" s="549" t="s">
        <v>744</v>
      </c>
      <c r="P41" s="545">
        <v>37</v>
      </c>
      <c r="Q41" s="549" t="s">
        <v>778</v>
      </c>
      <c r="R41" s="378"/>
      <c r="S41" s="378"/>
      <c r="AK41" s="545">
        <v>39</v>
      </c>
      <c r="AL41" s="549" t="s">
        <v>872</v>
      </c>
      <c r="BI41" s="545">
        <v>38</v>
      </c>
      <c r="BJ41" s="549" t="s">
        <v>1297</v>
      </c>
      <c r="BL41" s="545">
        <v>36</v>
      </c>
      <c r="BM41" s="549" t="s">
        <v>1289</v>
      </c>
      <c r="CJ41" s="545">
        <v>35</v>
      </c>
      <c r="CK41" s="549" t="s">
        <v>1280</v>
      </c>
      <c r="CP41" s="545">
        <v>45</v>
      </c>
      <c r="CQ41" s="549" t="s">
        <v>1768</v>
      </c>
      <c r="CS41" s="545"/>
      <c r="CT41" s="549"/>
      <c r="CY41" s="547">
        <v>39</v>
      </c>
      <c r="CZ41" s="550" t="s">
        <v>1316</v>
      </c>
      <c r="DE41" s="559">
        <v>36</v>
      </c>
      <c r="DF41" s="560" t="s">
        <v>1769</v>
      </c>
      <c r="DH41" s="379">
        <v>76</v>
      </c>
      <c r="DI41" s="380" t="s">
        <v>411</v>
      </c>
    </row>
    <row r="42" spans="1:113" ht="18" customHeight="1" x14ac:dyDescent="0.25">
      <c r="M42" s="552">
        <v>34</v>
      </c>
      <c r="N42" s="553" t="s">
        <v>745</v>
      </c>
      <c r="P42" s="545">
        <v>38</v>
      </c>
      <c r="Q42" s="549" t="s">
        <v>779</v>
      </c>
      <c r="R42" s="378"/>
      <c r="S42" s="378"/>
      <c r="AK42" s="545">
        <v>40</v>
      </c>
      <c r="AL42" s="549" t="s">
        <v>873</v>
      </c>
      <c r="BI42" s="545">
        <v>39</v>
      </c>
      <c r="BJ42" s="549" t="s">
        <v>1300</v>
      </c>
      <c r="BL42" s="545">
        <v>37</v>
      </c>
      <c r="BM42" s="549" t="s">
        <v>1294</v>
      </c>
      <c r="CJ42" s="545">
        <v>36</v>
      </c>
      <c r="CK42" s="549" t="s">
        <v>1285</v>
      </c>
      <c r="CP42" s="545">
        <v>34</v>
      </c>
      <c r="CQ42" s="549" t="s">
        <v>1256</v>
      </c>
      <c r="CS42" s="545"/>
      <c r="CT42" s="549"/>
      <c r="CY42" s="547">
        <v>40</v>
      </c>
      <c r="CZ42" s="550" t="s">
        <v>1319</v>
      </c>
      <c r="DH42" s="379">
        <v>77</v>
      </c>
      <c r="DI42" s="380" t="s">
        <v>390</v>
      </c>
    </row>
    <row r="43" spans="1:113" ht="18" customHeight="1" x14ac:dyDescent="0.25">
      <c r="P43" s="545">
        <v>39</v>
      </c>
      <c r="Q43" s="549" t="s">
        <v>780</v>
      </c>
      <c r="R43" s="378"/>
      <c r="S43" s="378"/>
      <c r="AK43" s="545">
        <v>41</v>
      </c>
      <c r="AL43" s="549" t="s">
        <v>874</v>
      </c>
      <c r="BI43" s="545">
        <v>40</v>
      </c>
      <c r="BJ43" s="549" t="s">
        <v>1304</v>
      </c>
      <c r="BL43" s="545">
        <v>38</v>
      </c>
      <c r="BM43" s="549" t="s">
        <v>1298</v>
      </c>
      <c r="CJ43" s="545">
        <v>37</v>
      </c>
      <c r="CK43" s="549" t="s">
        <v>1291</v>
      </c>
      <c r="CP43" s="545">
        <v>35</v>
      </c>
      <c r="CQ43" s="553" t="s">
        <v>1262</v>
      </c>
      <c r="CY43" s="547">
        <v>41</v>
      </c>
      <c r="CZ43" s="550" t="s">
        <v>1322</v>
      </c>
      <c r="DH43" s="379">
        <v>78</v>
      </c>
      <c r="DI43" s="380" t="s">
        <v>412</v>
      </c>
    </row>
    <row r="44" spans="1:113" ht="18" customHeight="1" x14ac:dyDescent="0.25">
      <c r="P44" s="545">
        <v>40</v>
      </c>
      <c r="Q44" s="549" t="s">
        <v>781</v>
      </c>
      <c r="R44" s="378"/>
      <c r="S44" s="378"/>
      <c r="BI44" s="545">
        <v>41</v>
      </c>
      <c r="BJ44" s="549" t="s">
        <v>1308</v>
      </c>
      <c r="BL44" s="545">
        <v>39</v>
      </c>
      <c r="BM44" s="549" t="s">
        <v>1301</v>
      </c>
      <c r="CJ44" s="552">
        <v>38</v>
      </c>
      <c r="CK44" s="549" t="s">
        <v>1295</v>
      </c>
      <c r="CP44" s="545">
        <v>36</v>
      </c>
      <c r="CQ44" s="553" t="s">
        <v>1424</v>
      </c>
      <c r="CY44" s="547">
        <v>42</v>
      </c>
      <c r="CZ44" s="550" t="s">
        <v>1325</v>
      </c>
      <c r="DH44" s="379">
        <v>79</v>
      </c>
      <c r="DI44" s="380" t="s">
        <v>395</v>
      </c>
    </row>
    <row r="45" spans="1:113" ht="18" customHeight="1" x14ac:dyDescent="0.25">
      <c r="P45" s="545">
        <v>41</v>
      </c>
      <c r="Q45" s="549" t="s">
        <v>782</v>
      </c>
      <c r="R45" s="378"/>
      <c r="S45" s="378"/>
      <c r="BI45" s="545">
        <v>42</v>
      </c>
      <c r="BJ45" s="549" t="s">
        <v>1312</v>
      </c>
      <c r="BL45" s="545">
        <v>40</v>
      </c>
      <c r="BM45" s="549" t="s">
        <v>1305</v>
      </c>
      <c r="CJ45" s="552">
        <v>45</v>
      </c>
      <c r="CK45" s="553" t="s">
        <v>1674</v>
      </c>
      <c r="CP45" s="545">
        <v>37</v>
      </c>
      <c r="CQ45" s="553" t="s">
        <v>1268</v>
      </c>
      <c r="CY45" s="547">
        <v>44</v>
      </c>
      <c r="CZ45" s="550" t="s">
        <v>1788</v>
      </c>
      <c r="DH45" s="379">
        <v>80</v>
      </c>
      <c r="DI45" s="380" t="s">
        <v>400</v>
      </c>
    </row>
    <row r="46" spans="1:113" ht="18" customHeight="1" x14ac:dyDescent="0.25">
      <c r="P46" s="545">
        <v>42</v>
      </c>
      <c r="Q46" s="549" t="s">
        <v>783</v>
      </c>
      <c r="BI46" s="545">
        <v>49</v>
      </c>
      <c r="BJ46" s="549" t="s">
        <v>1425</v>
      </c>
      <c r="BL46" s="545">
        <v>41</v>
      </c>
      <c r="BM46" s="549" t="s">
        <v>1309</v>
      </c>
      <c r="CJ46" s="552">
        <v>39</v>
      </c>
      <c r="CK46" s="553" t="s">
        <v>1299</v>
      </c>
      <c r="CP46" s="545">
        <v>38</v>
      </c>
      <c r="CQ46" s="553" t="s">
        <v>1277</v>
      </c>
      <c r="CY46" s="547">
        <v>43</v>
      </c>
      <c r="CZ46" s="550" t="s">
        <v>1327</v>
      </c>
      <c r="DE46" s="547"/>
      <c r="DF46" s="550"/>
      <c r="DH46" s="379">
        <v>81</v>
      </c>
      <c r="DI46" s="380" t="s">
        <v>413</v>
      </c>
    </row>
    <row r="47" spans="1:113" ht="18" customHeight="1" x14ac:dyDescent="0.25">
      <c r="P47" s="545">
        <v>48</v>
      </c>
      <c r="Q47" s="549" t="s">
        <v>1426</v>
      </c>
      <c r="BI47" s="545">
        <v>43</v>
      </c>
      <c r="BJ47" s="549" t="s">
        <v>1314</v>
      </c>
      <c r="BL47" s="545">
        <v>42</v>
      </c>
      <c r="BM47" s="549" t="s">
        <v>1313</v>
      </c>
      <c r="CJ47" s="552">
        <v>40</v>
      </c>
      <c r="CK47" s="553" t="s">
        <v>1302</v>
      </c>
      <c r="CP47" s="545">
        <v>39</v>
      </c>
      <c r="CQ47" s="553" t="s">
        <v>1281</v>
      </c>
      <c r="CY47" s="545">
        <v>78</v>
      </c>
      <c r="CZ47" s="549" t="s">
        <v>1790</v>
      </c>
      <c r="DE47" s="547"/>
      <c r="DF47" s="550"/>
      <c r="DH47" s="379">
        <v>82</v>
      </c>
      <c r="DI47" s="380" t="s">
        <v>414</v>
      </c>
    </row>
    <row r="48" spans="1:113" ht="18" customHeight="1" x14ac:dyDescent="0.25">
      <c r="P48" s="545">
        <v>47</v>
      </c>
      <c r="Q48" s="549" t="s">
        <v>1427</v>
      </c>
      <c r="BI48" s="545">
        <v>44</v>
      </c>
      <c r="BJ48" s="549" t="s">
        <v>1317</v>
      </c>
      <c r="BL48" s="545">
        <v>43</v>
      </c>
      <c r="BM48" s="549" t="s">
        <v>1315</v>
      </c>
      <c r="CJ48" s="552">
        <v>46</v>
      </c>
      <c r="CK48" s="553" t="s">
        <v>1675</v>
      </c>
      <c r="CP48" s="552">
        <v>40</v>
      </c>
      <c r="CQ48" s="553" t="s">
        <v>1286</v>
      </c>
      <c r="CY48" s="547">
        <v>45</v>
      </c>
      <c r="CZ48" s="550" t="s">
        <v>1330</v>
      </c>
      <c r="DE48" s="547"/>
      <c r="DF48" s="550"/>
      <c r="DH48" s="379">
        <v>83</v>
      </c>
      <c r="DI48" s="380" t="s">
        <v>415</v>
      </c>
    </row>
    <row r="49" spans="16:113" s="377" customFormat="1" ht="18" customHeight="1" x14ac:dyDescent="0.25">
      <c r="P49" s="545">
        <v>43</v>
      </c>
      <c r="Q49" s="549" t="s">
        <v>784</v>
      </c>
      <c r="BI49" s="545">
        <v>45</v>
      </c>
      <c r="BJ49" s="549" t="s">
        <v>1320</v>
      </c>
      <c r="BL49" s="552">
        <v>44</v>
      </c>
      <c r="BM49" s="553" t="s">
        <v>1318</v>
      </c>
      <c r="CJ49" s="552">
        <v>47</v>
      </c>
      <c r="CK49" s="553" t="s">
        <v>1676</v>
      </c>
      <c r="CP49" s="552"/>
      <c r="CY49" s="547">
        <v>46</v>
      </c>
      <c r="CZ49" s="550" t="s">
        <v>1332</v>
      </c>
      <c r="DE49" s="547"/>
      <c r="DF49" s="550"/>
      <c r="DH49" s="379">
        <v>84</v>
      </c>
      <c r="DI49" s="380" t="s">
        <v>416</v>
      </c>
    </row>
    <row r="50" spans="16:113" s="377" customFormat="1" ht="18" customHeight="1" x14ac:dyDescent="0.25">
      <c r="P50" s="545">
        <v>44</v>
      </c>
      <c r="Q50" s="549" t="s">
        <v>785</v>
      </c>
      <c r="BI50" s="545">
        <v>46</v>
      </c>
      <c r="BJ50" s="549" t="s">
        <v>1323</v>
      </c>
      <c r="BL50" s="552">
        <v>45</v>
      </c>
      <c r="BM50" s="553" t="s">
        <v>1321</v>
      </c>
      <c r="CJ50" s="552">
        <v>41</v>
      </c>
      <c r="CK50" s="553" t="s">
        <v>1306</v>
      </c>
      <c r="CP50" s="552"/>
      <c r="CY50" s="547">
        <v>47</v>
      </c>
      <c r="CZ50" s="550" t="s">
        <v>1334</v>
      </c>
      <c r="DE50" s="547"/>
      <c r="DF50" s="550"/>
      <c r="DH50" s="379">
        <v>85</v>
      </c>
      <c r="DI50" s="380" t="s">
        <v>417</v>
      </c>
    </row>
    <row r="51" spans="16:113" s="377" customFormat="1" ht="18" customHeight="1" x14ac:dyDescent="0.25">
      <c r="BI51" s="545">
        <v>47</v>
      </c>
      <c r="BJ51" s="549" t="s">
        <v>1326</v>
      </c>
      <c r="BL51" s="552">
        <v>46</v>
      </c>
      <c r="BM51" s="553" t="s">
        <v>1324</v>
      </c>
      <c r="CJ51" s="552">
        <v>42</v>
      </c>
      <c r="CK51" s="553" t="s">
        <v>1310</v>
      </c>
      <c r="CP51" s="552"/>
      <c r="CY51" s="547">
        <v>48</v>
      </c>
      <c r="CZ51" s="550" t="s">
        <v>1335</v>
      </c>
      <c r="DE51" s="547"/>
      <c r="DF51" s="550"/>
      <c r="DH51" s="379">
        <v>86</v>
      </c>
      <c r="DI51" s="380" t="s">
        <v>418</v>
      </c>
    </row>
    <row r="52" spans="16:113" s="377" customFormat="1" ht="18" customHeight="1" x14ac:dyDescent="0.25">
      <c r="BI52" s="545">
        <v>48</v>
      </c>
      <c r="BJ52" s="549" t="s">
        <v>1328</v>
      </c>
      <c r="BL52" s="545"/>
      <c r="BM52" s="549"/>
      <c r="CP52" s="552"/>
      <c r="CY52" s="547">
        <v>49</v>
      </c>
      <c r="CZ52" s="550" t="s">
        <v>1337</v>
      </c>
      <c r="DE52" s="547"/>
      <c r="DF52" s="550"/>
      <c r="DH52" s="379">
        <v>87</v>
      </c>
      <c r="DI52" s="380" t="s">
        <v>419</v>
      </c>
    </row>
    <row r="53" spans="16:113" s="377" customFormat="1" ht="18" customHeight="1" x14ac:dyDescent="0.25">
      <c r="BI53" s="545">
        <v>50</v>
      </c>
      <c r="BJ53" s="549" t="s">
        <v>1329</v>
      </c>
      <c r="CY53" s="547">
        <v>50</v>
      </c>
      <c r="CZ53" s="550" t="s">
        <v>1772</v>
      </c>
      <c r="DE53" s="547"/>
      <c r="DF53" s="550"/>
      <c r="DH53" s="379">
        <v>88</v>
      </c>
      <c r="DI53" s="380" t="s">
        <v>420</v>
      </c>
    </row>
    <row r="54" spans="16:113" s="377" customFormat="1" ht="18" customHeight="1" x14ac:dyDescent="0.25">
      <c r="BI54" s="545">
        <v>51</v>
      </c>
      <c r="BJ54" s="549" t="s">
        <v>1331</v>
      </c>
      <c r="CY54" s="545">
        <v>77</v>
      </c>
      <c r="CZ54" s="549" t="s">
        <v>1771</v>
      </c>
      <c r="DE54" s="547"/>
      <c r="DF54" s="550"/>
      <c r="DH54" s="379">
        <v>89</v>
      </c>
      <c r="DI54" s="380" t="s">
        <v>421</v>
      </c>
    </row>
    <row r="55" spans="16:113" s="377" customFormat="1" ht="18" customHeight="1" x14ac:dyDescent="0.25">
      <c r="BI55" s="545">
        <v>52</v>
      </c>
      <c r="BJ55" s="549" t="s">
        <v>1333</v>
      </c>
      <c r="CY55" s="547">
        <v>51</v>
      </c>
      <c r="CZ55" s="550" t="s">
        <v>1338</v>
      </c>
      <c r="DE55" s="547"/>
      <c r="DF55" s="550"/>
    </row>
    <row r="56" spans="16:113" s="377" customFormat="1" ht="18" customHeight="1" x14ac:dyDescent="0.25">
      <c r="BI56" s="545">
        <v>53</v>
      </c>
      <c r="BJ56" s="549" t="s">
        <v>1364</v>
      </c>
      <c r="CY56" s="547">
        <v>52</v>
      </c>
      <c r="CZ56" s="550" t="s">
        <v>1339</v>
      </c>
      <c r="DE56" s="547"/>
      <c r="DF56" s="550"/>
    </row>
    <row r="57" spans="16:113" s="377" customFormat="1" ht="18" customHeight="1" x14ac:dyDescent="0.25">
      <c r="BI57" s="552">
        <v>54</v>
      </c>
      <c r="BJ57" s="553" t="s">
        <v>1336</v>
      </c>
      <c r="CY57" s="547">
        <v>53</v>
      </c>
      <c r="CZ57" s="550" t="s">
        <v>1340</v>
      </c>
      <c r="DE57" s="547"/>
      <c r="DF57" s="550"/>
    </row>
    <row r="58" spans="16:113" s="377" customFormat="1" ht="18" customHeight="1" x14ac:dyDescent="0.25">
      <c r="CY58" s="547">
        <v>54</v>
      </c>
      <c r="CZ58" s="550" t="s">
        <v>1341</v>
      </c>
      <c r="DE58" s="547"/>
      <c r="DF58" s="550"/>
    </row>
    <row r="59" spans="16:113" s="377" customFormat="1" ht="18" customHeight="1" x14ac:dyDescent="0.25">
      <c r="CY59" s="547">
        <v>55</v>
      </c>
      <c r="CZ59" s="550" t="s">
        <v>1342</v>
      </c>
      <c r="DE59" s="547"/>
      <c r="DF59" s="550"/>
    </row>
    <row r="60" spans="16:113" s="377" customFormat="1" ht="18" customHeight="1" x14ac:dyDescent="0.25">
      <c r="CY60" s="547">
        <v>56</v>
      </c>
      <c r="CZ60" s="550" t="s">
        <v>1343</v>
      </c>
      <c r="DE60" s="547"/>
      <c r="DF60" s="550"/>
    </row>
    <row r="61" spans="16:113" s="377" customFormat="1" ht="18" customHeight="1" x14ac:dyDescent="0.25">
      <c r="CY61" s="547">
        <v>57</v>
      </c>
      <c r="CZ61" s="550" t="s">
        <v>1344</v>
      </c>
      <c r="DE61" s="547"/>
      <c r="DF61" s="550"/>
    </row>
    <row r="62" spans="16:113" s="377" customFormat="1" ht="18" customHeight="1" x14ac:dyDescent="0.25">
      <c r="CY62" s="547">
        <v>58</v>
      </c>
      <c r="CZ62" s="550" t="s">
        <v>1345</v>
      </c>
      <c r="DE62" s="547"/>
      <c r="DF62" s="550"/>
    </row>
    <row r="63" spans="16:113" s="377" customFormat="1" ht="18" customHeight="1" x14ac:dyDescent="0.25">
      <c r="CY63" s="547">
        <v>59</v>
      </c>
      <c r="CZ63" s="550" t="s">
        <v>1346</v>
      </c>
      <c r="DE63" s="547"/>
      <c r="DF63" s="550"/>
    </row>
    <row r="64" spans="16:113" s="377" customFormat="1" ht="18" customHeight="1" x14ac:dyDescent="0.25">
      <c r="CY64" s="547">
        <v>60</v>
      </c>
      <c r="CZ64" s="550" t="s">
        <v>1347</v>
      </c>
      <c r="DE64" s="547"/>
      <c r="DF64" s="550"/>
    </row>
    <row r="65" spans="103:110" s="377" customFormat="1" ht="18" customHeight="1" x14ac:dyDescent="0.25">
      <c r="CY65" s="547">
        <v>61</v>
      </c>
      <c r="CZ65" s="550" t="s">
        <v>1285</v>
      </c>
      <c r="DE65" s="547"/>
      <c r="DF65" s="550"/>
    </row>
    <row r="66" spans="103:110" s="377" customFormat="1" ht="18" customHeight="1" x14ac:dyDescent="0.25">
      <c r="CY66" s="547">
        <v>62</v>
      </c>
      <c r="CZ66" s="550" t="s">
        <v>1348</v>
      </c>
      <c r="DE66" s="547"/>
      <c r="DF66" s="550"/>
    </row>
    <row r="67" spans="103:110" s="377" customFormat="1" ht="18" customHeight="1" x14ac:dyDescent="0.25">
      <c r="CY67" s="547">
        <v>63</v>
      </c>
      <c r="CZ67" s="550" t="s">
        <v>1349</v>
      </c>
      <c r="DE67" s="547"/>
      <c r="DF67" s="550"/>
    </row>
    <row r="68" spans="103:110" s="377" customFormat="1" ht="18" customHeight="1" x14ac:dyDescent="0.25">
      <c r="CY68" s="547">
        <v>64</v>
      </c>
      <c r="CZ68" s="550" t="s">
        <v>1350</v>
      </c>
      <c r="DE68" s="547"/>
      <c r="DF68" s="550"/>
    </row>
    <row r="69" spans="103:110" s="377" customFormat="1" ht="18" customHeight="1" x14ac:dyDescent="0.25">
      <c r="CY69" s="547">
        <v>65</v>
      </c>
      <c r="CZ69" s="550" t="s">
        <v>1351</v>
      </c>
      <c r="DE69" s="547"/>
      <c r="DF69" s="550"/>
    </row>
    <row r="70" spans="103:110" s="377" customFormat="1" ht="18" customHeight="1" x14ac:dyDescent="0.25">
      <c r="CY70" s="547">
        <v>66</v>
      </c>
      <c r="CZ70" s="550" t="s">
        <v>1352</v>
      </c>
      <c r="DE70" s="547"/>
      <c r="DF70" s="550"/>
    </row>
    <row r="71" spans="103:110" s="377" customFormat="1" ht="18" customHeight="1" x14ac:dyDescent="0.25">
      <c r="CY71" s="547">
        <v>67</v>
      </c>
      <c r="CZ71" s="550" t="s">
        <v>1353</v>
      </c>
      <c r="DE71" s="547"/>
      <c r="DF71" s="550"/>
    </row>
    <row r="72" spans="103:110" s="377" customFormat="1" ht="18" customHeight="1" x14ac:dyDescent="0.25">
      <c r="CY72" s="547">
        <v>68</v>
      </c>
      <c r="CZ72" s="550" t="s">
        <v>1354</v>
      </c>
      <c r="DE72" s="547"/>
      <c r="DF72" s="550"/>
    </row>
    <row r="73" spans="103:110" s="377" customFormat="1" ht="18" customHeight="1" x14ac:dyDescent="0.25">
      <c r="CY73" s="547">
        <v>69</v>
      </c>
      <c r="CZ73" s="550" t="s">
        <v>1355</v>
      </c>
      <c r="DE73" s="547"/>
      <c r="DF73" s="550"/>
    </row>
    <row r="74" spans="103:110" s="377" customFormat="1" ht="18" customHeight="1" x14ac:dyDescent="0.25">
      <c r="CY74" s="547">
        <v>70</v>
      </c>
      <c r="CZ74" s="550" t="s">
        <v>1356</v>
      </c>
      <c r="DE74" s="547"/>
      <c r="DF74" s="550"/>
    </row>
    <row r="75" spans="103:110" s="377" customFormat="1" ht="18" customHeight="1" x14ac:dyDescent="0.25">
      <c r="CY75" s="547">
        <v>71</v>
      </c>
      <c r="CZ75" s="550" t="s">
        <v>1357</v>
      </c>
      <c r="DE75" s="547"/>
      <c r="DF75" s="550"/>
    </row>
    <row r="76" spans="103:110" s="377" customFormat="1" ht="18" customHeight="1" x14ac:dyDescent="0.25">
      <c r="CY76" s="547">
        <v>72</v>
      </c>
      <c r="CZ76" s="550" t="s">
        <v>1358</v>
      </c>
      <c r="DE76" s="547"/>
      <c r="DF76" s="550"/>
    </row>
    <row r="77" spans="103:110" s="377" customFormat="1" ht="18" customHeight="1" x14ac:dyDescent="0.25">
      <c r="CY77" s="547">
        <v>73</v>
      </c>
      <c r="CZ77" s="550" t="s">
        <v>1359</v>
      </c>
      <c r="DE77" s="547"/>
      <c r="DF77" s="550"/>
    </row>
    <row r="78" spans="103:110" s="377" customFormat="1" ht="18" customHeight="1" x14ac:dyDescent="0.25">
      <c r="CY78" s="547">
        <v>74</v>
      </c>
      <c r="CZ78" s="550" t="s">
        <v>1360</v>
      </c>
      <c r="DE78" s="547"/>
      <c r="DF78" s="550"/>
    </row>
    <row r="79" spans="103:110" s="377" customFormat="1" ht="18" customHeight="1" x14ac:dyDescent="0.25">
      <c r="CY79" s="547">
        <v>75</v>
      </c>
      <c r="CZ79" s="550" t="s">
        <v>1361</v>
      </c>
    </row>
    <row r="80" spans="103:110" s="377" customFormat="1" ht="18" customHeight="1" x14ac:dyDescent="0.25">
      <c r="CY80" s="547">
        <v>76</v>
      </c>
      <c r="CZ80" s="550" t="s">
        <v>1789</v>
      </c>
    </row>
    <row r="81" spans="103:104" s="377" customFormat="1" ht="18" customHeight="1" x14ac:dyDescent="0.25">
      <c r="CY81" s="545">
        <v>79</v>
      </c>
      <c r="CZ81" s="549" t="s">
        <v>1791</v>
      </c>
    </row>
    <row r="82" spans="103:104" s="377" customFormat="1" ht="18" customHeight="1" x14ac:dyDescent="0.25">
      <c r="CY82" s="545"/>
      <c r="CZ82" s="549"/>
    </row>
    <row r="83" spans="103:104" s="377" customFormat="1" ht="18" customHeight="1" x14ac:dyDescent="0.25">
      <c r="CY83" s="545"/>
      <c r="CZ83" s="549"/>
    </row>
    <row r="84" spans="103:104" s="377" customFormat="1" ht="18" customHeight="1" x14ac:dyDescent="0.25">
      <c r="CY84" s="545"/>
      <c r="CZ84" s="549"/>
    </row>
    <row r="85" spans="103:104" s="377" customFormat="1" ht="18" customHeight="1" x14ac:dyDescent="0.25">
      <c r="CY85" s="545"/>
      <c r="CZ85" s="549"/>
    </row>
    <row r="86" spans="103:104" s="377" customFormat="1" ht="18" customHeight="1" x14ac:dyDescent="0.25">
      <c r="CY86" s="545"/>
      <c r="CZ86" s="549"/>
    </row>
  </sheetData>
  <sheetProtection password="C614" sheet="1" objects="1" scenarios="1"/>
  <sortState ref="CG2:CH31">
    <sortCondition ref="CH2:CH31"/>
  </sortState>
  <pageMargins left="0.7" right="0.7" top="0.75" bottom="0.75" header="0.3" footer="0.3"/>
  <pageSetup paperSize="9" fitToHeight="0"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A518"/>
  <sheetViews>
    <sheetView showGridLines="0" workbookViewId="0">
      <pane xSplit="3" ySplit="7" topLeftCell="D8" activePane="bottomRight" state="frozen"/>
      <selection activeCell="D9" sqref="D9"/>
      <selection pane="topRight" activeCell="D9" sqref="D9"/>
      <selection pane="bottomLeft" activeCell="D9" sqref="D9"/>
      <selection pane="bottomRight" activeCell="E14" sqref="E14"/>
    </sheetView>
  </sheetViews>
  <sheetFormatPr defaultRowHeight="15" x14ac:dyDescent="0.25"/>
  <cols>
    <col min="1" max="2" width="6.7109375" style="25" customWidth="1"/>
    <col min="3" max="3" width="31.42578125" style="25" bestFit="1" customWidth="1"/>
    <col min="4" max="4" width="13.7109375" style="25" customWidth="1"/>
    <col min="5" max="5" width="14.7109375" style="25" customWidth="1"/>
    <col min="6" max="9" width="13.7109375" style="25" customWidth="1"/>
    <col min="10" max="10" width="15.7109375" style="25" customWidth="1"/>
    <col min="11" max="16" width="13.7109375" style="25" customWidth="1"/>
    <col min="17" max="17" width="15.7109375" style="25" customWidth="1"/>
    <col min="18" max="23" width="13.7109375" style="25" customWidth="1"/>
    <col min="24" max="25" width="15.7109375" style="25" customWidth="1"/>
    <col min="26" max="26" width="8.7109375" style="25" customWidth="1"/>
    <col min="27" max="52" width="9.140625" style="25"/>
    <col min="53" max="53" width="3.7109375" style="25" customWidth="1"/>
    <col min="54" max="54" width="16.28515625" style="25" customWidth="1"/>
    <col min="55" max="55" width="6.7109375" style="25" customWidth="1"/>
    <col min="56" max="61" width="7" style="25" customWidth="1"/>
    <col min="62" max="62" width="6.7109375" style="25" customWidth="1"/>
    <col min="63" max="68" width="7" style="25" customWidth="1"/>
    <col min="69" max="69" width="6" style="25" customWidth="1"/>
    <col min="70" max="75" width="6.28515625" style="25" customWidth="1"/>
    <col min="76" max="76" width="7" style="25" customWidth="1"/>
    <col min="77" max="16384" width="9.140625" style="25"/>
  </cols>
  <sheetData>
    <row r="1" spans="1:26" ht="15.75" x14ac:dyDescent="0.25">
      <c r="A1" s="289" t="str">
        <f>ADSI!$B$1</f>
        <v>Goa, , ADSI-2021</v>
      </c>
    </row>
    <row r="2" spans="1:26" ht="15.75" x14ac:dyDescent="0.25">
      <c r="A2" s="289" t="s">
        <v>32</v>
      </c>
      <c r="C2" s="35"/>
      <c r="E2" s="465" t="s">
        <v>1570</v>
      </c>
      <c r="F2" s="464">
        <f>COUNTIF(D24:Y24,"ABVAR")</f>
        <v>3</v>
      </c>
      <c r="K2" s="35"/>
      <c r="L2" s="35"/>
      <c r="M2" s="35"/>
      <c r="N2" s="35"/>
      <c r="O2" s="35"/>
      <c r="P2" s="35"/>
      <c r="Q2" s="35"/>
      <c r="S2" s="35"/>
      <c r="T2" s="35"/>
      <c r="U2" s="35"/>
      <c r="V2" s="35"/>
      <c r="W2" s="35"/>
      <c r="X2" s="35"/>
      <c r="Y2" s="35"/>
    </row>
    <row r="3" spans="1:26" ht="15.75" x14ac:dyDescent="0.25">
      <c r="A3" s="297" t="s">
        <v>33</v>
      </c>
      <c r="C3" s="36"/>
      <c r="D3" s="36"/>
      <c r="E3" s="36"/>
      <c r="F3" s="36"/>
      <c r="G3" s="36"/>
      <c r="H3" s="36"/>
      <c r="I3" s="36"/>
      <c r="J3" s="36"/>
      <c r="K3" s="36"/>
      <c r="L3" s="36"/>
      <c r="M3" s="36"/>
      <c r="N3" s="36"/>
      <c r="O3" s="36"/>
      <c r="P3" s="36"/>
      <c r="Q3" s="143"/>
      <c r="R3" s="144"/>
      <c r="S3" s="36"/>
      <c r="T3" s="36"/>
      <c r="U3" s="36"/>
      <c r="V3" s="36"/>
      <c r="W3" s="36"/>
      <c r="X3" s="36"/>
      <c r="Y3" s="36"/>
    </row>
    <row r="4" spans="1:26" ht="20.100000000000001" customHeight="1" x14ac:dyDescent="0.25">
      <c r="A4" s="578" t="s">
        <v>249</v>
      </c>
      <c r="B4" s="578" t="s">
        <v>0</v>
      </c>
      <c r="C4" s="581" t="s">
        <v>12</v>
      </c>
      <c r="D4" s="587" t="s">
        <v>13</v>
      </c>
      <c r="E4" s="588"/>
      <c r="F4" s="588"/>
      <c r="G4" s="588"/>
      <c r="H4" s="588"/>
      <c r="I4" s="588"/>
      <c r="J4" s="588"/>
      <c r="K4" s="588"/>
      <c r="L4" s="588"/>
      <c r="M4" s="588"/>
      <c r="N4" s="588"/>
      <c r="O4" s="588"/>
      <c r="P4" s="588"/>
      <c r="Q4" s="588"/>
      <c r="R4" s="588"/>
      <c r="S4" s="588"/>
      <c r="T4" s="588"/>
      <c r="U4" s="588"/>
      <c r="V4" s="588"/>
      <c r="W4" s="588"/>
      <c r="X4" s="589"/>
      <c r="Y4" s="584" t="s">
        <v>247</v>
      </c>
    </row>
    <row r="5" spans="1:26" ht="20.100000000000001" customHeight="1" x14ac:dyDescent="0.25">
      <c r="A5" s="579"/>
      <c r="B5" s="579"/>
      <c r="C5" s="582"/>
      <c r="D5" s="587" t="s">
        <v>172</v>
      </c>
      <c r="E5" s="588"/>
      <c r="F5" s="588"/>
      <c r="G5" s="588"/>
      <c r="H5" s="588"/>
      <c r="I5" s="588"/>
      <c r="J5" s="589"/>
      <c r="K5" s="590" t="s">
        <v>173</v>
      </c>
      <c r="L5" s="591"/>
      <c r="M5" s="591"/>
      <c r="N5" s="591"/>
      <c r="O5" s="591"/>
      <c r="P5" s="591"/>
      <c r="Q5" s="592"/>
      <c r="R5" s="587" t="s">
        <v>240</v>
      </c>
      <c r="S5" s="588"/>
      <c r="T5" s="588"/>
      <c r="U5" s="588"/>
      <c r="V5" s="588"/>
      <c r="W5" s="588"/>
      <c r="X5" s="589"/>
      <c r="Y5" s="585"/>
    </row>
    <row r="6" spans="1:26" ht="45" x14ac:dyDescent="0.25">
      <c r="A6" s="580"/>
      <c r="B6" s="580"/>
      <c r="C6" s="583"/>
      <c r="D6" s="232" t="s">
        <v>169</v>
      </c>
      <c r="E6" s="232" t="s">
        <v>170</v>
      </c>
      <c r="F6" s="232" t="s">
        <v>171</v>
      </c>
      <c r="G6" s="232" t="s">
        <v>15</v>
      </c>
      <c r="H6" s="232" t="s">
        <v>178</v>
      </c>
      <c r="I6" s="232" t="s">
        <v>16</v>
      </c>
      <c r="J6" s="232" t="s">
        <v>198</v>
      </c>
      <c r="K6" s="233" t="s">
        <v>169</v>
      </c>
      <c r="L6" s="233" t="s">
        <v>170</v>
      </c>
      <c r="M6" s="233" t="s">
        <v>171</v>
      </c>
      <c r="N6" s="233" t="s">
        <v>15</v>
      </c>
      <c r="O6" s="233" t="s">
        <v>178</v>
      </c>
      <c r="P6" s="233" t="s">
        <v>16</v>
      </c>
      <c r="Q6" s="233" t="s">
        <v>248</v>
      </c>
      <c r="R6" s="232" t="s">
        <v>169</v>
      </c>
      <c r="S6" s="232" t="s">
        <v>170</v>
      </c>
      <c r="T6" s="232" t="s">
        <v>171</v>
      </c>
      <c r="U6" s="232" t="s">
        <v>15</v>
      </c>
      <c r="V6" s="232" t="s">
        <v>178</v>
      </c>
      <c r="W6" s="232" t="s">
        <v>16</v>
      </c>
      <c r="X6" s="232" t="s">
        <v>243</v>
      </c>
      <c r="Y6" s="586"/>
    </row>
    <row r="7" spans="1:26" ht="18" customHeight="1" x14ac:dyDescent="0.25">
      <c r="A7" s="27"/>
      <c r="B7" s="27" t="s">
        <v>181</v>
      </c>
      <c r="C7" s="221" t="s">
        <v>182</v>
      </c>
      <c r="D7" s="28" t="s">
        <v>183</v>
      </c>
      <c r="E7" s="27" t="s">
        <v>184</v>
      </c>
      <c r="F7" s="27" t="s">
        <v>185</v>
      </c>
      <c r="G7" s="27" t="s">
        <v>186</v>
      </c>
      <c r="H7" s="29" t="s">
        <v>187</v>
      </c>
      <c r="I7" s="29" t="s">
        <v>188</v>
      </c>
      <c r="J7" s="29" t="s">
        <v>189</v>
      </c>
      <c r="K7" s="222" t="s">
        <v>190</v>
      </c>
      <c r="L7" s="222" t="s">
        <v>191</v>
      </c>
      <c r="M7" s="222" t="s">
        <v>192</v>
      </c>
      <c r="N7" s="222" t="s">
        <v>193</v>
      </c>
      <c r="O7" s="222" t="s">
        <v>194</v>
      </c>
      <c r="P7" s="222" t="s">
        <v>195</v>
      </c>
      <c r="Q7" s="222" t="s">
        <v>196</v>
      </c>
      <c r="R7" s="29" t="s">
        <v>197</v>
      </c>
      <c r="S7" s="29" t="s">
        <v>204</v>
      </c>
      <c r="T7" s="29" t="s">
        <v>205</v>
      </c>
      <c r="U7" s="29" t="s">
        <v>206</v>
      </c>
      <c r="V7" s="29" t="s">
        <v>207</v>
      </c>
      <c r="W7" s="29" t="s">
        <v>208</v>
      </c>
      <c r="X7" s="29" t="s">
        <v>209</v>
      </c>
      <c r="Y7" s="222" t="s">
        <v>210</v>
      </c>
    </row>
    <row r="8" spans="1:26" ht="20.100000000000001" customHeight="1" x14ac:dyDescent="0.25">
      <c r="A8" s="33">
        <v>1</v>
      </c>
      <c r="B8" s="33">
        <v>1</v>
      </c>
      <c r="C8" s="30" t="s">
        <v>18</v>
      </c>
      <c r="D8" s="234">
        <v>0</v>
      </c>
      <c r="E8" s="234">
        <v>0</v>
      </c>
      <c r="F8" s="234">
        <v>0</v>
      </c>
      <c r="G8" s="234">
        <v>0</v>
      </c>
      <c r="H8" s="234">
        <v>0</v>
      </c>
      <c r="I8" s="234">
        <v>0</v>
      </c>
      <c r="J8" s="431">
        <f>SUM(D8:I8)</f>
        <v>0</v>
      </c>
      <c r="K8" s="234">
        <v>0</v>
      </c>
      <c r="L8" s="234">
        <v>0</v>
      </c>
      <c r="M8" s="234">
        <v>0</v>
      </c>
      <c r="N8" s="234">
        <v>0</v>
      </c>
      <c r="O8" s="234">
        <v>0</v>
      </c>
      <c r="P8" s="234">
        <v>0</v>
      </c>
      <c r="Q8" s="431">
        <f>SUM(K8:P8)</f>
        <v>0</v>
      </c>
      <c r="R8" s="234">
        <v>0</v>
      </c>
      <c r="S8" s="234">
        <v>0</v>
      </c>
      <c r="T8" s="234">
        <v>0</v>
      </c>
      <c r="U8" s="234">
        <v>0</v>
      </c>
      <c r="V8" s="234">
        <v>0</v>
      </c>
      <c r="W8" s="234">
        <v>0</v>
      </c>
      <c r="X8" s="431">
        <f>SUM(R8:W8)</f>
        <v>0</v>
      </c>
      <c r="Y8" s="431">
        <f>J8+Q8+X8</f>
        <v>0</v>
      </c>
      <c r="Z8" s="331"/>
    </row>
    <row r="9" spans="1:26" ht="20.100000000000001" customHeight="1" x14ac:dyDescent="0.25">
      <c r="A9" s="34">
        <v>2</v>
      </c>
      <c r="B9" s="34">
        <v>2</v>
      </c>
      <c r="C9" s="31" t="s">
        <v>19</v>
      </c>
      <c r="D9" s="234">
        <v>0</v>
      </c>
      <c r="E9" s="234">
        <v>0</v>
      </c>
      <c r="F9" s="234">
        <v>0</v>
      </c>
      <c r="G9" s="234">
        <v>0</v>
      </c>
      <c r="H9" s="234">
        <v>0</v>
      </c>
      <c r="I9" s="234">
        <v>0</v>
      </c>
      <c r="J9" s="431">
        <f t="shared" ref="J9:J22" si="0">SUM(D9:I9)</f>
        <v>0</v>
      </c>
      <c r="K9" s="234">
        <v>0</v>
      </c>
      <c r="L9" s="234">
        <v>0</v>
      </c>
      <c r="M9" s="234">
        <v>0</v>
      </c>
      <c r="N9" s="234">
        <v>0</v>
      </c>
      <c r="O9" s="234">
        <v>0</v>
      </c>
      <c r="P9" s="234">
        <v>0</v>
      </c>
      <c r="Q9" s="431">
        <f t="shared" ref="Q9:Q22" si="1">SUM(K9:P9)</f>
        <v>0</v>
      </c>
      <c r="R9" s="234">
        <v>0</v>
      </c>
      <c r="S9" s="234">
        <v>0</v>
      </c>
      <c r="T9" s="234">
        <v>0</v>
      </c>
      <c r="U9" s="234">
        <v>0</v>
      </c>
      <c r="V9" s="234">
        <v>0</v>
      </c>
      <c r="W9" s="234">
        <v>0</v>
      </c>
      <c r="X9" s="431">
        <f t="shared" ref="X9:X22" si="2">SUM(R9:W9)</f>
        <v>0</v>
      </c>
      <c r="Y9" s="431">
        <f t="shared" ref="Y9:Y22" si="3">J9+Q9+X9</f>
        <v>0</v>
      </c>
      <c r="Z9" s="331"/>
    </row>
    <row r="10" spans="1:26" ht="20.100000000000001" customHeight="1" x14ac:dyDescent="0.25">
      <c r="A10" s="33">
        <v>3</v>
      </c>
      <c r="B10" s="34">
        <v>3</v>
      </c>
      <c r="C10" s="31" t="s">
        <v>20</v>
      </c>
      <c r="D10" s="234">
        <v>0</v>
      </c>
      <c r="E10" s="235">
        <v>0</v>
      </c>
      <c r="F10" s="234">
        <v>0</v>
      </c>
      <c r="G10" s="234">
        <v>0</v>
      </c>
      <c r="H10" s="234">
        <v>0</v>
      </c>
      <c r="I10" s="234">
        <v>0</v>
      </c>
      <c r="J10" s="431">
        <f t="shared" si="0"/>
        <v>0</v>
      </c>
      <c r="K10" s="234">
        <v>0</v>
      </c>
      <c r="L10" s="234">
        <v>0</v>
      </c>
      <c r="M10" s="234">
        <v>0</v>
      </c>
      <c r="N10" s="235">
        <v>0</v>
      </c>
      <c r="O10" s="234">
        <v>0</v>
      </c>
      <c r="P10" s="234">
        <v>0</v>
      </c>
      <c r="Q10" s="431">
        <f t="shared" si="1"/>
        <v>0</v>
      </c>
      <c r="R10" s="234">
        <v>0</v>
      </c>
      <c r="S10" s="234">
        <v>0</v>
      </c>
      <c r="T10" s="234">
        <v>0</v>
      </c>
      <c r="U10" s="235">
        <v>0</v>
      </c>
      <c r="V10" s="234">
        <v>0</v>
      </c>
      <c r="W10" s="234">
        <v>0</v>
      </c>
      <c r="X10" s="431">
        <f t="shared" si="2"/>
        <v>0</v>
      </c>
      <c r="Y10" s="431">
        <f t="shared" si="3"/>
        <v>0</v>
      </c>
      <c r="Z10" s="331"/>
    </row>
    <row r="11" spans="1:26" ht="20.100000000000001" customHeight="1" x14ac:dyDescent="0.25">
      <c r="A11" s="34">
        <v>4</v>
      </c>
      <c r="B11" s="34">
        <v>4</v>
      </c>
      <c r="C11" s="31" t="s">
        <v>21</v>
      </c>
      <c r="D11" s="234">
        <v>0</v>
      </c>
      <c r="E11" s="235">
        <v>0</v>
      </c>
      <c r="F11" s="234">
        <v>0</v>
      </c>
      <c r="G11" s="234">
        <v>0</v>
      </c>
      <c r="H11" s="234">
        <v>0</v>
      </c>
      <c r="I11" s="234">
        <v>0</v>
      </c>
      <c r="J11" s="431">
        <f t="shared" si="0"/>
        <v>0</v>
      </c>
      <c r="K11" s="234">
        <v>0</v>
      </c>
      <c r="L11" s="234">
        <v>0</v>
      </c>
      <c r="M11" s="234">
        <v>0</v>
      </c>
      <c r="N11" s="235">
        <v>0</v>
      </c>
      <c r="O11" s="234">
        <v>0</v>
      </c>
      <c r="P11" s="234">
        <v>0</v>
      </c>
      <c r="Q11" s="431">
        <f t="shared" si="1"/>
        <v>0</v>
      </c>
      <c r="R11" s="234">
        <v>0</v>
      </c>
      <c r="S11" s="234">
        <v>0</v>
      </c>
      <c r="T11" s="234">
        <v>0</v>
      </c>
      <c r="U11" s="235">
        <v>0</v>
      </c>
      <c r="V11" s="234">
        <v>0</v>
      </c>
      <c r="W11" s="234">
        <v>0</v>
      </c>
      <c r="X11" s="431">
        <f t="shared" si="2"/>
        <v>0</v>
      </c>
      <c r="Y11" s="431">
        <f t="shared" si="3"/>
        <v>0</v>
      </c>
      <c r="Z11" s="331"/>
    </row>
    <row r="12" spans="1:26" ht="20.100000000000001" customHeight="1" x14ac:dyDescent="0.25">
      <c r="A12" s="33">
        <v>5</v>
      </c>
      <c r="B12" s="34">
        <v>5</v>
      </c>
      <c r="C12" s="31" t="s">
        <v>22</v>
      </c>
      <c r="D12" s="234">
        <v>0</v>
      </c>
      <c r="E12" s="234">
        <v>0</v>
      </c>
      <c r="F12" s="234">
        <v>0</v>
      </c>
      <c r="G12" s="234">
        <v>0</v>
      </c>
      <c r="H12" s="234">
        <v>0</v>
      </c>
      <c r="I12" s="234">
        <v>0</v>
      </c>
      <c r="J12" s="431">
        <f t="shared" si="0"/>
        <v>0</v>
      </c>
      <c r="K12" s="234">
        <v>0</v>
      </c>
      <c r="L12" s="234">
        <v>0</v>
      </c>
      <c r="M12" s="234">
        <v>0</v>
      </c>
      <c r="N12" s="234">
        <v>0</v>
      </c>
      <c r="O12" s="234">
        <v>0</v>
      </c>
      <c r="P12" s="234">
        <v>0</v>
      </c>
      <c r="Q12" s="431">
        <f t="shared" si="1"/>
        <v>0</v>
      </c>
      <c r="R12" s="234">
        <v>0</v>
      </c>
      <c r="S12" s="234">
        <v>0</v>
      </c>
      <c r="T12" s="234">
        <v>0</v>
      </c>
      <c r="U12" s="234">
        <v>0</v>
      </c>
      <c r="V12" s="234">
        <v>0</v>
      </c>
      <c r="W12" s="234">
        <v>0</v>
      </c>
      <c r="X12" s="431">
        <f t="shared" si="2"/>
        <v>0</v>
      </c>
      <c r="Y12" s="431">
        <f t="shared" si="3"/>
        <v>0</v>
      </c>
      <c r="Z12" s="331"/>
    </row>
    <row r="13" spans="1:26" ht="20.100000000000001" customHeight="1" x14ac:dyDescent="0.25">
      <c r="A13" s="34">
        <v>6</v>
      </c>
      <c r="B13" s="34">
        <v>6</v>
      </c>
      <c r="C13" s="32" t="s">
        <v>23</v>
      </c>
      <c r="D13" s="234">
        <v>0</v>
      </c>
      <c r="E13" s="234">
        <v>0</v>
      </c>
      <c r="F13" s="234">
        <v>0</v>
      </c>
      <c r="G13" s="234">
        <v>0</v>
      </c>
      <c r="H13" s="234">
        <v>0</v>
      </c>
      <c r="I13" s="234">
        <v>0</v>
      </c>
      <c r="J13" s="431">
        <f t="shared" si="0"/>
        <v>0</v>
      </c>
      <c r="K13" s="234">
        <v>0</v>
      </c>
      <c r="L13" s="234">
        <v>0</v>
      </c>
      <c r="M13" s="234">
        <v>0</v>
      </c>
      <c r="N13" s="234">
        <v>0</v>
      </c>
      <c r="O13" s="234">
        <v>0</v>
      </c>
      <c r="P13" s="234">
        <v>0</v>
      </c>
      <c r="Q13" s="431">
        <f t="shared" si="1"/>
        <v>0</v>
      </c>
      <c r="R13" s="234">
        <v>0</v>
      </c>
      <c r="S13" s="234">
        <v>0</v>
      </c>
      <c r="T13" s="234">
        <v>0</v>
      </c>
      <c r="U13" s="234">
        <v>0</v>
      </c>
      <c r="V13" s="234">
        <v>0</v>
      </c>
      <c r="W13" s="234">
        <v>0</v>
      </c>
      <c r="X13" s="431">
        <f t="shared" si="2"/>
        <v>0</v>
      </c>
      <c r="Y13" s="431">
        <f t="shared" si="3"/>
        <v>0</v>
      </c>
      <c r="Z13" s="331"/>
    </row>
    <row r="14" spans="1:26" ht="20.100000000000001" customHeight="1" x14ac:dyDescent="0.25">
      <c r="A14" s="33">
        <v>7</v>
      </c>
      <c r="B14" s="34">
        <v>7</v>
      </c>
      <c r="C14" s="31" t="s">
        <v>24</v>
      </c>
      <c r="D14" s="234">
        <v>0</v>
      </c>
      <c r="E14" s="234">
        <v>0</v>
      </c>
      <c r="F14" s="234">
        <v>0</v>
      </c>
      <c r="G14" s="234">
        <v>0</v>
      </c>
      <c r="H14" s="234">
        <v>0</v>
      </c>
      <c r="I14" s="234">
        <v>0</v>
      </c>
      <c r="J14" s="431">
        <f t="shared" si="0"/>
        <v>0</v>
      </c>
      <c r="K14" s="234">
        <v>0</v>
      </c>
      <c r="L14" s="234">
        <v>0</v>
      </c>
      <c r="M14" s="234">
        <v>0</v>
      </c>
      <c r="N14" s="234">
        <v>0</v>
      </c>
      <c r="O14" s="234">
        <v>0</v>
      </c>
      <c r="P14" s="234">
        <v>0</v>
      </c>
      <c r="Q14" s="431">
        <f t="shared" si="1"/>
        <v>0</v>
      </c>
      <c r="R14" s="234">
        <v>0</v>
      </c>
      <c r="S14" s="234">
        <v>0</v>
      </c>
      <c r="T14" s="234">
        <v>0</v>
      </c>
      <c r="U14" s="234">
        <v>0</v>
      </c>
      <c r="V14" s="234">
        <v>0</v>
      </c>
      <c r="W14" s="234">
        <v>0</v>
      </c>
      <c r="X14" s="431">
        <f t="shared" si="2"/>
        <v>0</v>
      </c>
      <c r="Y14" s="431">
        <f t="shared" si="3"/>
        <v>0</v>
      </c>
      <c r="Z14" s="331"/>
    </row>
    <row r="15" spans="1:26" ht="20.100000000000001" customHeight="1" x14ac:dyDescent="0.25">
      <c r="A15" s="34">
        <v>8</v>
      </c>
      <c r="B15" s="34">
        <v>8</v>
      </c>
      <c r="C15" s="31" t="s">
        <v>25</v>
      </c>
      <c r="D15" s="235">
        <v>0</v>
      </c>
      <c r="E15" s="234">
        <v>0</v>
      </c>
      <c r="F15" s="234">
        <v>0</v>
      </c>
      <c r="G15" s="234">
        <v>0</v>
      </c>
      <c r="H15" s="234">
        <v>0</v>
      </c>
      <c r="I15" s="234">
        <v>0</v>
      </c>
      <c r="J15" s="431">
        <f t="shared" si="0"/>
        <v>0</v>
      </c>
      <c r="K15" s="234">
        <v>0</v>
      </c>
      <c r="L15" s="234">
        <v>0</v>
      </c>
      <c r="M15" s="235">
        <v>0</v>
      </c>
      <c r="N15" s="234">
        <v>0</v>
      </c>
      <c r="O15" s="234">
        <v>0</v>
      </c>
      <c r="P15" s="234">
        <v>0</v>
      </c>
      <c r="Q15" s="431">
        <f t="shared" si="1"/>
        <v>0</v>
      </c>
      <c r="R15" s="234">
        <v>0</v>
      </c>
      <c r="S15" s="234">
        <v>0</v>
      </c>
      <c r="T15" s="235">
        <v>0</v>
      </c>
      <c r="U15" s="234">
        <v>0</v>
      </c>
      <c r="V15" s="234">
        <v>0</v>
      </c>
      <c r="W15" s="234">
        <v>0</v>
      </c>
      <c r="X15" s="431">
        <f t="shared" si="2"/>
        <v>0</v>
      </c>
      <c r="Y15" s="431">
        <f t="shared" si="3"/>
        <v>0</v>
      </c>
      <c r="Z15" s="331"/>
    </row>
    <row r="16" spans="1:26" ht="20.100000000000001" customHeight="1" x14ac:dyDescent="0.25">
      <c r="A16" s="33">
        <v>9</v>
      </c>
      <c r="B16" s="34">
        <v>9</v>
      </c>
      <c r="C16" s="31" t="s">
        <v>250</v>
      </c>
      <c r="D16" s="234">
        <v>0</v>
      </c>
      <c r="E16" s="234">
        <v>0</v>
      </c>
      <c r="F16" s="234">
        <v>0</v>
      </c>
      <c r="G16" s="234">
        <v>0</v>
      </c>
      <c r="H16" s="234">
        <v>0</v>
      </c>
      <c r="I16" s="234">
        <v>0</v>
      </c>
      <c r="J16" s="431">
        <f t="shared" si="0"/>
        <v>0</v>
      </c>
      <c r="K16" s="234">
        <v>0</v>
      </c>
      <c r="L16" s="234">
        <v>0</v>
      </c>
      <c r="M16" s="234">
        <v>0</v>
      </c>
      <c r="N16" s="234">
        <v>0</v>
      </c>
      <c r="O16" s="234">
        <v>0</v>
      </c>
      <c r="P16" s="234">
        <v>0</v>
      </c>
      <c r="Q16" s="431">
        <f t="shared" si="1"/>
        <v>0</v>
      </c>
      <c r="R16" s="234">
        <v>0</v>
      </c>
      <c r="S16" s="234">
        <v>0</v>
      </c>
      <c r="T16" s="234">
        <v>0</v>
      </c>
      <c r="U16" s="234">
        <v>0</v>
      </c>
      <c r="V16" s="234">
        <v>0</v>
      </c>
      <c r="W16" s="234">
        <v>0</v>
      </c>
      <c r="X16" s="431">
        <f t="shared" si="2"/>
        <v>0</v>
      </c>
      <c r="Y16" s="431">
        <f t="shared" si="3"/>
        <v>0</v>
      </c>
      <c r="Z16" s="331"/>
    </row>
    <row r="17" spans="1:27" ht="20.100000000000001" customHeight="1" x14ac:dyDescent="0.25">
      <c r="A17" s="34">
        <v>10</v>
      </c>
      <c r="B17" s="34">
        <v>10</v>
      </c>
      <c r="C17" s="31" t="s">
        <v>174</v>
      </c>
      <c r="D17" s="234">
        <v>0</v>
      </c>
      <c r="E17" s="234">
        <v>0</v>
      </c>
      <c r="F17" s="234">
        <v>0</v>
      </c>
      <c r="G17" s="234">
        <v>0</v>
      </c>
      <c r="H17" s="234">
        <v>0</v>
      </c>
      <c r="I17" s="234">
        <v>0</v>
      </c>
      <c r="J17" s="431">
        <f t="shared" si="0"/>
        <v>0</v>
      </c>
      <c r="K17" s="234">
        <v>0</v>
      </c>
      <c r="L17" s="234">
        <v>0</v>
      </c>
      <c r="M17" s="234">
        <v>0</v>
      </c>
      <c r="N17" s="234">
        <v>0</v>
      </c>
      <c r="O17" s="234">
        <v>0</v>
      </c>
      <c r="P17" s="234">
        <v>0</v>
      </c>
      <c r="Q17" s="431">
        <f t="shared" si="1"/>
        <v>0</v>
      </c>
      <c r="R17" s="234">
        <v>0</v>
      </c>
      <c r="S17" s="234">
        <v>0</v>
      </c>
      <c r="T17" s="234">
        <v>0</v>
      </c>
      <c r="U17" s="234">
        <v>0</v>
      </c>
      <c r="V17" s="234">
        <v>0</v>
      </c>
      <c r="W17" s="234">
        <v>0</v>
      </c>
      <c r="X17" s="431">
        <f t="shared" si="2"/>
        <v>0</v>
      </c>
      <c r="Y17" s="431">
        <f t="shared" si="3"/>
        <v>0</v>
      </c>
      <c r="Z17" s="331"/>
    </row>
    <row r="18" spans="1:27" ht="20.100000000000001" customHeight="1" x14ac:dyDescent="0.25">
      <c r="A18" s="33">
        <v>11</v>
      </c>
      <c r="B18" s="34">
        <v>11</v>
      </c>
      <c r="C18" s="31" t="s">
        <v>26</v>
      </c>
      <c r="D18" s="234">
        <v>0</v>
      </c>
      <c r="E18" s="234">
        <v>0</v>
      </c>
      <c r="F18" s="234">
        <v>0</v>
      </c>
      <c r="G18" s="234">
        <v>0</v>
      </c>
      <c r="H18" s="234">
        <v>0</v>
      </c>
      <c r="I18" s="234">
        <v>0</v>
      </c>
      <c r="J18" s="431">
        <f t="shared" si="0"/>
        <v>0</v>
      </c>
      <c r="K18" s="234">
        <v>0</v>
      </c>
      <c r="L18" s="234">
        <v>0</v>
      </c>
      <c r="M18" s="234">
        <v>0</v>
      </c>
      <c r="N18" s="234">
        <v>0</v>
      </c>
      <c r="O18" s="234">
        <v>0</v>
      </c>
      <c r="P18" s="234">
        <v>0</v>
      </c>
      <c r="Q18" s="431">
        <f t="shared" si="1"/>
        <v>0</v>
      </c>
      <c r="R18" s="234">
        <v>0</v>
      </c>
      <c r="S18" s="234">
        <v>0</v>
      </c>
      <c r="T18" s="234">
        <v>0</v>
      </c>
      <c r="U18" s="234">
        <v>0</v>
      </c>
      <c r="V18" s="234">
        <v>0</v>
      </c>
      <c r="W18" s="234">
        <v>0</v>
      </c>
      <c r="X18" s="431">
        <f t="shared" si="2"/>
        <v>0</v>
      </c>
      <c r="Y18" s="431">
        <f t="shared" si="3"/>
        <v>0</v>
      </c>
      <c r="Z18" s="331"/>
    </row>
    <row r="19" spans="1:27" ht="20.100000000000001" customHeight="1" x14ac:dyDescent="0.25">
      <c r="A19" s="34">
        <v>12</v>
      </c>
      <c r="B19" s="34">
        <v>12</v>
      </c>
      <c r="C19" s="31" t="s">
        <v>27</v>
      </c>
      <c r="D19" s="234">
        <v>0</v>
      </c>
      <c r="E19" s="234">
        <v>0</v>
      </c>
      <c r="F19" s="234">
        <v>0</v>
      </c>
      <c r="G19" s="234">
        <v>1</v>
      </c>
      <c r="H19" s="234">
        <v>0</v>
      </c>
      <c r="I19" s="234">
        <v>0</v>
      </c>
      <c r="J19" s="431">
        <f t="shared" si="0"/>
        <v>1</v>
      </c>
      <c r="K19" s="234">
        <v>0</v>
      </c>
      <c r="L19" s="234">
        <v>0</v>
      </c>
      <c r="M19" s="234">
        <v>0</v>
      </c>
      <c r="N19" s="234">
        <v>0</v>
      </c>
      <c r="O19" s="234">
        <v>0</v>
      </c>
      <c r="P19" s="234">
        <v>0</v>
      </c>
      <c r="Q19" s="431">
        <f t="shared" si="1"/>
        <v>0</v>
      </c>
      <c r="R19" s="234">
        <v>0</v>
      </c>
      <c r="S19" s="234">
        <v>0</v>
      </c>
      <c r="T19" s="234">
        <v>0</v>
      </c>
      <c r="U19" s="234">
        <v>0</v>
      </c>
      <c r="V19" s="234">
        <v>0</v>
      </c>
      <c r="W19" s="234">
        <v>0</v>
      </c>
      <c r="X19" s="431">
        <f t="shared" si="2"/>
        <v>0</v>
      </c>
      <c r="Y19" s="431">
        <f t="shared" si="3"/>
        <v>1</v>
      </c>
      <c r="Z19" s="331"/>
    </row>
    <row r="20" spans="1:27" ht="20.100000000000001" customHeight="1" x14ac:dyDescent="0.25">
      <c r="A20" s="33">
        <v>13</v>
      </c>
      <c r="B20" s="34">
        <v>13</v>
      </c>
      <c r="C20" s="31" t="s">
        <v>28</v>
      </c>
      <c r="D20" s="234">
        <v>0</v>
      </c>
      <c r="E20" s="234">
        <v>0</v>
      </c>
      <c r="F20" s="234">
        <v>0</v>
      </c>
      <c r="G20" s="234">
        <v>0</v>
      </c>
      <c r="H20" s="234">
        <v>1</v>
      </c>
      <c r="I20" s="234">
        <v>0</v>
      </c>
      <c r="J20" s="431">
        <f t="shared" si="0"/>
        <v>1</v>
      </c>
      <c r="K20" s="234">
        <v>0</v>
      </c>
      <c r="L20" s="234">
        <v>0</v>
      </c>
      <c r="M20" s="234">
        <v>0</v>
      </c>
      <c r="N20" s="234">
        <v>0</v>
      </c>
      <c r="O20" s="234">
        <v>0</v>
      </c>
      <c r="P20" s="234">
        <v>0</v>
      </c>
      <c r="Q20" s="431">
        <f t="shared" si="1"/>
        <v>0</v>
      </c>
      <c r="R20" s="234">
        <v>0</v>
      </c>
      <c r="S20" s="234">
        <v>0</v>
      </c>
      <c r="T20" s="234">
        <v>0</v>
      </c>
      <c r="U20" s="234">
        <v>0</v>
      </c>
      <c r="V20" s="234">
        <v>0</v>
      </c>
      <c r="W20" s="234">
        <v>0</v>
      </c>
      <c r="X20" s="431">
        <f t="shared" si="2"/>
        <v>0</v>
      </c>
      <c r="Y20" s="431">
        <f t="shared" si="3"/>
        <v>1</v>
      </c>
      <c r="Z20" s="331"/>
    </row>
    <row r="21" spans="1:27" ht="20.100000000000001" customHeight="1" x14ac:dyDescent="0.25">
      <c r="A21" s="34">
        <v>14</v>
      </c>
      <c r="B21" s="34">
        <v>14</v>
      </c>
      <c r="C21" s="31" t="s">
        <v>29</v>
      </c>
      <c r="D21" s="234">
        <v>0</v>
      </c>
      <c r="E21" s="234">
        <v>0</v>
      </c>
      <c r="F21" s="234">
        <v>0</v>
      </c>
      <c r="G21" s="234">
        <v>0</v>
      </c>
      <c r="H21" s="234">
        <v>0</v>
      </c>
      <c r="I21" s="234">
        <v>0</v>
      </c>
      <c r="J21" s="431">
        <f t="shared" si="0"/>
        <v>0</v>
      </c>
      <c r="K21" s="234">
        <v>0</v>
      </c>
      <c r="L21" s="234">
        <v>0</v>
      </c>
      <c r="M21" s="234">
        <v>0</v>
      </c>
      <c r="N21" s="234">
        <v>0</v>
      </c>
      <c r="O21" s="234">
        <v>0</v>
      </c>
      <c r="P21" s="234">
        <v>0</v>
      </c>
      <c r="Q21" s="431">
        <f t="shared" si="1"/>
        <v>0</v>
      </c>
      <c r="R21" s="234">
        <v>0</v>
      </c>
      <c r="S21" s="234">
        <v>0</v>
      </c>
      <c r="T21" s="234">
        <v>0</v>
      </c>
      <c r="U21" s="234">
        <v>0</v>
      </c>
      <c r="V21" s="234">
        <v>0</v>
      </c>
      <c r="W21" s="234">
        <v>0</v>
      </c>
      <c r="X21" s="431">
        <f t="shared" si="2"/>
        <v>0</v>
      </c>
      <c r="Y21" s="431">
        <f t="shared" si="3"/>
        <v>0</v>
      </c>
      <c r="Z21" s="331"/>
    </row>
    <row r="22" spans="1:27" ht="20.100000000000001" customHeight="1" x14ac:dyDescent="0.25">
      <c r="A22" s="33">
        <v>15</v>
      </c>
      <c r="B22" s="34">
        <v>15</v>
      </c>
      <c r="C22" s="527" t="s">
        <v>30</v>
      </c>
      <c r="D22" s="234">
        <v>0</v>
      </c>
      <c r="E22" s="234">
        <v>0</v>
      </c>
      <c r="F22" s="234">
        <v>0</v>
      </c>
      <c r="G22" s="234">
        <v>0</v>
      </c>
      <c r="H22" s="234">
        <v>1</v>
      </c>
      <c r="I22" s="234">
        <v>0</v>
      </c>
      <c r="J22" s="431">
        <f t="shared" si="0"/>
        <v>1</v>
      </c>
      <c r="K22" s="234">
        <v>0</v>
      </c>
      <c r="L22" s="234">
        <v>0</v>
      </c>
      <c r="M22" s="234">
        <v>0</v>
      </c>
      <c r="N22" s="234">
        <v>0</v>
      </c>
      <c r="O22" s="234">
        <v>0</v>
      </c>
      <c r="P22" s="234">
        <v>0</v>
      </c>
      <c r="Q22" s="431">
        <f t="shared" si="1"/>
        <v>0</v>
      </c>
      <c r="R22" s="234">
        <v>0</v>
      </c>
      <c r="S22" s="234">
        <v>0</v>
      </c>
      <c r="T22" s="234">
        <v>0</v>
      </c>
      <c r="U22" s="234">
        <v>0</v>
      </c>
      <c r="V22" s="234">
        <v>0</v>
      </c>
      <c r="W22" s="234">
        <v>0</v>
      </c>
      <c r="X22" s="431">
        <f t="shared" si="2"/>
        <v>0</v>
      </c>
      <c r="Y22" s="431">
        <f t="shared" si="3"/>
        <v>1</v>
      </c>
      <c r="Z22" s="331"/>
    </row>
    <row r="23" spans="1:27" ht="20.100000000000001" customHeight="1" x14ac:dyDescent="0.25">
      <c r="A23" s="34">
        <v>30</v>
      </c>
      <c r="B23" s="427">
        <v>16</v>
      </c>
      <c r="C23" s="423" t="s">
        <v>576</v>
      </c>
      <c r="D23" s="424">
        <f>SUM(D8:D22)</f>
        <v>0</v>
      </c>
      <c r="E23" s="424">
        <f t="shared" ref="E23:P23" si="4">SUM(E8:E22)</f>
        <v>0</v>
      </c>
      <c r="F23" s="424">
        <f t="shared" si="4"/>
        <v>0</v>
      </c>
      <c r="G23" s="424">
        <f t="shared" si="4"/>
        <v>1</v>
      </c>
      <c r="H23" s="424">
        <f t="shared" si="4"/>
        <v>2</v>
      </c>
      <c r="I23" s="424">
        <f t="shared" si="4"/>
        <v>0</v>
      </c>
      <c r="J23" s="424">
        <f>SUM(D23:I23)</f>
        <v>3</v>
      </c>
      <c r="K23" s="424">
        <f t="shared" si="4"/>
        <v>0</v>
      </c>
      <c r="L23" s="424">
        <f t="shared" si="4"/>
        <v>0</v>
      </c>
      <c r="M23" s="424">
        <f t="shared" si="4"/>
        <v>0</v>
      </c>
      <c r="N23" s="424">
        <f t="shared" si="4"/>
        <v>0</v>
      </c>
      <c r="O23" s="424">
        <f t="shared" si="4"/>
        <v>0</v>
      </c>
      <c r="P23" s="424">
        <f t="shared" si="4"/>
        <v>0</v>
      </c>
      <c r="Q23" s="424">
        <f>SUM(K23:P23)</f>
        <v>0</v>
      </c>
      <c r="R23" s="424">
        <f t="shared" ref="R23:W23" si="5">SUM(R8:R22)</f>
        <v>0</v>
      </c>
      <c r="S23" s="424">
        <f t="shared" si="5"/>
        <v>0</v>
      </c>
      <c r="T23" s="424">
        <f t="shared" si="5"/>
        <v>0</v>
      </c>
      <c r="U23" s="424">
        <f t="shared" si="5"/>
        <v>0</v>
      </c>
      <c r="V23" s="424">
        <f t="shared" si="5"/>
        <v>0</v>
      </c>
      <c r="W23" s="424">
        <f t="shared" si="5"/>
        <v>0</v>
      </c>
      <c r="X23" s="424">
        <f>SUM(R23:W23)</f>
        <v>0</v>
      </c>
      <c r="Y23" s="424">
        <f>J23+Q23+X23</f>
        <v>3</v>
      </c>
      <c r="Z23" s="331"/>
    </row>
    <row r="24" spans="1:27" ht="30" customHeight="1" x14ac:dyDescent="0.25">
      <c r="A24" s="595" t="s">
        <v>1572</v>
      </c>
      <c r="B24" s="596"/>
      <c r="C24" s="597"/>
      <c r="D24" s="463" t="str">
        <f>IF(D23&gt;0,IF((D22/D23*100)&gt;20,"ABVAR",""),"")</f>
        <v/>
      </c>
      <c r="E24" s="463" t="str">
        <f t="shared" ref="E24:Y24" si="6">IF(E23&gt;0,IF((E22/E23*100)&gt;20,"ABVAR",""),"")</f>
        <v/>
      </c>
      <c r="F24" s="463" t="str">
        <f t="shared" si="6"/>
        <v/>
      </c>
      <c r="G24" s="463" t="str">
        <f t="shared" si="6"/>
        <v/>
      </c>
      <c r="H24" s="463" t="str">
        <f t="shared" si="6"/>
        <v>ABVAR</v>
      </c>
      <c r="I24" s="463" t="str">
        <f t="shared" si="6"/>
        <v/>
      </c>
      <c r="J24" s="463" t="str">
        <f t="shared" si="6"/>
        <v>ABVAR</v>
      </c>
      <c r="K24" s="463" t="str">
        <f t="shared" si="6"/>
        <v/>
      </c>
      <c r="L24" s="463" t="str">
        <f t="shared" si="6"/>
        <v/>
      </c>
      <c r="M24" s="463" t="str">
        <f t="shared" si="6"/>
        <v/>
      </c>
      <c r="N24" s="463" t="str">
        <f t="shared" si="6"/>
        <v/>
      </c>
      <c r="O24" s="463" t="str">
        <f t="shared" si="6"/>
        <v/>
      </c>
      <c r="P24" s="463" t="str">
        <f t="shared" si="6"/>
        <v/>
      </c>
      <c r="Q24" s="463" t="str">
        <f t="shared" si="6"/>
        <v/>
      </c>
      <c r="R24" s="463" t="str">
        <f t="shared" si="6"/>
        <v/>
      </c>
      <c r="S24" s="463" t="str">
        <f t="shared" si="6"/>
        <v/>
      </c>
      <c r="T24" s="463" t="str">
        <f t="shared" si="6"/>
        <v/>
      </c>
      <c r="U24" s="463" t="str">
        <f t="shared" si="6"/>
        <v/>
      </c>
      <c r="V24" s="463" t="str">
        <f t="shared" si="6"/>
        <v/>
      </c>
      <c r="W24" s="463" t="str">
        <f t="shared" si="6"/>
        <v/>
      </c>
      <c r="X24" s="463" t="str">
        <f t="shared" si="6"/>
        <v/>
      </c>
      <c r="Y24" s="463" t="str">
        <f t="shared" si="6"/>
        <v>ABVAR</v>
      </c>
      <c r="AA24" s="462"/>
    </row>
    <row r="200" spans="53:79" x14ac:dyDescent="0.25">
      <c r="BA200" s="236" t="str">
        <f>A1</f>
        <v>Goa, , ADSI-2021</v>
      </c>
    </row>
    <row r="201" spans="53:79" x14ac:dyDescent="0.25">
      <c r="BA201" s="236" t="str">
        <f>A2</f>
        <v>Proforma–I</v>
      </c>
      <c r="BB201" s="237"/>
      <c r="BC201" s="237"/>
      <c r="BD201" s="236"/>
      <c r="BE201" s="489" t="str">
        <f>E2</f>
        <v>Abnormal Variations</v>
      </c>
      <c r="BF201" s="489">
        <f>F2</f>
        <v>3</v>
      </c>
      <c r="BG201" s="237"/>
      <c r="BH201" s="237"/>
      <c r="BI201" s="237"/>
      <c r="BJ201" s="237"/>
      <c r="BK201" s="237"/>
      <c r="BL201" s="237"/>
      <c r="BM201" s="237"/>
      <c r="BN201" s="237"/>
      <c r="BO201" s="237"/>
      <c r="BP201" s="237"/>
      <c r="BQ201" s="238"/>
      <c r="BS201" s="237"/>
      <c r="BT201" s="237"/>
      <c r="BU201" s="237"/>
      <c r="BV201" s="237"/>
      <c r="BW201" s="237"/>
      <c r="BX201" s="237"/>
      <c r="BY201" s="237"/>
      <c r="BZ201" s="237"/>
      <c r="CA201" s="237"/>
    </row>
    <row r="202" spans="53:79" x14ac:dyDescent="0.25">
      <c r="BA202" s="236" t="str">
        <f>A3</f>
        <v>Accidental Deaths due to Natural Calamities</v>
      </c>
      <c r="BB202" s="237"/>
      <c r="BC202" s="237"/>
      <c r="BD202" s="237"/>
      <c r="BE202" s="237"/>
      <c r="BF202" s="237"/>
      <c r="BG202" s="237"/>
      <c r="BH202" s="237"/>
      <c r="BI202" s="237"/>
      <c r="BJ202" s="237"/>
      <c r="BK202" s="237"/>
      <c r="BL202" s="237"/>
      <c r="BM202" s="237"/>
      <c r="BN202" s="237"/>
      <c r="BO202" s="237"/>
      <c r="BP202" s="237"/>
      <c r="BQ202" s="238"/>
      <c r="BR202" s="238"/>
      <c r="BS202" s="237"/>
      <c r="BT202" s="237"/>
      <c r="BU202" s="237"/>
      <c r="BV202" s="237"/>
      <c r="BW202" s="237"/>
      <c r="BX202" s="237"/>
      <c r="BY202" s="237"/>
      <c r="BZ202" s="237"/>
      <c r="CA202" s="237"/>
    </row>
    <row r="203" spans="53:79" x14ac:dyDescent="0.25">
      <c r="BA203" s="572" t="str">
        <f>B4</f>
        <v>Sl. No.</v>
      </c>
      <c r="BB203" s="598" t="str">
        <f>C4</f>
        <v>Factors</v>
      </c>
      <c r="BC203" s="575" t="str">
        <f>D4</f>
        <v>N u m b e r       o f      A c c i d e n t a l       D e a t h s</v>
      </c>
      <c r="BD203" s="576"/>
      <c r="BE203" s="576"/>
      <c r="BF203" s="576"/>
      <c r="BG203" s="576"/>
      <c r="BH203" s="576"/>
      <c r="BI203" s="576"/>
      <c r="BJ203" s="576"/>
      <c r="BK203" s="576"/>
      <c r="BL203" s="576"/>
      <c r="BM203" s="576"/>
      <c r="BN203" s="576"/>
      <c r="BO203" s="576"/>
      <c r="BP203" s="576"/>
      <c r="BQ203" s="576"/>
      <c r="BR203" s="576"/>
      <c r="BS203" s="576"/>
      <c r="BT203" s="576"/>
      <c r="BU203" s="576"/>
      <c r="BV203" s="576"/>
      <c r="BW203" s="577"/>
      <c r="BX203" s="572" t="str">
        <f>Y4</f>
        <v>Grand Total (9) + (16)+(23)</v>
      </c>
      <c r="BY203" s="237"/>
      <c r="BZ203" s="237"/>
    </row>
    <row r="204" spans="53:79" x14ac:dyDescent="0.25">
      <c r="BA204" s="573"/>
      <c r="BB204" s="599"/>
      <c r="BC204" s="575" t="str">
        <f t="shared" ref="BC204:BC223" si="7">D5</f>
        <v>M a l e</v>
      </c>
      <c r="BD204" s="576"/>
      <c r="BE204" s="576"/>
      <c r="BF204" s="576"/>
      <c r="BG204" s="576"/>
      <c r="BH204" s="576"/>
      <c r="BI204" s="577"/>
      <c r="BJ204" s="575" t="str">
        <f t="shared" ref="BJ204:BJ223" si="8">K5</f>
        <v>F e m a l e</v>
      </c>
      <c r="BK204" s="576"/>
      <c r="BL204" s="576"/>
      <c r="BM204" s="576"/>
      <c r="BN204" s="576"/>
      <c r="BO204" s="576"/>
      <c r="BP204" s="577"/>
      <c r="BQ204" s="575" t="str">
        <f t="shared" ref="BQ204:BQ223" si="9">R5</f>
        <v>Transgender</v>
      </c>
      <c r="BR204" s="576"/>
      <c r="BS204" s="576"/>
      <c r="BT204" s="576"/>
      <c r="BU204" s="576"/>
      <c r="BV204" s="576"/>
      <c r="BW204" s="577"/>
      <c r="BX204" s="573"/>
      <c r="BY204" s="237"/>
      <c r="BZ204" s="237"/>
    </row>
    <row r="205" spans="53:79" ht="51" x14ac:dyDescent="0.25">
      <c r="BA205" s="574"/>
      <c r="BB205" s="600"/>
      <c r="BC205" s="239" t="str">
        <f t="shared" si="7"/>
        <v>below 14 years</v>
      </c>
      <c r="BD205" s="239" t="str">
        <f t="shared" ref="BD205:BD223" si="10">E6</f>
        <v>14 and above – below 18 years</v>
      </c>
      <c r="BE205" s="239" t="str">
        <f t="shared" ref="BE205:BE223" si="11">F6</f>
        <v>18 and above – below 30 years</v>
      </c>
      <c r="BF205" s="239" t="str">
        <f t="shared" ref="BF205:BF223" si="12">G6</f>
        <v>30 and above – below 45 years</v>
      </c>
      <c r="BG205" s="239" t="str">
        <f t="shared" ref="BG205:BG223" si="13">H6</f>
        <v>45 and above – below 60 years</v>
      </c>
      <c r="BH205" s="239" t="str">
        <f t="shared" ref="BH205:BH223" si="14">I6</f>
        <v>60 years &amp; above</v>
      </c>
      <c r="BI205" s="239" t="str">
        <f t="shared" ref="BI205:BI223" si="15">J6</f>
        <v xml:space="preserve"> Total [sum of (3) to (8)]</v>
      </c>
      <c r="BJ205" s="239" t="str">
        <f t="shared" si="8"/>
        <v>below 14 years</v>
      </c>
      <c r="BK205" s="239" t="str">
        <f t="shared" ref="BK205:BK223" si="16">L6</f>
        <v>14 and above – below 18 years</v>
      </c>
      <c r="BL205" s="239" t="str">
        <f t="shared" ref="BL205:BL223" si="17">M6</f>
        <v>18 and above – below 30 years</v>
      </c>
      <c r="BM205" s="239" t="str">
        <f t="shared" ref="BM205:BM223" si="18">N6</f>
        <v>30 and above – below 45 years</v>
      </c>
      <c r="BN205" s="239" t="str">
        <f t="shared" ref="BN205:BN223" si="19">O6</f>
        <v>45 and above – below 60 years</v>
      </c>
      <c r="BO205" s="239" t="str">
        <f t="shared" ref="BO205:BO223" si="20">P6</f>
        <v>60 years &amp; above</v>
      </c>
      <c r="BP205" s="239" t="str">
        <f t="shared" ref="BP205:BP223" si="21">Q6</f>
        <v>Total    [sum of (10) to (15)]</v>
      </c>
      <c r="BQ205" s="239" t="str">
        <f t="shared" si="9"/>
        <v>below 14 years</v>
      </c>
      <c r="BR205" s="239" t="str">
        <f t="shared" ref="BR205:BR223" si="22">S6</f>
        <v>14 and above – below 18 years</v>
      </c>
      <c r="BS205" s="239" t="str">
        <f t="shared" ref="BS205:BS223" si="23">T6</f>
        <v>18 and above – below 30 years</v>
      </c>
      <c r="BT205" s="239" t="str">
        <f t="shared" ref="BT205:BT223" si="24">U6</f>
        <v>30 and above – below 45 years</v>
      </c>
      <c r="BU205" s="239" t="str">
        <f t="shared" ref="BU205:BU223" si="25">V6</f>
        <v>45 and above – below 60 years</v>
      </c>
      <c r="BV205" s="239" t="str">
        <f t="shared" ref="BV205:BV223" si="26">W6</f>
        <v>60 years &amp; above</v>
      </c>
      <c r="BW205" s="239" t="str">
        <f t="shared" ref="BW205:BW223" si="27">X6</f>
        <v>Total [sum of (17) to (22)]</v>
      </c>
      <c r="BX205" s="574"/>
      <c r="BY205" s="237"/>
      <c r="BZ205" s="237"/>
    </row>
    <row r="206" spans="53:79" x14ac:dyDescent="0.25">
      <c r="BA206" s="240" t="str">
        <f t="shared" ref="BA206:BA222" si="28">B7</f>
        <v>(1)</v>
      </c>
      <c r="BB206" s="240" t="str">
        <f t="shared" ref="BB206:BB222" si="29">C7</f>
        <v>(2)</v>
      </c>
      <c r="BC206" s="240" t="str">
        <f t="shared" si="7"/>
        <v>(3)</v>
      </c>
      <c r="BD206" s="240" t="str">
        <f t="shared" si="10"/>
        <v>(4)</v>
      </c>
      <c r="BE206" s="240" t="str">
        <f t="shared" si="11"/>
        <v>(5)</v>
      </c>
      <c r="BF206" s="240" t="str">
        <f t="shared" si="12"/>
        <v>(6)</v>
      </c>
      <c r="BG206" s="240" t="str">
        <f t="shared" si="13"/>
        <v>(7)</v>
      </c>
      <c r="BH206" s="240" t="str">
        <f t="shared" si="14"/>
        <v>(8)</v>
      </c>
      <c r="BI206" s="240" t="str">
        <f t="shared" si="15"/>
        <v>(9)</v>
      </c>
      <c r="BJ206" s="240" t="str">
        <f t="shared" si="8"/>
        <v>(10)</v>
      </c>
      <c r="BK206" s="240" t="str">
        <f t="shared" si="16"/>
        <v>(11)</v>
      </c>
      <c r="BL206" s="240" t="str">
        <f t="shared" si="17"/>
        <v>(12)</v>
      </c>
      <c r="BM206" s="240" t="str">
        <f t="shared" si="18"/>
        <v>(13)</v>
      </c>
      <c r="BN206" s="240" t="str">
        <f t="shared" si="19"/>
        <v>(14)</v>
      </c>
      <c r="BO206" s="240" t="str">
        <f t="shared" si="20"/>
        <v>(15)</v>
      </c>
      <c r="BP206" s="240" t="str">
        <f t="shared" si="21"/>
        <v>(16)</v>
      </c>
      <c r="BQ206" s="240" t="str">
        <f t="shared" si="9"/>
        <v>(17)</v>
      </c>
      <c r="BR206" s="240" t="str">
        <f t="shared" si="22"/>
        <v>(18)</v>
      </c>
      <c r="BS206" s="240" t="str">
        <f t="shared" si="23"/>
        <v>(19)</v>
      </c>
      <c r="BT206" s="240" t="str">
        <f t="shared" si="24"/>
        <v>(20)</v>
      </c>
      <c r="BU206" s="240" t="str">
        <f t="shared" si="25"/>
        <v>(21)</v>
      </c>
      <c r="BV206" s="240" t="str">
        <f t="shared" si="26"/>
        <v>(22)</v>
      </c>
      <c r="BW206" s="240" t="str">
        <f t="shared" si="27"/>
        <v>(23)</v>
      </c>
      <c r="BX206" s="240" t="str">
        <f t="shared" ref="BX206:BX223" si="30">Y7</f>
        <v>(24)</v>
      </c>
      <c r="BY206" s="237"/>
      <c r="BZ206" s="237"/>
    </row>
    <row r="207" spans="53:79" x14ac:dyDescent="0.25">
      <c r="BA207" s="240">
        <f t="shared" si="28"/>
        <v>1</v>
      </c>
      <c r="BB207" s="241" t="str">
        <f t="shared" si="29"/>
        <v>Avalanche</v>
      </c>
      <c r="BC207" s="242">
        <f t="shared" si="7"/>
        <v>0</v>
      </c>
      <c r="BD207" s="242">
        <f t="shared" si="10"/>
        <v>0</v>
      </c>
      <c r="BE207" s="242">
        <f t="shared" si="11"/>
        <v>0</v>
      </c>
      <c r="BF207" s="242">
        <f t="shared" si="12"/>
        <v>0</v>
      </c>
      <c r="BG207" s="242">
        <f t="shared" si="13"/>
        <v>0</v>
      </c>
      <c r="BH207" s="242">
        <f t="shared" si="14"/>
        <v>0</v>
      </c>
      <c r="BI207" s="242">
        <f t="shared" si="15"/>
        <v>0</v>
      </c>
      <c r="BJ207" s="242">
        <f t="shared" si="8"/>
        <v>0</v>
      </c>
      <c r="BK207" s="242">
        <f t="shared" si="16"/>
        <v>0</v>
      </c>
      <c r="BL207" s="242">
        <f t="shared" si="17"/>
        <v>0</v>
      </c>
      <c r="BM207" s="242">
        <f t="shared" si="18"/>
        <v>0</v>
      </c>
      <c r="BN207" s="242">
        <f t="shared" si="19"/>
        <v>0</v>
      </c>
      <c r="BO207" s="242">
        <f t="shared" si="20"/>
        <v>0</v>
      </c>
      <c r="BP207" s="242">
        <f t="shared" si="21"/>
        <v>0</v>
      </c>
      <c r="BQ207" s="242">
        <f t="shared" si="9"/>
        <v>0</v>
      </c>
      <c r="BR207" s="242">
        <f t="shared" si="22"/>
        <v>0</v>
      </c>
      <c r="BS207" s="242">
        <f t="shared" si="23"/>
        <v>0</v>
      </c>
      <c r="BT207" s="242">
        <f t="shared" si="24"/>
        <v>0</v>
      </c>
      <c r="BU207" s="242">
        <f t="shared" si="25"/>
        <v>0</v>
      </c>
      <c r="BV207" s="242">
        <f t="shared" si="26"/>
        <v>0</v>
      </c>
      <c r="BW207" s="242">
        <f t="shared" si="27"/>
        <v>0</v>
      </c>
      <c r="BX207" s="242">
        <f t="shared" si="30"/>
        <v>0</v>
      </c>
      <c r="BY207" s="237"/>
      <c r="BZ207" s="237"/>
    </row>
    <row r="208" spans="53:79" x14ac:dyDescent="0.25">
      <c r="BA208" s="240">
        <f t="shared" si="28"/>
        <v>2</v>
      </c>
      <c r="BB208" s="241" t="str">
        <f t="shared" si="29"/>
        <v>Exposure to cold</v>
      </c>
      <c r="BC208" s="242">
        <f t="shared" si="7"/>
        <v>0</v>
      </c>
      <c r="BD208" s="242">
        <f t="shared" si="10"/>
        <v>0</v>
      </c>
      <c r="BE208" s="242">
        <f t="shared" si="11"/>
        <v>0</v>
      </c>
      <c r="BF208" s="242">
        <f t="shared" si="12"/>
        <v>0</v>
      </c>
      <c r="BG208" s="242">
        <f t="shared" si="13"/>
        <v>0</v>
      </c>
      <c r="BH208" s="242">
        <f t="shared" si="14"/>
        <v>0</v>
      </c>
      <c r="BI208" s="242">
        <f t="shared" si="15"/>
        <v>0</v>
      </c>
      <c r="BJ208" s="242">
        <f t="shared" si="8"/>
        <v>0</v>
      </c>
      <c r="BK208" s="242">
        <f t="shared" si="16"/>
        <v>0</v>
      </c>
      <c r="BL208" s="242">
        <f t="shared" si="17"/>
        <v>0</v>
      </c>
      <c r="BM208" s="242">
        <f t="shared" si="18"/>
        <v>0</v>
      </c>
      <c r="BN208" s="242">
        <f t="shared" si="19"/>
        <v>0</v>
      </c>
      <c r="BO208" s="242">
        <f t="shared" si="20"/>
        <v>0</v>
      </c>
      <c r="BP208" s="242">
        <f t="shared" si="21"/>
        <v>0</v>
      </c>
      <c r="BQ208" s="242">
        <f t="shared" si="9"/>
        <v>0</v>
      </c>
      <c r="BR208" s="242">
        <f t="shared" si="22"/>
        <v>0</v>
      </c>
      <c r="BS208" s="242">
        <f t="shared" si="23"/>
        <v>0</v>
      </c>
      <c r="BT208" s="242">
        <f t="shared" si="24"/>
        <v>0</v>
      </c>
      <c r="BU208" s="242">
        <f t="shared" si="25"/>
        <v>0</v>
      </c>
      <c r="BV208" s="242">
        <f t="shared" si="26"/>
        <v>0</v>
      </c>
      <c r="BW208" s="242">
        <f t="shared" si="27"/>
        <v>0</v>
      </c>
      <c r="BX208" s="242">
        <f t="shared" si="30"/>
        <v>0</v>
      </c>
      <c r="BY208" s="237"/>
      <c r="BZ208" s="237"/>
    </row>
    <row r="209" spans="53:79" x14ac:dyDescent="0.25">
      <c r="BA209" s="240">
        <f t="shared" si="28"/>
        <v>3</v>
      </c>
      <c r="BB209" s="241" t="str">
        <f t="shared" si="29"/>
        <v>Cyclone</v>
      </c>
      <c r="BC209" s="242">
        <f t="shared" si="7"/>
        <v>0</v>
      </c>
      <c r="BD209" s="242">
        <f t="shared" si="10"/>
        <v>0</v>
      </c>
      <c r="BE209" s="242">
        <f t="shared" si="11"/>
        <v>0</v>
      </c>
      <c r="BF209" s="242">
        <f t="shared" si="12"/>
        <v>0</v>
      </c>
      <c r="BG209" s="242">
        <f t="shared" si="13"/>
        <v>0</v>
      </c>
      <c r="BH209" s="242">
        <f t="shared" si="14"/>
        <v>0</v>
      </c>
      <c r="BI209" s="242">
        <f t="shared" si="15"/>
        <v>0</v>
      </c>
      <c r="BJ209" s="242">
        <f t="shared" si="8"/>
        <v>0</v>
      </c>
      <c r="BK209" s="242">
        <f t="shared" si="16"/>
        <v>0</v>
      </c>
      <c r="BL209" s="242">
        <f t="shared" si="17"/>
        <v>0</v>
      </c>
      <c r="BM209" s="242">
        <f t="shared" si="18"/>
        <v>0</v>
      </c>
      <c r="BN209" s="242">
        <f t="shared" si="19"/>
        <v>0</v>
      </c>
      <c r="BO209" s="242">
        <f t="shared" si="20"/>
        <v>0</v>
      </c>
      <c r="BP209" s="242">
        <f t="shared" si="21"/>
        <v>0</v>
      </c>
      <c r="BQ209" s="242">
        <f t="shared" si="9"/>
        <v>0</v>
      </c>
      <c r="BR209" s="242">
        <f t="shared" si="22"/>
        <v>0</v>
      </c>
      <c r="BS209" s="242">
        <f t="shared" si="23"/>
        <v>0</v>
      </c>
      <c r="BT209" s="242">
        <f t="shared" si="24"/>
        <v>0</v>
      </c>
      <c r="BU209" s="242">
        <f t="shared" si="25"/>
        <v>0</v>
      </c>
      <c r="BV209" s="242">
        <f t="shared" si="26"/>
        <v>0</v>
      </c>
      <c r="BW209" s="242">
        <f t="shared" si="27"/>
        <v>0</v>
      </c>
      <c r="BX209" s="242">
        <f t="shared" si="30"/>
        <v>0</v>
      </c>
      <c r="BY209" s="237"/>
      <c r="BZ209" s="237"/>
    </row>
    <row r="210" spans="53:79" x14ac:dyDescent="0.25">
      <c r="BA210" s="240">
        <f t="shared" si="28"/>
        <v>4</v>
      </c>
      <c r="BB210" s="241" t="str">
        <f t="shared" si="29"/>
        <v>Tornado</v>
      </c>
      <c r="BC210" s="242">
        <f t="shared" si="7"/>
        <v>0</v>
      </c>
      <c r="BD210" s="242">
        <f t="shared" si="10"/>
        <v>0</v>
      </c>
      <c r="BE210" s="242">
        <f t="shared" si="11"/>
        <v>0</v>
      </c>
      <c r="BF210" s="242">
        <f t="shared" si="12"/>
        <v>0</v>
      </c>
      <c r="BG210" s="242">
        <f t="shared" si="13"/>
        <v>0</v>
      </c>
      <c r="BH210" s="242">
        <f t="shared" si="14"/>
        <v>0</v>
      </c>
      <c r="BI210" s="242">
        <f t="shared" si="15"/>
        <v>0</v>
      </c>
      <c r="BJ210" s="242">
        <f t="shared" si="8"/>
        <v>0</v>
      </c>
      <c r="BK210" s="242">
        <f t="shared" si="16"/>
        <v>0</v>
      </c>
      <c r="BL210" s="242">
        <f t="shared" si="17"/>
        <v>0</v>
      </c>
      <c r="BM210" s="242">
        <f t="shared" si="18"/>
        <v>0</v>
      </c>
      <c r="BN210" s="242">
        <f t="shared" si="19"/>
        <v>0</v>
      </c>
      <c r="BO210" s="242">
        <f t="shared" si="20"/>
        <v>0</v>
      </c>
      <c r="BP210" s="242">
        <f t="shared" si="21"/>
        <v>0</v>
      </c>
      <c r="BQ210" s="242">
        <f t="shared" si="9"/>
        <v>0</v>
      </c>
      <c r="BR210" s="242">
        <f t="shared" si="22"/>
        <v>0</v>
      </c>
      <c r="BS210" s="242">
        <f t="shared" si="23"/>
        <v>0</v>
      </c>
      <c r="BT210" s="242">
        <f t="shared" si="24"/>
        <v>0</v>
      </c>
      <c r="BU210" s="242">
        <f t="shared" si="25"/>
        <v>0</v>
      </c>
      <c r="BV210" s="242">
        <f t="shared" si="26"/>
        <v>0</v>
      </c>
      <c r="BW210" s="242">
        <f t="shared" si="27"/>
        <v>0</v>
      </c>
      <c r="BX210" s="242">
        <f t="shared" si="30"/>
        <v>0</v>
      </c>
      <c r="BY210" s="237"/>
      <c r="BZ210" s="237"/>
    </row>
    <row r="211" spans="53:79" x14ac:dyDescent="0.25">
      <c r="BA211" s="240">
        <f t="shared" si="28"/>
        <v>5</v>
      </c>
      <c r="BB211" s="241" t="str">
        <f t="shared" si="29"/>
        <v>Tsunami</v>
      </c>
      <c r="BC211" s="242">
        <f t="shared" si="7"/>
        <v>0</v>
      </c>
      <c r="BD211" s="242">
        <f t="shared" si="10"/>
        <v>0</v>
      </c>
      <c r="BE211" s="242">
        <f t="shared" si="11"/>
        <v>0</v>
      </c>
      <c r="BF211" s="242">
        <f t="shared" si="12"/>
        <v>0</v>
      </c>
      <c r="BG211" s="242">
        <f t="shared" si="13"/>
        <v>0</v>
      </c>
      <c r="BH211" s="242">
        <f t="shared" si="14"/>
        <v>0</v>
      </c>
      <c r="BI211" s="242">
        <f t="shared" si="15"/>
        <v>0</v>
      </c>
      <c r="BJ211" s="242">
        <f t="shared" si="8"/>
        <v>0</v>
      </c>
      <c r="BK211" s="242">
        <f t="shared" si="16"/>
        <v>0</v>
      </c>
      <c r="BL211" s="242">
        <f t="shared" si="17"/>
        <v>0</v>
      </c>
      <c r="BM211" s="242">
        <f t="shared" si="18"/>
        <v>0</v>
      </c>
      <c r="BN211" s="242">
        <f t="shared" si="19"/>
        <v>0</v>
      </c>
      <c r="BO211" s="242">
        <f t="shared" si="20"/>
        <v>0</v>
      </c>
      <c r="BP211" s="242">
        <f t="shared" si="21"/>
        <v>0</v>
      </c>
      <c r="BQ211" s="242">
        <f t="shared" si="9"/>
        <v>0</v>
      </c>
      <c r="BR211" s="242">
        <f t="shared" si="22"/>
        <v>0</v>
      </c>
      <c r="BS211" s="242">
        <f t="shared" si="23"/>
        <v>0</v>
      </c>
      <c r="BT211" s="242">
        <f t="shared" si="24"/>
        <v>0</v>
      </c>
      <c r="BU211" s="242">
        <f t="shared" si="25"/>
        <v>0</v>
      </c>
      <c r="BV211" s="242">
        <f t="shared" si="26"/>
        <v>0</v>
      </c>
      <c r="BW211" s="242">
        <f t="shared" si="27"/>
        <v>0</v>
      </c>
      <c r="BX211" s="242">
        <f t="shared" si="30"/>
        <v>0</v>
      </c>
      <c r="BY211" s="237"/>
      <c r="BZ211" s="237"/>
    </row>
    <row r="212" spans="53:79" ht="25.5" x14ac:dyDescent="0.25">
      <c r="BA212" s="240">
        <f t="shared" si="28"/>
        <v>6</v>
      </c>
      <c r="BB212" s="241" t="str">
        <f t="shared" si="29"/>
        <v>Starvation due to natural calamity</v>
      </c>
      <c r="BC212" s="242">
        <f t="shared" si="7"/>
        <v>0</v>
      </c>
      <c r="BD212" s="242">
        <f t="shared" si="10"/>
        <v>0</v>
      </c>
      <c r="BE212" s="242">
        <f t="shared" si="11"/>
        <v>0</v>
      </c>
      <c r="BF212" s="242">
        <f t="shared" si="12"/>
        <v>0</v>
      </c>
      <c r="BG212" s="242">
        <f t="shared" si="13"/>
        <v>0</v>
      </c>
      <c r="BH212" s="242">
        <f t="shared" si="14"/>
        <v>0</v>
      </c>
      <c r="BI212" s="242">
        <f t="shared" si="15"/>
        <v>0</v>
      </c>
      <c r="BJ212" s="242">
        <f t="shared" si="8"/>
        <v>0</v>
      </c>
      <c r="BK212" s="242">
        <f t="shared" si="16"/>
        <v>0</v>
      </c>
      <c r="BL212" s="242">
        <f t="shared" si="17"/>
        <v>0</v>
      </c>
      <c r="BM212" s="242">
        <f t="shared" si="18"/>
        <v>0</v>
      </c>
      <c r="BN212" s="242">
        <f t="shared" si="19"/>
        <v>0</v>
      </c>
      <c r="BO212" s="242">
        <f t="shared" si="20"/>
        <v>0</v>
      </c>
      <c r="BP212" s="242">
        <f t="shared" si="21"/>
        <v>0</v>
      </c>
      <c r="BQ212" s="242">
        <f t="shared" si="9"/>
        <v>0</v>
      </c>
      <c r="BR212" s="242">
        <f t="shared" si="22"/>
        <v>0</v>
      </c>
      <c r="BS212" s="242">
        <f t="shared" si="23"/>
        <v>0</v>
      </c>
      <c r="BT212" s="242">
        <f t="shared" si="24"/>
        <v>0</v>
      </c>
      <c r="BU212" s="242">
        <f t="shared" si="25"/>
        <v>0</v>
      </c>
      <c r="BV212" s="242">
        <f t="shared" si="26"/>
        <v>0</v>
      </c>
      <c r="BW212" s="242">
        <f t="shared" si="27"/>
        <v>0</v>
      </c>
      <c r="BX212" s="242">
        <f t="shared" si="30"/>
        <v>0</v>
      </c>
      <c r="BY212" s="237"/>
      <c r="BZ212" s="237"/>
    </row>
    <row r="213" spans="53:79" x14ac:dyDescent="0.25">
      <c r="BA213" s="240">
        <f t="shared" si="28"/>
        <v>7</v>
      </c>
      <c r="BB213" s="241" t="str">
        <f t="shared" si="29"/>
        <v>Earthquake</v>
      </c>
      <c r="BC213" s="242">
        <f t="shared" si="7"/>
        <v>0</v>
      </c>
      <c r="BD213" s="242">
        <f t="shared" si="10"/>
        <v>0</v>
      </c>
      <c r="BE213" s="242">
        <f t="shared" si="11"/>
        <v>0</v>
      </c>
      <c r="BF213" s="242">
        <f t="shared" si="12"/>
        <v>0</v>
      </c>
      <c r="BG213" s="242">
        <f t="shared" si="13"/>
        <v>0</v>
      </c>
      <c r="BH213" s="242">
        <f t="shared" si="14"/>
        <v>0</v>
      </c>
      <c r="BI213" s="242">
        <f t="shared" si="15"/>
        <v>0</v>
      </c>
      <c r="BJ213" s="242">
        <f t="shared" si="8"/>
        <v>0</v>
      </c>
      <c r="BK213" s="242">
        <f t="shared" si="16"/>
        <v>0</v>
      </c>
      <c r="BL213" s="242">
        <f t="shared" si="17"/>
        <v>0</v>
      </c>
      <c r="BM213" s="242">
        <f t="shared" si="18"/>
        <v>0</v>
      </c>
      <c r="BN213" s="242">
        <f t="shared" si="19"/>
        <v>0</v>
      </c>
      <c r="BO213" s="242">
        <f t="shared" si="20"/>
        <v>0</v>
      </c>
      <c r="BP213" s="242">
        <f t="shared" si="21"/>
        <v>0</v>
      </c>
      <c r="BQ213" s="242">
        <f t="shared" si="9"/>
        <v>0</v>
      </c>
      <c r="BR213" s="242">
        <f t="shared" si="22"/>
        <v>0</v>
      </c>
      <c r="BS213" s="242">
        <f t="shared" si="23"/>
        <v>0</v>
      </c>
      <c r="BT213" s="242">
        <f t="shared" si="24"/>
        <v>0</v>
      </c>
      <c r="BU213" s="242">
        <f t="shared" si="25"/>
        <v>0</v>
      </c>
      <c r="BV213" s="242">
        <f t="shared" si="26"/>
        <v>0</v>
      </c>
      <c r="BW213" s="242">
        <f t="shared" si="27"/>
        <v>0</v>
      </c>
      <c r="BX213" s="242">
        <f t="shared" si="30"/>
        <v>0</v>
      </c>
      <c r="BY213" s="237"/>
      <c r="BZ213" s="237"/>
    </row>
    <row r="214" spans="53:79" x14ac:dyDescent="0.25">
      <c r="BA214" s="240">
        <f t="shared" si="28"/>
        <v>8</v>
      </c>
      <c r="BB214" s="241" t="str">
        <f t="shared" si="29"/>
        <v>Epidemic</v>
      </c>
      <c r="BC214" s="242">
        <f t="shared" si="7"/>
        <v>0</v>
      </c>
      <c r="BD214" s="242">
        <f t="shared" si="10"/>
        <v>0</v>
      </c>
      <c r="BE214" s="242">
        <f t="shared" si="11"/>
        <v>0</v>
      </c>
      <c r="BF214" s="242">
        <f t="shared" si="12"/>
        <v>0</v>
      </c>
      <c r="BG214" s="242">
        <f t="shared" si="13"/>
        <v>0</v>
      </c>
      <c r="BH214" s="242">
        <f t="shared" si="14"/>
        <v>0</v>
      </c>
      <c r="BI214" s="242">
        <f t="shared" si="15"/>
        <v>0</v>
      </c>
      <c r="BJ214" s="242">
        <f t="shared" si="8"/>
        <v>0</v>
      </c>
      <c r="BK214" s="242">
        <f t="shared" si="16"/>
        <v>0</v>
      </c>
      <c r="BL214" s="242">
        <f t="shared" si="17"/>
        <v>0</v>
      </c>
      <c r="BM214" s="242">
        <f t="shared" si="18"/>
        <v>0</v>
      </c>
      <c r="BN214" s="242">
        <f t="shared" si="19"/>
        <v>0</v>
      </c>
      <c r="BO214" s="242">
        <f t="shared" si="20"/>
        <v>0</v>
      </c>
      <c r="BP214" s="242">
        <f t="shared" si="21"/>
        <v>0</v>
      </c>
      <c r="BQ214" s="242">
        <f t="shared" si="9"/>
        <v>0</v>
      </c>
      <c r="BR214" s="242">
        <f t="shared" si="22"/>
        <v>0</v>
      </c>
      <c r="BS214" s="242">
        <f t="shared" si="23"/>
        <v>0</v>
      </c>
      <c r="BT214" s="242">
        <f t="shared" si="24"/>
        <v>0</v>
      </c>
      <c r="BU214" s="242">
        <f t="shared" si="25"/>
        <v>0</v>
      </c>
      <c r="BV214" s="242">
        <f t="shared" si="26"/>
        <v>0</v>
      </c>
      <c r="BW214" s="242">
        <f t="shared" si="27"/>
        <v>0</v>
      </c>
      <c r="BX214" s="242">
        <f t="shared" si="30"/>
        <v>0</v>
      </c>
      <c r="BY214" s="237"/>
      <c r="BZ214" s="237"/>
    </row>
    <row r="215" spans="53:79" x14ac:dyDescent="0.25">
      <c r="BA215" s="240">
        <f t="shared" si="28"/>
        <v>9</v>
      </c>
      <c r="BB215" s="241" t="str">
        <f t="shared" si="29"/>
        <v>Flood</v>
      </c>
      <c r="BC215" s="242">
        <f t="shared" si="7"/>
        <v>0</v>
      </c>
      <c r="BD215" s="242">
        <f t="shared" si="10"/>
        <v>0</v>
      </c>
      <c r="BE215" s="242">
        <f t="shared" si="11"/>
        <v>0</v>
      </c>
      <c r="BF215" s="242">
        <f t="shared" si="12"/>
        <v>0</v>
      </c>
      <c r="BG215" s="242">
        <f t="shared" si="13"/>
        <v>0</v>
      </c>
      <c r="BH215" s="242">
        <f t="shared" si="14"/>
        <v>0</v>
      </c>
      <c r="BI215" s="242">
        <f t="shared" si="15"/>
        <v>0</v>
      </c>
      <c r="BJ215" s="242">
        <f t="shared" si="8"/>
        <v>0</v>
      </c>
      <c r="BK215" s="242">
        <f t="shared" si="16"/>
        <v>0</v>
      </c>
      <c r="BL215" s="242">
        <f t="shared" si="17"/>
        <v>0</v>
      </c>
      <c r="BM215" s="242">
        <f t="shared" si="18"/>
        <v>0</v>
      </c>
      <c r="BN215" s="242">
        <f t="shared" si="19"/>
        <v>0</v>
      </c>
      <c r="BO215" s="242">
        <f t="shared" si="20"/>
        <v>0</v>
      </c>
      <c r="BP215" s="242">
        <f t="shared" si="21"/>
        <v>0</v>
      </c>
      <c r="BQ215" s="242">
        <f t="shared" si="9"/>
        <v>0</v>
      </c>
      <c r="BR215" s="242">
        <f t="shared" si="22"/>
        <v>0</v>
      </c>
      <c r="BS215" s="242">
        <f t="shared" si="23"/>
        <v>0</v>
      </c>
      <c r="BT215" s="242">
        <f t="shared" si="24"/>
        <v>0</v>
      </c>
      <c r="BU215" s="242">
        <f t="shared" si="25"/>
        <v>0</v>
      </c>
      <c r="BV215" s="242">
        <f t="shared" si="26"/>
        <v>0</v>
      </c>
      <c r="BW215" s="242">
        <f t="shared" si="27"/>
        <v>0</v>
      </c>
      <c r="BX215" s="242">
        <f t="shared" si="30"/>
        <v>0</v>
      </c>
      <c r="BY215" s="237"/>
      <c r="BZ215" s="237"/>
    </row>
    <row r="216" spans="53:79" x14ac:dyDescent="0.25">
      <c r="BA216" s="240">
        <f t="shared" si="28"/>
        <v>10</v>
      </c>
      <c r="BB216" s="241" t="str">
        <f t="shared" si="29"/>
        <v>Heat/Sun Stroke</v>
      </c>
      <c r="BC216" s="242">
        <f t="shared" si="7"/>
        <v>0</v>
      </c>
      <c r="BD216" s="242">
        <f t="shared" si="10"/>
        <v>0</v>
      </c>
      <c r="BE216" s="242">
        <f t="shared" si="11"/>
        <v>0</v>
      </c>
      <c r="BF216" s="242">
        <f t="shared" si="12"/>
        <v>0</v>
      </c>
      <c r="BG216" s="242">
        <f t="shared" si="13"/>
        <v>0</v>
      </c>
      <c r="BH216" s="242">
        <f t="shared" si="14"/>
        <v>0</v>
      </c>
      <c r="BI216" s="242">
        <f t="shared" si="15"/>
        <v>0</v>
      </c>
      <c r="BJ216" s="242">
        <f t="shared" si="8"/>
        <v>0</v>
      </c>
      <c r="BK216" s="242">
        <f t="shared" si="16"/>
        <v>0</v>
      </c>
      <c r="BL216" s="242">
        <f t="shared" si="17"/>
        <v>0</v>
      </c>
      <c r="BM216" s="242">
        <f t="shared" si="18"/>
        <v>0</v>
      </c>
      <c r="BN216" s="242">
        <f t="shared" si="19"/>
        <v>0</v>
      </c>
      <c r="BO216" s="242">
        <f t="shared" si="20"/>
        <v>0</v>
      </c>
      <c r="BP216" s="242">
        <f t="shared" si="21"/>
        <v>0</v>
      </c>
      <c r="BQ216" s="242">
        <f t="shared" si="9"/>
        <v>0</v>
      </c>
      <c r="BR216" s="242">
        <f t="shared" si="22"/>
        <v>0</v>
      </c>
      <c r="BS216" s="242">
        <f t="shared" si="23"/>
        <v>0</v>
      </c>
      <c r="BT216" s="242">
        <f t="shared" si="24"/>
        <v>0</v>
      </c>
      <c r="BU216" s="242">
        <f t="shared" si="25"/>
        <v>0</v>
      </c>
      <c r="BV216" s="242">
        <f t="shared" si="26"/>
        <v>0</v>
      </c>
      <c r="BW216" s="242">
        <f t="shared" si="27"/>
        <v>0</v>
      </c>
      <c r="BX216" s="242">
        <f t="shared" si="30"/>
        <v>0</v>
      </c>
      <c r="BY216" s="237"/>
      <c r="BZ216" s="237"/>
    </row>
    <row r="217" spans="53:79" x14ac:dyDescent="0.25">
      <c r="BA217" s="240">
        <f t="shared" si="28"/>
        <v>11</v>
      </c>
      <c r="BB217" s="241" t="str">
        <f t="shared" si="29"/>
        <v>Landslide</v>
      </c>
      <c r="BC217" s="242">
        <f t="shared" si="7"/>
        <v>0</v>
      </c>
      <c r="BD217" s="242">
        <f t="shared" si="10"/>
        <v>0</v>
      </c>
      <c r="BE217" s="242">
        <f t="shared" si="11"/>
        <v>0</v>
      </c>
      <c r="BF217" s="242">
        <f t="shared" si="12"/>
        <v>0</v>
      </c>
      <c r="BG217" s="242">
        <f t="shared" si="13"/>
        <v>0</v>
      </c>
      <c r="BH217" s="242">
        <f t="shared" si="14"/>
        <v>0</v>
      </c>
      <c r="BI217" s="242">
        <f t="shared" si="15"/>
        <v>0</v>
      </c>
      <c r="BJ217" s="242">
        <f t="shared" si="8"/>
        <v>0</v>
      </c>
      <c r="BK217" s="242">
        <f t="shared" si="16"/>
        <v>0</v>
      </c>
      <c r="BL217" s="242">
        <f t="shared" si="17"/>
        <v>0</v>
      </c>
      <c r="BM217" s="242">
        <f t="shared" si="18"/>
        <v>0</v>
      </c>
      <c r="BN217" s="242">
        <f t="shared" si="19"/>
        <v>0</v>
      </c>
      <c r="BO217" s="242">
        <f t="shared" si="20"/>
        <v>0</v>
      </c>
      <c r="BP217" s="242">
        <f t="shared" si="21"/>
        <v>0</v>
      </c>
      <c r="BQ217" s="242">
        <f t="shared" si="9"/>
        <v>0</v>
      </c>
      <c r="BR217" s="242">
        <f t="shared" si="22"/>
        <v>0</v>
      </c>
      <c r="BS217" s="242">
        <f t="shared" si="23"/>
        <v>0</v>
      </c>
      <c r="BT217" s="242">
        <f t="shared" si="24"/>
        <v>0</v>
      </c>
      <c r="BU217" s="242">
        <f t="shared" si="25"/>
        <v>0</v>
      </c>
      <c r="BV217" s="242">
        <f t="shared" si="26"/>
        <v>0</v>
      </c>
      <c r="BW217" s="242">
        <f t="shared" si="27"/>
        <v>0</v>
      </c>
      <c r="BX217" s="242">
        <f t="shared" si="30"/>
        <v>0</v>
      </c>
      <c r="BY217" s="237"/>
      <c r="BZ217" s="237"/>
    </row>
    <row r="218" spans="53:79" x14ac:dyDescent="0.25">
      <c r="BA218" s="240">
        <f t="shared" si="28"/>
        <v>12</v>
      </c>
      <c r="BB218" s="241" t="str">
        <f t="shared" si="29"/>
        <v>Lightning</v>
      </c>
      <c r="BC218" s="242">
        <f t="shared" si="7"/>
        <v>0</v>
      </c>
      <c r="BD218" s="242">
        <f t="shared" si="10"/>
        <v>0</v>
      </c>
      <c r="BE218" s="242">
        <f t="shared" si="11"/>
        <v>0</v>
      </c>
      <c r="BF218" s="242">
        <f t="shared" si="12"/>
        <v>1</v>
      </c>
      <c r="BG218" s="242">
        <f t="shared" si="13"/>
        <v>0</v>
      </c>
      <c r="BH218" s="242">
        <f t="shared" si="14"/>
        <v>0</v>
      </c>
      <c r="BI218" s="242">
        <f t="shared" si="15"/>
        <v>1</v>
      </c>
      <c r="BJ218" s="242">
        <f t="shared" si="8"/>
        <v>0</v>
      </c>
      <c r="BK218" s="242">
        <f t="shared" si="16"/>
        <v>0</v>
      </c>
      <c r="BL218" s="242">
        <f t="shared" si="17"/>
        <v>0</v>
      </c>
      <c r="BM218" s="242">
        <f t="shared" si="18"/>
        <v>0</v>
      </c>
      <c r="BN218" s="242">
        <f t="shared" si="19"/>
        <v>0</v>
      </c>
      <c r="BO218" s="242">
        <f t="shared" si="20"/>
        <v>0</v>
      </c>
      <c r="BP218" s="242">
        <f t="shared" si="21"/>
        <v>0</v>
      </c>
      <c r="BQ218" s="242">
        <f t="shared" si="9"/>
        <v>0</v>
      </c>
      <c r="BR218" s="242">
        <f t="shared" si="22"/>
        <v>0</v>
      </c>
      <c r="BS218" s="242">
        <f t="shared" si="23"/>
        <v>0</v>
      </c>
      <c r="BT218" s="242">
        <f t="shared" si="24"/>
        <v>0</v>
      </c>
      <c r="BU218" s="242">
        <f t="shared" si="25"/>
        <v>0</v>
      </c>
      <c r="BV218" s="242">
        <f t="shared" si="26"/>
        <v>0</v>
      </c>
      <c r="BW218" s="242">
        <f t="shared" si="27"/>
        <v>0</v>
      </c>
      <c r="BX218" s="242">
        <f t="shared" si="30"/>
        <v>1</v>
      </c>
      <c r="BY218" s="237"/>
      <c r="BZ218" s="237"/>
    </row>
    <row r="219" spans="53:79" x14ac:dyDescent="0.25">
      <c r="BA219" s="240">
        <f t="shared" si="28"/>
        <v>13</v>
      </c>
      <c r="BB219" s="241" t="str">
        <f t="shared" si="29"/>
        <v>Torrential Rain</v>
      </c>
      <c r="BC219" s="242">
        <f t="shared" si="7"/>
        <v>0</v>
      </c>
      <c r="BD219" s="242">
        <f t="shared" si="10"/>
        <v>0</v>
      </c>
      <c r="BE219" s="242">
        <f t="shared" si="11"/>
        <v>0</v>
      </c>
      <c r="BF219" s="242">
        <f t="shared" si="12"/>
        <v>0</v>
      </c>
      <c r="BG219" s="242">
        <f t="shared" si="13"/>
        <v>1</v>
      </c>
      <c r="BH219" s="242">
        <f t="shared" si="14"/>
        <v>0</v>
      </c>
      <c r="BI219" s="242">
        <f t="shared" si="15"/>
        <v>1</v>
      </c>
      <c r="BJ219" s="242">
        <f t="shared" si="8"/>
        <v>0</v>
      </c>
      <c r="BK219" s="242">
        <f t="shared" si="16"/>
        <v>0</v>
      </c>
      <c r="BL219" s="242">
        <f t="shared" si="17"/>
        <v>0</v>
      </c>
      <c r="BM219" s="242">
        <f t="shared" si="18"/>
        <v>0</v>
      </c>
      <c r="BN219" s="242">
        <f t="shared" si="19"/>
        <v>0</v>
      </c>
      <c r="BO219" s="242">
        <f t="shared" si="20"/>
        <v>0</v>
      </c>
      <c r="BP219" s="242">
        <f t="shared" si="21"/>
        <v>0</v>
      </c>
      <c r="BQ219" s="242">
        <f t="shared" si="9"/>
        <v>0</v>
      </c>
      <c r="BR219" s="242">
        <f t="shared" si="22"/>
        <v>0</v>
      </c>
      <c r="BS219" s="242">
        <f t="shared" si="23"/>
        <v>0</v>
      </c>
      <c r="BT219" s="242">
        <f t="shared" si="24"/>
        <v>0</v>
      </c>
      <c r="BU219" s="242">
        <f t="shared" si="25"/>
        <v>0</v>
      </c>
      <c r="BV219" s="242">
        <f t="shared" si="26"/>
        <v>0</v>
      </c>
      <c r="BW219" s="242">
        <f t="shared" si="27"/>
        <v>0</v>
      </c>
      <c r="BX219" s="242">
        <f t="shared" si="30"/>
        <v>1</v>
      </c>
      <c r="BY219" s="237"/>
      <c r="BZ219" s="237"/>
    </row>
    <row r="220" spans="53:79" x14ac:dyDescent="0.25">
      <c r="BA220" s="240">
        <f t="shared" si="28"/>
        <v>14</v>
      </c>
      <c r="BB220" s="241" t="str">
        <f t="shared" si="29"/>
        <v>Forest Fire</v>
      </c>
      <c r="BC220" s="242">
        <f t="shared" si="7"/>
        <v>0</v>
      </c>
      <c r="BD220" s="242">
        <f t="shared" si="10"/>
        <v>0</v>
      </c>
      <c r="BE220" s="242">
        <f t="shared" si="11"/>
        <v>0</v>
      </c>
      <c r="BF220" s="242">
        <f t="shared" si="12"/>
        <v>0</v>
      </c>
      <c r="BG220" s="242">
        <f t="shared" si="13"/>
        <v>0</v>
      </c>
      <c r="BH220" s="242">
        <f t="shared" si="14"/>
        <v>0</v>
      </c>
      <c r="BI220" s="242">
        <f t="shared" si="15"/>
        <v>0</v>
      </c>
      <c r="BJ220" s="242">
        <f t="shared" si="8"/>
        <v>0</v>
      </c>
      <c r="BK220" s="242">
        <f t="shared" si="16"/>
        <v>0</v>
      </c>
      <c r="BL220" s="242">
        <f t="shared" si="17"/>
        <v>0</v>
      </c>
      <c r="BM220" s="242">
        <f t="shared" si="18"/>
        <v>0</v>
      </c>
      <c r="BN220" s="242">
        <f t="shared" si="19"/>
        <v>0</v>
      </c>
      <c r="BO220" s="242">
        <f t="shared" si="20"/>
        <v>0</v>
      </c>
      <c r="BP220" s="242">
        <f t="shared" si="21"/>
        <v>0</v>
      </c>
      <c r="BQ220" s="242">
        <f t="shared" si="9"/>
        <v>0</v>
      </c>
      <c r="BR220" s="242">
        <f t="shared" si="22"/>
        <v>0</v>
      </c>
      <c r="BS220" s="242">
        <f t="shared" si="23"/>
        <v>0</v>
      </c>
      <c r="BT220" s="242">
        <f t="shared" si="24"/>
        <v>0</v>
      </c>
      <c r="BU220" s="242">
        <f t="shared" si="25"/>
        <v>0</v>
      </c>
      <c r="BV220" s="242">
        <f t="shared" si="26"/>
        <v>0</v>
      </c>
      <c r="BW220" s="242">
        <f t="shared" si="27"/>
        <v>0</v>
      </c>
      <c r="BX220" s="242">
        <f t="shared" si="30"/>
        <v>0</v>
      </c>
      <c r="BY220" s="237"/>
      <c r="BZ220" s="237"/>
    </row>
    <row r="221" spans="53:79" x14ac:dyDescent="0.25">
      <c r="BA221" s="240">
        <f t="shared" si="28"/>
        <v>15</v>
      </c>
      <c r="BB221" s="241" t="str">
        <f t="shared" si="29"/>
        <v>Other Natural Causes</v>
      </c>
      <c r="BC221" s="242">
        <f t="shared" si="7"/>
        <v>0</v>
      </c>
      <c r="BD221" s="242">
        <f t="shared" si="10"/>
        <v>0</v>
      </c>
      <c r="BE221" s="242">
        <f t="shared" si="11"/>
        <v>0</v>
      </c>
      <c r="BF221" s="242">
        <f t="shared" si="12"/>
        <v>0</v>
      </c>
      <c r="BG221" s="242">
        <f t="shared" si="13"/>
        <v>1</v>
      </c>
      <c r="BH221" s="242">
        <f t="shared" si="14"/>
        <v>0</v>
      </c>
      <c r="BI221" s="242">
        <f t="shared" si="15"/>
        <v>1</v>
      </c>
      <c r="BJ221" s="242">
        <f t="shared" si="8"/>
        <v>0</v>
      </c>
      <c r="BK221" s="242">
        <f t="shared" si="16"/>
        <v>0</v>
      </c>
      <c r="BL221" s="242">
        <f t="shared" si="17"/>
        <v>0</v>
      </c>
      <c r="BM221" s="242">
        <f t="shared" si="18"/>
        <v>0</v>
      </c>
      <c r="BN221" s="242">
        <f t="shared" si="19"/>
        <v>0</v>
      </c>
      <c r="BO221" s="242">
        <f t="shared" si="20"/>
        <v>0</v>
      </c>
      <c r="BP221" s="242">
        <f t="shared" si="21"/>
        <v>0</v>
      </c>
      <c r="BQ221" s="242">
        <f t="shared" si="9"/>
        <v>0</v>
      </c>
      <c r="BR221" s="242">
        <f t="shared" si="22"/>
        <v>0</v>
      </c>
      <c r="BS221" s="242">
        <f t="shared" si="23"/>
        <v>0</v>
      </c>
      <c r="BT221" s="242">
        <f t="shared" si="24"/>
        <v>0</v>
      </c>
      <c r="BU221" s="242">
        <f t="shared" si="25"/>
        <v>0</v>
      </c>
      <c r="BV221" s="242">
        <f t="shared" si="26"/>
        <v>0</v>
      </c>
      <c r="BW221" s="242">
        <f t="shared" si="27"/>
        <v>0</v>
      </c>
      <c r="BX221" s="242">
        <f t="shared" si="30"/>
        <v>1</v>
      </c>
      <c r="BY221" s="237"/>
      <c r="BZ221" s="237"/>
    </row>
    <row r="222" spans="53:79" x14ac:dyDescent="0.25">
      <c r="BA222" s="240">
        <f t="shared" si="28"/>
        <v>16</v>
      </c>
      <c r="BB222" s="241" t="str">
        <f t="shared" si="29"/>
        <v>Total (sum of Sl. 1 to 15)</v>
      </c>
      <c r="BC222" s="242">
        <f t="shared" si="7"/>
        <v>0</v>
      </c>
      <c r="BD222" s="242">
        <f t="shared" si="10"/>
        <v>0</v>
      </c>
      <c r="BE222" s="242">
        <f t="shared" si="11"/>
        <v>0</v>
      </c>
      <c r="BF222" s="242">
        <f t="shared" si="12"/>
        <v>1</v>
      </c>
      <c r="BG222" s="242">
        <f t="shared" si="13"/>
        <v>2</v>
      </c>
      <c r="BH222" s="242">
        <f t="shared" si="14"/>
        <v>0</v>
      </c>
      <c r="BI222" s="242">
        <f t="shared" si="15"/>
        <v>3</v>
      </c>
      <c r="BJ222" s="242">
        <f t="shared" si="8"/>
        <v>0</v>
      </c>
      <c r="BK222" s="242">
        <f t="shared" si="16"/>
        <v>0</v>
      </c>
      <c r="BL222" s="242">
        <f t="shared" si="17"/>
        <v>0</v>
      </c>
      <c r="BM222" s="242">
        <f t="shared" si="18"/>
        <v>0</v>
      </c>
      <c r="BN222" s="242">
        <f t="shared" si="19"/>
        <v>0</v>
      </c>
      <c r="BO222" s="242">
        <f t="shared" si="20"/>
        <v>0</v>
      </c>
      <c r="BP222" s="242">
        <f t="shared" si="21"/>
        <v>0</v>
      </c>
      <c r="BQ222" s="242">
        <f t="shared" si="9"/>
        <v>0</v>
      </c>
      <c r="BR222" s="242">
        <f t="shared" si="22"/>
        <v>0</v>
      </c>
      <c r="BS222" s="242">
        <f t="shared" si="23"/>
        <v>0</v>
      </c>
      <c r="BT222" s="242">
        <f t="shared" si="24"/>
        <v>0</v>
      </c>
      <c r="BU222" s="242">
        <f t="shared" si="25"/>
        <v>0</v>
      </c>
      <c r="BV222" s="242">
        <f t="shared" si="26"/>
        <v>0</v>
      </c>
      <c r="BW222" s="242">
        <f t="shared" si="27"/>
        <v>0</v>
      </c>
      <c r="BX222" s="242">
        <f t="shared" si="30"/>
        <v>3</v>
      </c>
      <c r="BY222" s="237"/>
      <c r="BZ222" s="237"/>
    </row>
    <row r="223" spans="53:79" ht="39.950000000000003" customHeight="1" x14ac:dyDescent="0.25">
      <c r="BA223" s="593" t="str">
        <f>A24</f>
        <v>SL-15 ABNORMAL VARIATION IN "OTHER NATURAL CAUSES" DATA</v>
      </c>
      <c r="BB223" s="594"/>
      <c r="BC223" s="240" t="str">
        <f t="shared" si="7"/>
        <v/>
      </c>
      <c r="BD223" s="240" t="str">
        <f t="shared" si="10"/>
        <v/>
      </c>
      <c r="BE223" s="240" t="str">
        <f t="shared" si="11"/>
        <v/>
      </c>
      <c r="BF223" s="240" t="str">
        <f t="shared" si="12"/>
        <v/>
      </c>
      <c r="BG223" s="240" t="str">
        <f t="shared" si="13"/>
        <v>ABVAR</v>
      </c>
      <c r="BH223" s="240" t="str">
        <f t="shared" si="14"/>
        <v/>
      </c>
      <c r="BI223" s="240" t="str">
        <f t="shared" si="15"/>
        <v>ABVAR</v>
      </c>
      <c r="BJ223" s="240" t="str">
        <f t="shared" si="8"/>
        <v/>
      </c>
      <c r="BK223" s="240" t="str">
        <f t="shared" si="16"/>
        <v/>
      </c>
      <c r="BL223" s="240" t="str">
        <f t="shared" si="17"/>
        <v/>
      </c>
      <c r="BM223" s="240" t="str">
        <f t="shared" si="18"/>
        <v/>
      </c>
      <c r="BN223" s="240" t="str">
        <f t="shared" si="19"/>
        <v/>
      </c>
      <c r="BO223" s="240" t="str">
        <f t="shared" si="20"/>
        <v/>
      </c>
      <c r="BP223" s="240" t="str">
        <f t="shared" si="21"/>
        <v/>
      </c>
      <c r="BQ223" s="240" t="str">
        <f t="shared" si="9"/>
        <v/>
      </c>
      <c r="BR223" s="240" t="str">
        <f t="shared" si="22"/>
        <v/>
      </c>
      <c r="BS223" s="240" t="str">
        <f t="shared" si="23"/>
        <v/>
      </c>
      <c r="BT223" s="240" t="str">
        <f t="shared" si="24"/>
        <v/>
      </c>
      <c r="BU223" s="240" t="str">
        <f t="shared" si="25"/>
        <v/>
      </c>
      <c r="BV223" s="240" t="str">
        <f t="shared" si="26"/>
        <v/>
      </c>
      <c r="BW223" s="240" t="str">
        <f t="shared" si="27"/>
        <v/>
      </c>
      <c r="BX223" s="240" t="str">
        <f t="shared" si="30"/>
        <v>ABVAR</v>
      </c>
      <c r="BY223" s="237"/>
      <c r="BZ223" s="237"/>
      <c r="CA223" s="237"/>
    </row>
    <row r="224" spans="53:79" x14ac:dyDescent="0.25">
      <c r="BA224" s="237"/>
      <c r="BB224" s="237"/>
      <c r="BC224" s="237"/>
      <c r="BD224" s="237"/>
      <c r="BE224" s="237"/>
      <c r="BF224" s="237"/>
      <c r="BG224" s="237"/>
      <c r="BH224" s="237"/>
      <c r="BI224" s="237"/>
      <c r="BJ224" s="237"/>
      <c r="BK224" s="237"/>
      <c r="BL224" s="237"/>
      <c r="BM224" s="237"/>
      <c r="BN224" s="237"/>
      <c r="BO224" s="237"/>
      <c r="BP224" s="237"/>
      <c r="BQ224" s="237"/>
      <c r="BR224" s="237"/>
      <c r="BS224" s="237"/>
      <c r="BT224" s="237"/>
      <c r="BU224" s="237"/>
      <c r="BV224" s="237"/>
      <c r="BW224" s="237"/>
      <c r="BX224" s="237"/>
      <c r="BY224" s="237"/>
      <c r="BZ224" s="237"/>
      <c r="CA224" s="237"/>
    </row>
    <row r="225" spans="53:79" x14ac:dyDescent="0.25">
      <c r="BA225" s="237"/>
      <c r="BB225" s="237"/>
      <c r="BC225" s="237"/>
      <c r="BD225" s="237"/>
      <c r="BE225" s="237"/>
      <c r="BF225" s="237"/>
      <c r="BG225" s="237"/>
      <c r="BH225" s="237"/>
      <c r="BI225" s="237"/>
      <c r="BJ225" s="237"/>
      <c r="BK225" s="237"/>
      <c r="BL225" s="237"/>
      <c r="BM225" s="237"/>
      <c r="BN225" s="237"/>
      <c r="BO225" s="237"/>
      <c r="BP225" s="237"/>
      <c r="BQ225" s="237"/>
      <c r="BR225" s="237"/>
      <c r="BS225" s="237"/>
      <c r="BT225" s="237"/>
      <c r="BU225" s="237"/>
      <c r="BV225" s="237"/>
      <c r="BW225" s="237"/>
      <c r="BX225" s="237"/>
      <c r="BY225" s="237"/>
      <c r="BZ225" s="237"/>
      <c r="CA225" s="237"/>
    </row>
    <row r="226" spans="53:79" x14ac:dyDescent="0.25">
      <c r="BA226" s="237"/>
      <c r="BB226" s="237"/>
      <c r="BC226" s="237"/>
      <c r="BD226" s="237"/>
      <c r="BE226" s="237"/>
      <c r="BF226" s="237"/>
      <c r="BG226" s="237"/>
      <c r="BH226" s="237"/>
      <c r="BI226" s="237"/>
      <c r="BJ226" s="237"/>
      <c r="BK226" s="237"/>
      <c r="BL226" s="237"/>
      <c r="BM226" s="237"/>
      <c r="BN226" s="237"/>
      <c r="BO226" s="237"/>
      <c r="BP226" s="237"/>
      <c r="BQ226" s="237"/>
      <c r="BR226" s="237"/>
      <c r="BS226" s="237"/>
      <c r="BT226" s="237"/>
      <c r="BU226" s="237"/>
      <c r="BV226" s="237"/>
      <c r="BW226" s="237"/>
      <c r="BX226" s="237"/>
      <c r="BY226" s="237"/>
      <c r="BZ226" s="237"/>
      <c r="CA226" s="237"/>
    </row>
    <row r="227" spans="53:79" x14ac:dyDescent="0.25">
      <c r="BA227" s="237"/>
      <c r="BB227" s="237"/>
      <c r="BC227" s="237"/>
      <c r="BD227" s="237"/>
      <c r="BE227" s="237"/>
      <c r="BF227" s="237"/>
      <c r="BG227" s="237"/>
      <c r="BH227" s="237"/>
      <c r="BI227" s="237"/>
      <c r="BJ227" s="237"/>
      <c r="BK227" s="237"/>
      <c r="BL227" s="237"/>
      <c r="BM227" s="237"/>
      <c r="BN227" s="237"/>
      <c r="BO227" s="237"/>
      <c r="BP227" s="237"/>
      <c r="BQ227" s="237"/>
      <c r="BR227" s="237"/>
      <c r="BS227" s="237"/>
      <c r="BT227" s="237"/>
      <c r="BU227" s="237"/>
      <c r="BV227" s="237"/>
      <c r="BW227" s="237"/>
      <c r="BX227" s="237"/>
      <c r="BY227" s="237"/>
      <c r="BZ227" s="237"/>
      <c r="CA227" s="237"/>
    </row>
    <row r="228" spans="53:79" x14ac:dyDescent="0.25">
      <c r="BA228" s="237"/>
      <c r="BB228" s="237"/>
      <c r="BC228" s="237"/>
      <c r="BD228" s="237"/>
      <c r="BE228" s="237"/>
      <c r="BF228" s="237"/>
      <c r="BG228" s="237"/>
      <c r="BH228" s="237"/>
      <c r="BI228" s="237"/>
      <c r="BJ228" s="237"/>
      <c r="BK228" s="237"/>
      <c r="BL228" s="237"/>
      <c r="BM228" s="237"/>
      <c r="BN228" s="237"/>
      <c r="BO228" s="237"/>
      <c r="BP228" s="237"/>
      <c r="BQ228" s="237"/>
      <c r="BR228" s="237"/>
      <c r="BS228" s="237"/>
      <c r="BT228" s="237"/>
      <c r="BU228" s="237"/>
      <c r="BV228" s="237"/>
      <c r="BW228" s="237"/>
      <c r="BX228" s="237"/>
      <c r="BY228" s="237"/>
      <c r="BZ228" s="237"/>
      <c r="CA228" s="237"/>
    </row>
    <row r="500" spans="1:26" x14ac:dyDescent="0.25">
      <c r="A500" s="342" t="s">
        <v>450</v>
      </c>
      <c r="B500" s="342" t="s">
        <v>451</v>
      </c>
      <c r="C500" s="342" t="s">
        <v>452</v>
      </c>
      <c r="D500" s="342" t="s">
        <v>453</v>
      </c>
      <c r="E500" s="342" t="s">
        <v>1365</v>
      </c>
      <c r="F500" s="342" t="s">
        <v>454</v>
      </c>
      <c r="G500" s="342" t="s">
        <v>455</v>
      </c>
      <c r="H500" s="342" t="s">
        <v>456</v>
      </c>
      <c r="I500" s="342" t="s">
        <v>457</v>
      </c>
      <c r="J500" s="342" t="s">
        <v>458</v>
      </c>
      <c r="K500" s="342" t="s">
        <v>459</v>
      </c>
      <c r="L500" s="342" t="s">
        <v>1366</v>
      </c>
      <c r="M500" s="342" t="s">
        <v>460</v>
      </c>
      <c r="N500" s="342" t="s">
        <v>461</v>
      </c>
      <c r="O500" s="342" t="s">
        <v>462</v>
      </c>
      <c r="P500" s="342" t="s">
        <v>463</v>
      </c>
      <c r="Q500" s="342" t="s">
        <v>464</v>
      </c>
      <c r="R500" s="342" t="s">
        <v>465</v>
      </c>
      <c r="S500" s="342" t="s">
        <v>1367</v>
      </c>
      <c r="T500" s="342" t="s">
        <v>466</v>
      </c>
      <c r="U500" s="342" t="s">
        <v>467</v>
      </c>
      <c r="V500" s="342" t="s">
        <v>468</v>
      </c>
      <c r="W500" s="342" t="s">
        <v>469</v>
      </c>
      <c r="X500" s="342" t="s">
        <v>470</v>
      </c>
      <c r="Y500" s="342" t="s">
        <v>471</v>
      </c>
      <c r="Z500" s="342" t="s">
        <v>150</v>
      </c>
    </row>
    <row r="501" spans="1:26" x14ac:dyDescent="0.25">
      <c r="A501" s="348">
        <f>IF(ADSI!$G$12="",ADSI!$H$16,ADSI!$H$12)</f>
        <v>6</v>
      </c>
      <c r="B501" s="348" t="str">
        <f ca="1">IF(ADSI!$G$12="",ADSI!$H$16,ADSI!$H$14)</f>
        <v/>
      </c>
      <c r="C501" s="389">
        <f>A8</f>
        <v>1</v>
      </c>
      <c r="D501" s="348">
        <f>ADSI!$K$12</f>
        <v>2021</v>
      </c>
      <c r="E501" s="519">
        <f>D8</f>
        <v>0</v>
      </c>
      <c r="F501" s="519">
        <f t="shared" ref="F501:Z501" si="31">E8</f>
        <v>0</v>
      </c>
      <c r="G501" s="519">
        <f t="shared" si="31"/>
        <v>0</v>
      </c>
      <c r="H501" s="519">
        <f t="shared" si="31"/>
        <v>0</v>
      </c>
      <c r="I501" s="519">
        <f t="shared" si="31"/>
        <v>0</v>
      </c>
      <c r="J501" s="519">
        <f t="shared" si="31"/>
        <v>0</v>
      </c>
      <c r="K501" s="519">
        <f t="shared" si="31"/>
        <v>0</v>
      </c>
      <c r="L501" s="519">
        <f t="shared" si="31"/>
        <v>0</v>
      </c>
      <c r="M501" s="519">
        <f t="shared" si="31"/>
        <v>0</v>
      </c>
      <c r="N501" s="519">
        <f t="shared" si="31"/>
        <v>0</v>
      </c>
      <c r="O501" s="519">
        <f t="shared" si="31"/>
        <v>0</v>
      </c>
      <c r="P501" s="519">
        <f t="shared" si="31"/>
        <v>0</v>
      </c>
      <c r="Q501" s="519">
        <f t="shared" si="31"/>
        <v>0</v>
      </c>
      <c r="R501" s="519">
        <f t="shared" si="31"/>
        <v>0</v>
      </c>
      <c r="S501" s="519">
        <f t="shared" si="31"/>
        <v>0</v>
      </c>
      <c r="T501" s="519">
        <f t="shared" si="31"/>
        <v>0</v>
      </c>
      <c r="U501" s="519">
        <f t="shared" si="31"/>
        <v>0</v>
      </c>
      <c r="V501" s="519">
        <f t="shared" si="31"/>
        <v>0</v>
      </c>
      <c r="W501" s="519">
        <f t="shared" si="31"/>
        <v>0</v>
      </c>
      <c r="X501" s="519">
        <f t="shared" si="31"/>
        <v>0</v>
      </c>
      <c r="Y501" s="519">
        <f t="shared" si="31"/>
        <v>0</v>
      </c>
      <c r="Z501" s="519">
        <f t="shared" si="31"/>
        <v>0</v>
      </c>
    </row>
    <row r="502" spans="1:26" x14ac:dyDescent="0.25">
      <c r="A502" s="348">
        <f>IF(ADSI!$G$12="",ADSI!$H$16,ADSI!$H$12)</f>
        <v>6</v>
      </c>
      <c r="B502" s="348" t="str">
        <f ca="1">IF(ADSI!$G$12="",ADSI!$H$16,ADSI!$H$14)</f>
        <v/>
      </c>
      <c r="C502" s="389">
        <f t="shared" ref="C502:C516" si="32">A9</f>
        <v>2</v>
      </c>
      <c r="D502" s="348">
        <f>ADSI!$K$12</f>
        <v>2021</v>
      </c>
      <c r="E502" s="519">
        <f t="shared" ref="E502:Z502" si="33">D9</f>
        <v>0</v>
      </c>
      <c r="F502" s="519">
        <f t="shared" si="33"/>
        <v>0</v>
      </c>
      <c r="G502" s="519">
        <f t="shared" si="33"/>
        <v>0</v>
      </c>
      <c r="H502" s="519">
        <f t="shared" si="33"/>
        <v>0</v>
      </c>
      <c r="I502" s="519">
        <f t="shared" si="33"/>
        <v>0</v>
      </c>
      <c r="J502" s="519">
        <f t="shared" si="33"/>
        <v>0</v>
      </c>
      <c r="K502" s="519">
        <f t="shared" si="33"/>
        <v>0</v>
      </c>
      <c r="L502" s="519">
        <f t="shared" si="33"/>
        <v>0</v>
      </c>
      <c r="M502" s="519">
        <f t="shared" si="33"/>
        <v>0</v>
      </c>
      <c r="N502" s="519">
        <f t="shared" si="33"/>
        <v>0</v>
      </c>
      <c r="O502" s="519">
        <f t="shared" si="33"/>
        <v>0</v>
      </c>
      <c r="P502" s="519">
        <f t="shared" si="33"/>
        <v>0</v>
      </c>
      <c r="Q502" s="519">
        <f t="shared" si="33"/>
        <v>0</v>
      </c>
      <c r="R502" s="519">
        <f t="shared" si="33"/>
        <v>0</v>
      </c>
      <c r="S502" s="519">
        <f t="shared" si="33"/>
        <v>0</v>
      </c>
      <c r="T502" s="519">
        <f t="shared" si="33"/>
        <v>0</v>
      </c>
      <c r="U502" s="519">
        <f t="shared" si="33"/>
        <v>0</v>
      </c>
      <c r="V502" s="519">
        <f t="shared" si="33"/>
        <v>0</v>
      </c>
      <c r="W502" s="519">
        <f t="shared" si="33"/>
        <v>0</v>
      </c>
      <c r="X502" s="519">
        <f t="shared" si="33"/>
        <v>0</v>
      </c>
      <c r="Y502" s="519">
        <f t="shared" si="33"/>
        <v>0</v>
      </c>
      <c r="Z502" s="519">
        <f t="shared" si="33"/>
        <v>0</v>
      </c>
    </row>
    <row r="503" spans="1:26" x14ac:dyDescent="0.25">
      <c r="A503" s="348">
        <f>IF(ADSI!$G$12="",ADSI!$H$16,ADSI!$H$12)</f>
        <v>6</v>
      </c>
      <c r="B503" s="348" t="str">
        <f ca="1">IF(ADSI!$G$12="",ADSI!$H$16,ADSI!$H$14)</f>
        <v/>
      </c>
      <c r="C503" s="389">
        <f t="shared" si="32"/>
        <v>3</v>
      </c>
      <c r="D503" s="348">
        <f>ADSI!$K$12</f>
        <v>2021</v>
      </c>
      <c r="E503" s="519">
        <f t="shared" ref="E503:Z503" si="34">D10</f>
        <v>0</v>
      </c>
      <c r="F503" s="519">
        <f t="shared" si="34"/>
        <v>0</v>
      </c>
      <c r="G503" s="519">
        <f t="shared" si="34"/>
        <v>0</v>
      </c>
      <c r="H503" s="519">
        <f t="shared" si="34"/>
        <v>0</v>
      </c>
      <c r="I503" s="519">
        <f t="shared" si="34"/>
        <v>0</v>
      </c>
      <c r="J503" s="519">
        <f t="shared" si="34"/>
        <v>0</v>
      </c>
      <c r="K503" s="519">
        <f t="shared" si="34"/>
        <v>0</v>
      </c>
      <c r="L503" s="519">
        <f t="shared" si="34"/>
        <v>0</v>
      </c>
      <c r="M503" s="519">
        <f t="shared" si="34"/>
        <v>0</v>
      </c>
      <c r="N503" s="519">
        <f t="shared" si="34"/>
        <v>0</v>
      </c>
      <c r="O503" s="519">
        <f t="shared" si="34"/>
        <v>0</v>
      </c>
      <c r="P503" s="519">
        <f t="shared" si="34"/>
        <v>0</v>
      </c>
      <c r="Q503" s="519">
        <f t="shared" si="34"/>
        <v>0</v>
      </c>
      <c r="R503" s="519">
        <f t="shared" si="34"/>
        <v>0</v>
      </c>
      <c r="S503" s="519">
        <f t="shared" si="34"/>
        <v>0</v>
      </c>
      <c r="T503" s="519">
        <f t="shared" si="34"/>
        <v>0</v>
      </c>
      <c r="U503" s="519">
        <f t="shared" si="34"/>
        <v>0</v>
      </c>
      <c r="V503" s="519">
        <f t="shared" si="34"/>
        <v>0</v>
      </c>
      <c r="W503" s="519">
        <f t="shared" si="34"/>
        <v>0</v>
      </c>
      <c r="X503" s="519">
        <f t="shared" si="34"/>
        <v>0</v>
      </c>
      <c r="Y503" s="519">
        <f t="shared" si="34"/>
        <v>0</v>
      </c>
      <c r="Z503" s="519">
        <f t="shared" si="34"/>
        <v>0</v>
      </c>
    </row>
    <row r="504" spans="1:26" x14ac:dyDescent="0.25">
      <c r="A504" s="348">
        <f>IF(ADSI!$G$12="",ADSI!$H$16,ADSI!$H$12)</f>
        <v>6</v>
      </c>
      <c r="B504" s="348" t="str">
        <f ca="1">IF(ADSI!$G$12="",ADSI!$H$16,ADSI!$H$14)</f>
        <v/>
      </c>
      <c r="C504" s="389">
        <f t="shared" si="32"/>
        <v>4</v>
      </c>
      <c r="D504" s="348">
        <f>ADSI!$K$12</f>
        <v>2021</v>
      </c>
      <c r="E504" s="519">
        <f t="shared" ref="E504:Z504" si="35">D11</f>
        <v>0</v>
      </c>
      <c r="F504" s="519">
        <f t="shared" si="35"/>
        <v>0</v>
      </c>
      <c r="G504" s="519">
        <f t="shared" si="35"/>
        <v>0</v>
      </c>
      <c r="H504" s="519">
        <f t="shared" si="35"/>
        <v>0</v>
      </c>
      <c r="I504" s="519">
        <f t="shared" si="35"/>
        <v>0</v>
      </c>
      <c r="J504" s="519">
        <f t="shared" si="35"/>
        <v>0</v>
      </c>
      <c r="K504" s="519">
        <f t="shared" si="35"/>
        <v>0</v>
      </c>
      <c r="L504" s="519">
        <f t="shared" si="35"/>
        <v>0</v>
      </c>
      <c r="M504" s="519">
        <f t="shared" si="35"/>
        <v>0</v>
      </c>
      <c r="N504" s="519">
        <f t="shared" si="35"/>
        <v>0</v>
      </c>
      <c r="O504" s="519">
        <f t="shared" si="35"/>
        <v>0</v>
      </c>
      <c r="P504" s="519">
        <f t="shared" si="35"/>
        <v>0</v>
      </c>
      <c r="Q504" s="519">
        <f t="shared" si="35"/>
        <v>0</v>
      </c>
      <c r="R504" s="519">
        <f t="shared" si="35"/>
        <v>0</v>
      </c>
      <c r="S504" s="519">
        <f t="shared" si="35"/>
        <v>0</v>
      </c>
      <c r="T504" s="519">
        <f t="shared" si="35"/>
        <v>0</v>
      </c>
      <c r="U504" s="519">
        <f t="shared" si="35"/>
        <v>0</v>
      </c>
      <c r="V504" s="519">
        <f t="shared" si="35"/>
        <v>0</v>
      </c>
      <c r="W504" s="519">
        <f t="shared" si="35"/>
        <v>0</v>
      </c>
      <c r="X504" s="519">
        <f t="shared" si="35"/>
        <v>0</v>
      </c>
      <c r="Y504" s="519">
        <f t="shared" si="35"/>
        <v>0</v>
      </c>
      <c r="Z504" s="519">
        <f t="shared" si="35"/>
        <v>0</v>
      </c>
    </row>
    <row r="505" spans="1:26" x14ac:dyDescent="0.25">
      <c r="A505" s="348">
        <f>IF(ADSI!$G$12="",ADSI!$H$16,ADSI!$H$12)</f>
        <v>6</v>
      </c>
      <c r="B505" s="348" t="str">
        <f ca="1">IF(ADSI!$G$12="",ADSI!$H$16,ADSI!$H$14)</f>
        <v/>
      </c>
      <c r="C505" s="389">
        <f t="shared" si="32"/>
        <v>5</v>
      </c>
      <c r="D505" s="348">
        <f>ADSI!$K$12</f>
        <v>2021</v>
      </c>
      <c r="E505" s="519">
        <f t="shared" ref="E505:Z505" si="36">D12</f>
        <v>0</v>
      </c>
      <c r="F505" s="519">
        <f t="shared" si="36"/>
        <v>0</v>
      </c>
      <c r="G505" s="519">
        <f t="shared" si="36"/>
        <v>0</v>
      </c>
      <c r="H505" s="519">
        <f t="shared" si="36"/>
        <v>0</v>
      </c>
      <c r="I505" s="519">
        <f t="shared" si="36"/>
        <v>0</v>
      </c>
      <c r="J505" s="519">
        <f t="shared" si="36"/>
        <v>0</v>
      </c>
      <c r="K505" s="519">
        <f t="shared" si="36"/>
        <v>0</v>
      </c>
      <c r="L505" s="519">
        <f t="shared" si="36"/>
        <v>0</v>
      </c>
      <c r="M505" s="519">
        <f t="shared" si="36"/>
        <v>0</v>
      </c>
      <c r="N505" s="519">
        <f t="shared" si="36"/>
        <v>0</v>
      </c>
      <c r="O505" s="519">
        <f t="shared" si="36"/>
        <v>0</v>
      </c>
      <c r="P505" s="519">
        <f t="shared" si="36"/>
        <v>0</v>
      </c>
      <c r="Q505" s="519">
        <f t="shared" si="36"/>
        <v>0</v>
      </c>
      <c r="R505" s="519">
        <f t="shared" si="36"/>
        <v>0</v>
      </c>
      <c r="S505" s="519">
        <f t="shared" si="36"/>
        <v>0</v>
      </c>
      <c r="T505" s="519">
        <f t="shared" si="36"/>
        <v>0</v>
      </c>
      <c r="U505" s="519">
        <f t="shared" si="36"/>
        <v>0</v>
      </c>
      <c r="V505" s="519">
        <f t="shared" si="36"/>
        <v>0</v>
      </c>
      <c r="W505" s="519">
        <f t="shared" si="36"/>
        <v>0</v>
      </c>
      <c r="X505" s="519">
        <f t="shared" si="36"/>
        <v>0</v>
      </c>
      <c r="Y505" s="519">
        <f t="shared" si="36"/>
        <v>0</v>
      </c>
      <c r="Z505" s="519">
        <f t="shared" si="36"/>
        <v>0</v>
      </c>
    </row>
    <row r="506" spans="1:26" x14ac:dyDescent="0.25">
      <c r="A506" s="348">
        <f>IF(ADSI!$G$12="",ADSI!$H$16,ADSI!$H$12)</f>
        <v>6</v>
      </c>
      <c r="B506" s="348" t="str">
        <f ca="1">IF(ADSI!$G$12="",ADSI!$H$16,ADSI!$H$14)</f>
        <v/>
      </c>
      <c r="C506" s="389">
        <f t="shared" si="32"/>
        <v>6</v>
      </c>
      <c r="D506" s="348">
        <f>ADSI!$K$12</f>
        <v>2021</v>
      </c>
      <c r="E506" s="519">
        <f t="shared" ref="E506:Z506" si="37">D13</f>
        <v>0</v>
      </c>
      <c r="F506" s="519">
        <f t="shared" si="37"/>
        <v>0</v>
      </c>
      <c r="G506" s="519">
        <f t="shared" si="37"/>
        <v>0</v>
      </c>
      <c r="H506" s="519">
        <f t="shared" si="37"/>
        <v>0</v>
      </c>
      <c r="I506" s="519">
        <f t="shared" si="37"/>
        <v>0</v>
      </c>
      <c r="J506" s="519">
        <f t="shared" si="37"/>
        <v>0</v>
      </c>
      <c r="K506" s="519">
        <f t="shared" si="37"/>
        <v>0</v>
      </c>
      <c r="L506" s="519">
        <f t="shared" si="37"/>
        <v>0</v>
      </c>
      <c r="M506" s="519">
        <f t="shared" si="37"/>
        <v>0</v>
      </c>
      <c r="N506" s="519">
        <f t="shared" si="37"/>
        <v>0</v>
      </c>
      <c r="O506" s="519">
        <f t="shared" si="37"/>
        <v>0</v>
      </c>
      <c r="P506" s="519">
        <f t="shared" si="37"/>
        <v>0</v>
      </c>
      <c r="Q506" s="519">
        <f t="shared" si="37"/>
        <v>0</v>
      </c>
      <c r="R506" s="519">
        <f t="shared" si="37"/>
        <v>0</v>
      </c>
      <c r="S506" s="519">
        <f t="shared" si="37"/>
        <v>0</v>
      </c>
      <c r="T506" s="519">
        <f t="shared" si="37"/>
        <v>0</v>
      </c>
      <c r="U506" s="519">
        <f t="shared" si="37"/>
        <v>0</v>
      </c>
      <c r="V506" s="519">
        <f t="shared" si="37"/>
        <v>0</v>
      </c>
      <c r="W506" s="519">
        <f t="shared" si="37"/>
        <v>0</v>
      </c>
      <c r="X506" s="519">
        <f t="shared" si="37"/>
        <v>0</v>
      </c>
      <c r="Y506" s="519">
        <f t="shared" si="37"/>
        <v>0</v>
      </c>
      <c r="Z506" s="519">
        <f t="shared" si="37"/>
        <v>0</v>
      </c>
    </row>
    <row r="507" spans="1:26" x14ac:dyDescent="0.25">
      <c r="A507" s="348">
        <f>IF(ADSI!$G$12="",ADSI!$H$16,ADSI!$H$12)</f>
        <v>6</v>
      </c>
      <c r="B507" s="348" t="str">
        <f ca="1">IF(ADSI!$G$12="",ADSI!$H$16,ADSI!$H$14)</f>
        <v/>
      </c>
      <c r="C507" s="389">
        <f t="shared" si="32"/>
        <v>7</v>
      </c>
      <c r="D507" s="348">
        <f>ADSI!$K$12</f>
        <v>2021</v>
      </c>
      <c r="E507" s="519">
        <f t="shared" ref="E507:Z507" si="38">D14</f>
        <v>0</v>
      </c>
      <c r="F507" s="519">
        <f t="shared" si="38"/>
        <v>0</v>
      </c>
      <c r="G507" s="519">
        <f t="shared" si="38"/>
        <v>0</v>
      </c>
      <c r="H507" s="519">
        <f t="shared" si="38"/>
        <v>0</v>
      </c>
      <c r="I507" s="519">
        <f t="shared" si="38"/>
        <v>0</v>
      </c>
      <c r="J507" s="519">
        <f t="shared" si="38"/>
        <v>0</v>
      </c>
      <c r="K507" s="519">
        <f t="shared" si="38"/>
        <v>0</v>
      </c>
      <c r="L507" s="519">
        <f t="shared" si="38"/>
        <v>0</v>
      </c>
      <c r="M507" s="519">
        <f t="shared" si="38"/>
        <v>0</v>
      </c>
      <c r="N507" s="519">
        <f t="shared" si="38"/>
        <v>0</v>
      </c>
      <c r="O507" s="519">
        <f t="shared" si="38"/>
        <v>0</v>
      </c>
      <c r="P507" s="519">
        <f t="shared" si="38"/>
        <v>0</v>
      </c>
      <c r="Q507" s="519">
        <f t="shared" si="38"/>
        <v>0</v>
      </c>
      <c r="R507" s="519">
        <f t="shared" si="38"/>
        <v>0</v>
      </c>
      <c r="S507" s="519">
        <f t="shared" si="38"/>
        <v>0</v>
      </c>
      <c r="T507" s="519">
        <f t="shared" si="38"/>
        <v>0</v>
      </c>
      <c r="U507" s="519">
        <f t="shared" si="38"/>
        <v>0</v>
      </c>
      <c r="V507" s="519">
        <f t="shared" si="38"/>
        <v>0</v>
      </c>
      <c r="W507" s="519">
        <f t="shared" si="38"/>
        <v>0</v>
      </c>
      <c r="X507" s="519">
        <f t="shared" si="38"/>
        <v>0</v>
      </c>
      <c r="Y507" s="519">
        <f t="shared" si="38"/>
        <v>0</v>
      </c>
      <c r="Z507" s="519">
        <f t="shared" si="38"/>
        <v>0</v>
      </c>
    </row>
    <row r="508" spans="1:26" x14ac:dyDescent="0.25">
      <c r="A508" s="348">
        <f>IF(ADSI!$G$12="",ADSI!$H$16,ADSI!$H$12)</f>
        <v>6</v>
      </c>
      <c r="B508" s="348" t="str">
        <f ca="1">IF(ADSI!$G$12="",ADSI!$H$16,ADSI!$H$14)</f>
        <v/>
      </c>
      <c r="C508" s="389">
        <f t="shared" si="32"/>
        <v>8</v>
      </c>
      <c r="D508" s="348">
        <f>ADSI!$K$12</f>
        <v>2021</v>
      </c>
      <c r="E508" s="519">
        <f t="shared" ref="E508:Z508" si="39">D15</f>
        <v>0</v>
      </c>
      <c r="F508" s="519">
        <f t="shared" si="39"/>
        <v>0</v>
      </c>
      <c r="G508" s="519">
        <f t="shared" si="39"/>
        <v>0</v>
      </c>
      <c r="H508" s="519">
        <f t="shared" si="39"/>
        <v>0</v>
      </c>
      <c r="I508" s="519">
        <f t="shared" si="39"/>
        <v>0</v>
      </c>
      <c r="J508" s="519">
        <f t="shared" si="39"/>
        <v>0</v>
      </c>
      <c r="K508" s="519">
        <f t="shared" si="39"/>
        <v>0</v>
      </c>
      <c r="L508" s="519">
        <f t="shared" si="39"/>
        <v>0</v>
      </c>
      <c r="M508" s="519">
        <f t="shared" si="39"/>
        <v>0</v>
      </c>
      <c r="N508" s="519">
        <f t="shared" si="39"/>
        <v>0</v>
      </c>
      <c r="O508" s="519">
        <f t="shared" si="39"/>
        <v>0</v>
      </c>
      <c r="P508" s="519">
        <f t="shared" si="39"/>
        <v>0</v>
      </c>
      <c r="Q508" s="519">
        <f t="shared" si="39"/>
        <v>0</v>
      </c>
      <c r="R508" s="519">
        <f t="shared" si="39"/>
        <v>0</v>
      </c>
      <c r="S508" s="519">
        <f t="shared" si="39"/>
        <v>0</v>
      </c>
      <c r="T508" s="519">
        <f t="shared" si="39"/>
        <v>0</v>
      </c>
      <c r="U508" s="519">
        <f t="shared" si="39"/>
        <v>0</v>
      </c>
      <c r="V508" s="519">
        <f t="shared" si="39"/>
        <v>0</v>
      </c>
      <c r="W508" s="519">
        <f t="shared" si="39"/>
        <v>0</v>
      </c>
      <c r="X508" s="519">
        <f t="shared" si="39"/>
        <v>0</v>
      </c>
      <c r="Y508" s="519">
        <f t="shared" si="39"/>
        <v>0</v>
      </c>
      <c r="Z508" s="519">
        <f t="shared" si="39"/>
        <v>0</v>
      </c>
    </row>
    <row r="509" spans="1:26" x14ac:dyDescent="0.25">
      <c r="A509" s="348">
        <f>IF(ADSI!$G$12="",ADSI!$H$16,ADSI!$H$12)</f>
        <v>6</v>
      </c>
      <c r="B509" s="348" t="str">
        <f ca="1">IF(ADSI!$G$12="",ADSI!$H$16,ADSI!$H$14)</f>
        <v/>
      </c>
      <c r="C509" s="389">
        <f t="shared" si="32"/>
        <v>9</v>
      </c>
      <c r="D509" s="348">
        <f>ADSI!$K$12</f>
        <v>2021</v>
      </c>
      <c r="E509" s="519">
        <f t="shared" ref="E509:Z509" si="40">D16</f>
        <v>0</v>
      </c>
      <c r="F509" s="519">
        <f t="shared" si="40"/>
        <v>0</v>
      </c>
      <c r="G509" s="519">
        <f t="shared" si="40"/>
        <v>0</v>
      </c>
      <c r="H509" s="519">
        <f t="shared" si="40"/>
        <v>0</v>
      </c>
      <c r="I509" s="519">
        <f t="shared" si="40"/>
        <v>0</v>
      </c>
      <c r="J509" s="519">
        <f t="shared" si="40"/>
        <v>0</v>
      </c>
      <c r="K509" s="519">
        <f t="shared" si="40"/>
        <v>0</v>
      </c>
      <c r="L509" s="519">
        <f t="shared" si="40"/>
        <v>0</v>
      </c>
      <c r="M509" s="519">
        <f t="shared" si="40"/>
        <v>0</v>
      </c>
      <c r="N509" s="519">
        <f t="shared" si="40"/>
        <v>0</v>
      </c>
      <c r="O509" s="519">
        <f t="shared" si="40"/>
        <v>0</v>
      </c>
      <c r="P509" s="519">
        <f t="shared" si="40"/>
        <v>0</v>
      </c>
      <c r="Q509" s="519">
        <f t="shared" si="40"/>
        <v>0</v>
      </c>
      <c r="R509" s="519">
        <f t="shared" si="40"/>
        <v>0</v>
      </c>
      <c r="S509" s="519">
        <f t="shared" si="40"/>
        <v>0</v>
      </c>
      <c r="T509" s="519">
        <f t="shared" si="40"/>
        <v>0</v>
      </c>
      <c r="U509" s="519">
        <f t="shared" si="40"/>
        <v>0</v>
      </c>
      <c r="V509" s="519">
        <f t="shared" si="40"/>
        <v>0</v>
      </c>
      <c r="W509" s="519">
        <f t="shared" si="40"/>
        <v>0</v>
      </c>
      <c r="X509" s="519">
        <f t="shared" si="40"/>
        <v>0</v>
      </c>
      <c r="Y509" s="519">
        <f t="shared" si="40"/>
        <v>0</v>
      </c>
      <c r="Z509" s="519">
        <f t="shared" si="40"/>
        <v>0</v>
      </c>
    </row>
    <row r="510" spans="1:26" x14ac:dyDescent="0.25">
      <c r="A510" s="348">
        <f>IF(ADSI!$G$12="",ADSI!$H$16,ADSI!$H$12)</f>
        <v>6</v>
      </c>
      <c r="B510" s="348" t="str">
        <f ca="1">IF(ADSI!$G$12="",ADSI!$H$16,ADSI!$H$14)</f>
        <v/>
      </c>
      <c r="C510" s="389">
        <f t="shared" si="32"/>
        <v>10</v>
      </c>
      <c r="D510" s="348">
        <f>ADSI!$K$12</f>
        <v>2021</v>
      </c>
      <c r="E510" s="519">
        <f t="shared" ref="E510:Z510" si="41">D17</f>
        <v>0</v>
      </c>
      <c r="F510" s="519">
        <f t="shared" si="41"/>
        <v>0</v>
      </c>
      <c r="G510" s="519">
        <f t="shared" si="41"/>
        <v>0</v>
      </c>
      <c r="H510" s="519">
        <f t="shared" si="41"/>
        <v>0</v>
      </c>
      <c r="I510" s="519">
        <f t="shared" si="41"/>
        <v>0</v>
      </c>
      <c r="J510" s="519">
        <f t="shared" si="41"/>
        <v>0</v>
      </c>
      <c r="K510" s="519">
        <f t="shared" si="41"/>
        <v>0</v>
      </c>
      <c r="L510" s="519">
        <f t="shared" si="41"/>
        <v>0</v>
      </c>
      <c r="M510" s="519">
        <f t="shared" si="41"/>
        <v>0</v>
      </c>
      <c r="N510" s="519">
        <f t="shared" si="41"/>
        <v>0</v>
      </c>
      <c r="O510" s="519">
        <f t="shared" si="41"/>
        <v>0</v>
      </c>
      <c r="P510" s="519">
        <f t="shared" si="41"/>
        <v>0</v>
      </c>
      <c r="Q510" s="519">
        <f t="shared" si="41"/>
        <v>0</v>
      </c>
      <c r="R510" s="519">
        <f t="shared" si="41"/>
        <v>0</v>
      </c>
      <c r="S510" s="519">
        <f t="shared" si="41"/>
        <v>0</v>
      </c>
      <c r="T510" s="519">
        <f t="shared" si="41"/>
        <v>0</v>
      </c>
      <c r="U510" s="519">
        <f t="shared" si="41"/>
        <v>0</v>
      </c>
      <c r="V510" s="519">
        <f t="shared" si="41"/>
        <v>0</v>
      </c>
      <c r="W510" s="519">
        <f t="shared" si="41"/>
        <v>0</v>
      </c>
      <c r="X510" s="519">
        <f t="shared" si="41"/>
        <v>0</v>
      </c>
      <c r="Y510" s="519">
        <f t="shared" si="41"/>
        <v>0</v>
      </c>
      <c r="Z510" s="519">
        <f t="shared" si="41"/>
        <v>0</v>
      </c>
    </row>
    <row r="511" spans="1:26" x14ac:dyDescent="0.25">
      <c r="A511" s="348">
        <f>IF(ADSI!$G$12="",ADSI!$H$16,ADSI!$H$12)</f>
        <v>6</v>
      </c>
      <c r="B511" s="348" t="str">
        <f ca="1">IF(ADSI!$G$12="",ADSI!$H$16,ADSI!$H$14)</f>
        <v/>
      </c>
      <c r="C511" s="389">
        <f t="shared" si="32"/>
        <v>11</v>
      </c>
      <c r="D511" s="348">
        <f>ADSI!$K$12</f>
        <v>2021</v>
      </c>
      <c r="E511" s="519">
        <f t="shared" ref="E511:Z511" si="42">D18</f>
        <v>0</v>
      </c>
      <c r="F511" s="519">
        <f t="shared" si="42"/>
        <v>0</v>
      </c>
      <c r="G511" s="519">
        <f t="shared" si="42"/>
        <v>0</v>
      </c>
      <c r="H511" s="519">
        <f t="shared" si="42"/>
        <v>0</v>
      </c>
      <c r="I511" s="519">
        <f t="shared" si="42"/>
        <v>0</v>
      </c>
      <c r="J511" s="519">
        <f t="shared" si="42"/>
        <v>0</v>
      </c>
      <c r="K511" s="519">
        <f t="shared" si="42"/>
        <v>0</v>
      </c>
      <c r="L511" s="519">
        <f t="shared" si="42"/>
        <v>0</v>
      </c>
      <c r="M511" s="519">
        <f t="shared" si="42"/>
        <v>0</v>
      </c>
      <c r="N511" s="519">
        <f t="shared" si="42"/>
        <v>0</v>
      </c>
      <c r="O511" s="519">
        <f t="shared" si="42"/>
        <v>0</v>
      </c>
      <c r="P511" s="519">
        <f t="shared" si="42"/>
        <v>0</v>
      </c>
      <c r="Q511" s="519">
        <f t="shared" si="42"/>
        <v>0</v>
      </c>
      <c r="R511" s="519">
        <f t="shared" si="42"/>
        <v>0</v>
      </c>
      <c r="S511" s="519">
        <f t="shared" si="42"/>
        <v>0</v>
      </c>
      <c r="T511" s="519">
        <f t="shared" si="42"/>
        <v>0</v>
      </c>
      <c r="U511" s="519">
        <f t="shared" si="42"/>
        <v>0</v>
      </c>
      <c r="V511" s="519">
        <f t="shared" si="42"/>
        <v>0</v>
      </c>
      <c r="W511" s="519">
        <f t="shared" si="42"/>
        <v>0</v>
      </c>
      <c r="X511" s="519">
        <f t="shared" si="42"/>
        <v>0</v>
      </c>
      <c r="Y511" s="519">
        <f t="shared" si="42"/>
        <v>0</v>
      </c>
      <c r="Z511" s="519">
        <f t="shared" si="42"/>
        <v>0</v>
      </c>
    </row>
    <row r="512" spans="1:26" x14ac:dyDescent="0.25">
      <c r="A512" s="348">
        <f>IF(ADSI!$G$12="",ADSI!$H$16,ADSI!$H$12)</f>
        <v>6</v>
      </c>
      <c r="B512" s="348" t="str">
        <f ca="1">IF(ADSI!$G$12="",ADSI!$H$16,ADSI!$H$14)</f>
        <v/>
      </c>
      <c r="C512" s="389">
        <f t="shared" si="32"/>
        <v>12</v>
      </c>
      <c r="D512" s="348">
        <f>ADSI!$K$12</f>
        <v>2021</v>
      </c>
      <c r="E512" s="519">
        <f t="shared" ref="E512:Z512" si="43">D19</f>
        <v>0</v>
      </c>
      <c r="F512" s="519">
        <f t="shared" si="43"/>
        <v>0</v>
      </c>
      <c r="G512" s="519">
        <f t="shared" si="43"/>
        <v>0</v>
      </c>
      <c r="H512" s="519">
        <f t="shared" si="43"/>
        <v>1</v>
      </c>
      <c r="I512" s="519">
        <f t="shared" si="43"/>
        <v>0</v>
      </c>
      <c r="J512" s="519">
        <f t="shared" si="43"/>
        <v>0</v>
      </c>
      <c r="K512" s="519">
        <f t="shared" si="43"/>
        <v>1</v>
      </c>
      <c r="L512" s="519">
        <f t="shared" si="43"/>
        <v>0</v>
      </c>
      <c r="M512" s="519">
        <f t="shared" si="43"/>
        <v>0</v>
      </c>
      <c r="N512" s="519">
        <f t="shared" si="43"/>
        <v>0</v>
      </c>
      <c r="O512" s="519">
        <f t="shared" si="43"/>
        <v>0</v>
      </c>
      <c r="P512" s="519">
        <f t="shared" si="43"/>
        <v>0</v>
      </c>
      <c r="Q512" s="519">
        <f t="shared" si="43"/>
        <v>0</v>
      </c>
      <c r="R512" s="519">
        <f t="shared" si="43"/>
        <v>0</v>
      </c>
      <c r="S512" s="519">
        <f t="shared" si="43"/>
        <v>0</v>
      </c>
      <c r="T512" s="519">
        <f t="shared" si="43"/>
        <v>0</v>
      </c>
      <c r="U512" s="519">
        <f t="shared" si="43"/>
        <v>0</v>
      </c>
      <c r="V512" s="519">
        <f t="shared" si="43"/>
        <v>0</v>
      </c>
      <c r="W512" s="519">
        <f t="shared" si="43"/>
        <v>0</v>
      </c>
      <c r="X512" s="519">
        <f t="shared" si="43"/>
        <v>0</v>
      </c>
      <c r="Y512" s="519">
        <f t="shared" si="43"/>
        <v>0</v>
      </c>
      <c r="Z512" s="519">
        <f t="shared" si="43"/>
        <v>1</v>
      </c>
    </row>
    <row r="513" spans="1:26" x14ac:dyDescent="0.25">
      <c r="A513" s="348">
        <f>IF(ADSI!$G$12="",ADSI!$H$16,ADSI!$H$12)</f>
        <v>6</v>
      </c>
      <c r="B513" s="348" t="str">
        <f ca="1">IF(ADSI!$G$12="",ADSI!$H$16,ADSI!$H$14)</f>
        <v/>
      </c>
      <c r="C513" s="389">
        <f t="shared" si="32"/>
        <v>13</v>
      </c>
      <c r="D513" s="348">
        <f>ADSI!$K$12</f>
        <v>2021</v>
      </c>
      <c r="E513" s="519">
        <f t="shared" ref="E513:Z513" si="44">D20</f>
        <v>0</v>
      </c>
      <c r="F513" s="519">
        <f t="shared" si="44"/>
        <v>0</v>
      </c>
      <c r="G513" s="519">
        <f t="shared" si="44"/>
        <v>0</v>
      </c>
      <c r="H513" s="519">
        <f t="shared" si="44"/>
        <v>0</v>
      </c>
      <c r="I513" s="519">
        <f t="shared" si="44"/>
        <v>1</v>
      </c>
      <c r="J513" s="519">
        <f t="shared" si="44"/>
        <v>0</v>
      </c>
      <c r="K513" s="519">
        <f t="shared" si="44"/>
        <v>1</v>
      </c>
      <c r="L513" s="519">
        <f t="shared" si="44"/>
        <v>0</v>
      </c>
      <c r="M513" s="519">
        <f t="shared" si="44"/>
        <v>0</v>
      </c>
      <c r="N513" s="519">
        <f t="shared" si="44"/>
        <v>0</v>
      </c>
      <c r="O513" s="519">
        <f t="shared" si="44"/>
        <v>0</v>
      </c>
      <c r="P513" s="519">
        <f t="shared" si="44"/>
        <v>0</v>
      </c>
      <c r="Q513" s="519">
        <f t="shared" si="44"/>
        <v>0</v>
      </c>
      <c r="R513" s="519">
        <f t="shared" si="44"/>
        <v>0</v>
      </c>
      <c r="S513" s="519">
        <f t="shared" si="44"/>
        <v>0</v>
      </c>
      <c r="T513" s="519">
        <f t="shared" si="44"/>
        <v>0</v>
      </c>
      <c r="U513" s="519">
        <f t="shared" si="44"/>
        <v>0</v>
      </c>
      <c r="V513" s="519">
        <f t="shared" si="44"/>
        <v>0</v>
      </c>
      <c r="W513" s="519">
        <f t="shared" si="44"/>
        <v>0</v>
      </c>
      <c r="X513" s="519">
        <f t="shared" si="44"/>
        <v>0</v>
      </c>
      <c r="Y513" s="519">
        <f t="shared" si="44"/>
        <v>0</v>
      </c>
      <c r="Z513" s="519">
        <f t="shared" si="44"/>
        <v>1</v>
      </c>
    </row>
    <row r="514" spans="1:26" x14ac:dyDescent="0.25">
      <c r="A514" s="348">
        <f>IF(ADSI!$G$12="",ADSI!$H$16,ADSI!$H$12)</f>
        <v>6</v>
      </c>
      <c r="B514" s="348" t="str">
        <f ca="1">IF(ADSI!$G$12="",ADSI!$H$16,ADSI!$H$14)</f>
        <v/>
      </c>
      <c r="C514" s="389">
        <f t="shared" si="32"/>
        <v>14</v>
      </c>
      <c r="D514" s="348">
        <f>ADSI!$K$12</f>
        <v>2021</v>
      </c>
      <c r="E514" s="519">
        <f t="shared" ref="E514:Z514" si="45">D21</f>
        <v>0</v>
      </c>
      <c r="F514" s="519">
        <f t="shared" si="45"/>
        <v>0</v>
      </c>
      <c r="G514" s="519">
        <f t="shared" si="45"/>
        <v>0</v>
      </c>
      <c r="H514" s="519">
        <f t="shared" si="45"/>
        <v>0</v>
      </c>
      <c r="I514" s="519">
        <f t="shared" si="45"/>
        <v>0</v>
      </c>
      <c r="J514" s="519">
        <f t="shared" si="45"/>
        <v>0</v>
      </c>
      <c r="K514" s="519">
        <f t="shared" si="45"/>
        <v>0</v>
      </c>
      <c r="L514" s="519">
        <f t="shared" si="45"/>
        <v>0</v>
      </c>
      <c r="M514" s="519">
        <f t="shared" si="45"/>
        <v>0</v>
      </c>
      <c r="N514" s="519">
        <f t="shared" si="45"/>
        <v>0</v>
      </c>
      <c r="O514" s="519">
        <f t="shared" si="45"/>
        <v>0</v>
      </c>
      <c r="P514" s="519">
        <f t="shared" si="45"/>
        <v>0</v>
      </c>
      <c r="Q514" s="519">
        <f t="shared" si="45"/>
        <v>0</v>
      </c>
      <c r="R514" s="519">
        <f t="shared" si="45"/>
        <v>0</v>
      </c>
      <c r="S514" s="519">
        <f t="shared" si="45"/>
        <v>0</v>
      </c>
      <c r="T514" s="519">
        <f t="shared" si="45"/>
        <v>0</v>
      </c>
      <c r="U514" s="519">
        <f t="shared" si="45"/>
        <v>0</v>
      </c>
      <c r="V514" s="519">
        <f t="shared" si="45"/>
        <v>0</v>
      </c>
      <c r="W514" s="519">
        <f t="shared" si="45"/>
        <v>0</v>
      </c>
      <c r="X514" s="519">
        <f t="shared" si="45"/>
        <v>0</v>
      </c>
      <c r="Y514" s="519">
        <f t="shared" si="45"/>
        <v>0</v>
      </c>
      <c r="Z514" s="519">
        <f t="shared" si="45"/>
        <v>0</v>
      </c>
    </row>
    <row r="515" spans="1:26" x14ac:dyDescent="0.25">
      <c r="A515" s="348">
        <f>IF(ADSI!$G$12="",ADSI!$H$16,ADSI!$H$12)</f>
        <v>6</v>
      </c>
      <c r="B515" s="348" t="str">
        <f ca="1">IF(ADSI!$G$12="",ADSI!$H$16,ADSI!$H$14)</f>
        <v/>
      </c>
      <c r="C515" s="389">
        <f t="shared" si="32"/>
        <v>15</v>
      </c>
      <c r="D515" s="348">
        <f>ADSI!$K$12</f>
        <v>2021</v>
      </c>
      <c r="E515" s="519">
        <f t="shared" ref="E515:Z516" si="46">D22</f>
        <v>0</v>
      </c>
      <c r="F515" s="519">
        <f t="shared" si="46"/>
        <v>0</v>
      </c>
      <c r="G515" s="519">
        <f t="shared" si="46"/>
        <v>0</v>
      </c>
      <c r="H515" s="519">
        <f t="shared" si="46"/>
        <v>0</v>
      </c>
      <c r="I515" s="519">
        <f t="shared" si="46"/>
        <v>1</v>
      </c>
      <c r="J515" s="519">
        <f t="shared" si="46"/>
        <v>0</v>
      </c>
      <c r="K515" s="519">
        <f t="shared" si="46"/>
        <v>1</v>
      </c>
      <c r="L515" s="519">
        <f t="shared" si="46"/>
        <v>0</v>
      </c>
      <c r="M515" s="519">
        <f t="shared" si="46"/>
        <v>0</v>
      </c>
      <c r="N515" s="519">
        <f t="shared" si="46"/>
        <v>0</v>
      </c>
      <c r="O515" s="519">
        <f t="shared" si="46"/>
        <v>0</v>
      </c>
      <c r="P515" s="519">
        <f t="shared" si="46"/>
        <v>0</v>
      </c>
      <c r="Q515" s="519">
        <f t="shared" si="46"/>
        <v>0</v>
      </c>
      <c r="R515" s="519">
        <f t="shared" si="46"/>
        <v>0</v>
      </c>
      <c r="S515" s="519">
        <f t="shared" si="46"/>
        <v>0</v>
      </c>
      <c r="T515" s="519">
        <f t="shared" si="46"/>
        <v>0</v>
      </c>
      <c r="U515" s="519">
        <f t="shared" si="46"/>
        <v>0</v>
      </c>
      <c r="V515" s="519">
        <f t="shared" si="46"/>
        <v>0</v>
      </c>
      <c r="W515" s="519">
        <f t="shared" si="46"/>
        <v>0</v>
      </c>
      <c r="X515" s="519">
        <f t="shared" si="46"/>
        <v>0</v>
      </c>
      <c r="Y515" s="519">
        <f t="shared" si="46"/>
        <v>0</v>
      </c>
      <c r="Z515" s="519">
        <f t="shared" si="46"/>
        <v>1</v>
      </c>
    </row>
    <row r="516" spans="1:26" x14ac:dyDescent="0.25">
      <c r="A516" s="348">
        <f>IF(ADSI!$G$12="",ADSI!$H$16,ADSI!$H$12)</f>
        <v>6</v>
      </c>
      <c r="B516" s="348" t="str">
        <f ca="1">IF(ADSI!$G$12="",ADSI!$H$16,ADSI!$H$14)</f>
        <v/>
      </c>
      <c r="C516" s="389">
        <f t="shared" si="32"/>
        <v>30</v>
      </c>
      <c r="D516" s="348">
        <f>ADSI!$K$12</f>
        <v>2021</v>
      </c>
      <c r="E516" s="519">
        <f>D23</f>
        <v>0</v>
      </c>
      <c r="F516" s="519">
        <f t="shared" si="46"/>
        <v>0</v>
      </c>
      <c r="G516" s="519">
        <f t="shared" si="46"/>
        <v>0</v>
      </c>
      <c r="H516" s="519">
        <f t="shared" si="46"/>
        <v>1</v>
      </c>
      <c r="I516" s="519">
        <f t="shared" si="46"/>
        <v>2</v>
      </c>
      <c r="J516" s="519">
        <f t="shared" si="46"/>
        <v>0</v>
      </c>
      <c r="K516" s="519">
        <f t="shared" si="46"/>
        <v>3</v>
      </c>
      <c r="L516" s="519">
        <f t="shared" si="46"/>
        <v>0</v>
      </c>
      <c r="M516" s="519">
        <f t="shared" si="46"/>
        <v>0</v>
      </c>
      <c r="N516" s="519">
        <f t="shared" si="46"/>
        <v>0</v>
      </c>
      <c r="O516" s="519">
        <f t="shared" si="46"/>
        <v>0</v>
      </c>
      <c r="P516" s="519">
        <f t="shared" si="46"/>
        <v>0</v>
      </c>
      <c r="Q516" s="519">
        <f t="shared" si="46"/>
        <v>0</v>
      </c>
      <c r="R516" s="519">
        <f t="shared" si="46"/>
        <v>0</v>
      </c>
      <c r="S516" s="519">
        <f t="shared" si="46"/>
        <v>0</v>
      </c>
      <c r="T516" s="519">
        <f t="shared" si="46"/>
        <v>0</v>
      </c>
      <c r="U516" s="519">
        <f t="shared" si="46"/>
        <v>0</v>
      </c>
      <c r="V516" s="519">
        <f t="shared" si="46"/>
        <v>0</v>
      </c>
      <c r="W516" s="519">
        <f t="shared" si="46"/>
        <v>0</v>
      </c>
      <c r="X516" s="519">
        <f t="shared" si="46"/>
        <v>0</v>
      </c>
      <c r="Y516" s="519">
        <f t="shared" si="46"/>
        <v>0</v>
      </c>
      <c r="Z516" s="519">
        <f t="shared" si="46"/>
        <v>3</v>
      </c>
    </row>
    <row r="517" spans="1:26" x14ac:dyDescent="0.25">
      <c r="C517" s="343"/>
    </row>
    <row r="518" spans="1:26" x14ac:dyDescent="0.25">
      <c r="C518" s="343"/>
    </row>
  </sheetData>
  <sheetProtection password="C614" sheet="1" objects="1" scenarios="1" selectLockedCells="1"/>
  <mergeCells count="17">
    <mergeCell ref="BA223:BB223"/>
    <mergeCell ref="A24:C24"/>
    <mergeCell ref="BA203:BA205"/>
    <mergeCell ref="BB203:BB205"/>
    <mergeCell ref="BC203:BW203"/>
    <mergeCell ref="BX203:BX205"/>
    <mergeCell ref="BC204:BI204"/>
    <mergeCell ref="BJ204:BP204"/>
    <mergeCell ref="BQ204:BW204"/>
    <mergeCell ref="A4:A6"/>
    <mergeCell ref="B4:B6"/>
    <mergeCell ref="C4:C6"/>
    <mergeCell ref="Y4:Y6"/>
    <mergeCell ref="D4:X4"/>
    <mergeCell ref="K5:Q5"/>
    <mergeCell ref="R5:X5"/>
    <mergeCell ref="D5:J5"/>
  </mergeCells>
  <conditionalFormatting sqref="D24:Y24">
    <cfRule type="cellIs" dxfId="147" priority="1" operator="equal">
      <formula>"ABVAR"</formula>
    </cfRule>
    <cfRule type="cellIs" dxfId="146" priority="4" operator="equal">
      <formula>"""ABVAR"""</formula>
    </cfRule>
    <cfRule type="cellIs" dxfId="145" priority="6" operator="equal">
      <formula>FALSE</formula>
    </cfRule>
  </conditionalFormatting>
  <conditionalFormatting sqref="D24:Y24">
    <cfRule type="cellIs" dxfId="144" priority="2" operator="equal">
      <formula>"ABVAR"</formula>
    </cfRule>
    <cfRule type="cellIs" dxfId="143" priority="3" operator="equal">
      <formula>"ABVAR"</formula>
    </cfRule>
  </conditionalFormatting>
  <dataValidations count="1">
    <dataValidation type="whole" allowBlank="1" showInputMessage="1" showErrorMessage="1" sqref="R8:W22 K8:P22 D8:I22">
      <formula1>0</formula1>
      <formula2>999999999</formula2>
    </dataValidation>
  </dataValidations>
  <pageMargins left="0.59055118110236227" right="0" top="0.74803149606299213" bottom="0.74803149606299213" header="0.39370078740157483" footer="0.19685039370078741"/>
  <pageSetup paperSize="5" orientation="landscape" r:id="rId1"/>
  <headerFooter>
    <oddFooter>&amp;L&amp;9ADSI - &amp;A&amp;C&amp;9&amp;D &amp;T&amp;R&amp;9Page &amp;P of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V545"/>
  <sheetViews>
    <sheetView showGridLines="0" workbookViewId="0">
      <pane xSplit="3" ySplit="7" topLeftCell="D38" activePane="bottomRight" state="frozen"/>
      <selection activeCell="D9" sqref="D9"/>
      <selection pane="topRight" activeCell="D9" sqref="D9"/>
      <selection pane="bottomLeft" activeCell="D9" sqref="D9"/>
      <selection pane="bottomRight" activeCell="L45" sqref="L45"/>
    </sheetView>
  </sheetViews>
  <sheetFormatPr defaultRowHeight="15" x14ac:dyDescent="0.25"/>
  <cols>
    <col min="1" max="2" width="6.7109375" style="38" customWidth="1"/>
    <col min="3" max="3" width="56.5703125" style="38" bestFit="1" customWidth="1"/>
    <col min="4" max="13" width="15.7109375" style="38" customWidth="1"/>
    <col min="14" max="14" width="9.7109375" style="38" customWidth="1"/>
    <col min="15" max="52" width="9.140625" style="38"/>
    <col min="53" max="53" width="5.42578125" style="38" customWidth="1"/>
    <col min="54" max="54" width="36.7109375" style="38" bestFit="1" customWidth="1"/>
    <col min="55" max="16384" width="9.140625" style="38"/>
  </cols>
  <sheetData>
    <row r="1" spans="1:14" ht="15.75" x14ac:dyDescent="0.25">
      <c r="A1" s="285" t="str">
        <f>ADSI!$B$1</f>
        <v>Goa, , ADSI-2021</v>
      </c>
    </row>
    <row r="2" spans="1:14" ht="15.75" x14ac:dyDescent="0.25">
      <c r="A2" s="286" t="s">
        <v>657</v>
      </c>
      <c r="C2" s="287">
        <f>COUNTIF(E8:E51,FALSE)</f>
        <v>0</v>
      </c>
      <c r="E2" s="465" t="s">
        <v>1570</v>
      </c>
      <c r="F2" s="464">
        <f>COUNTIF(D52:M54,"ABVAR")</f>
        <v>0</v>
      </c>
    </row>
    <row r="3" spans="1:14" ht="15.75" x14ac:dyDescent="0.25">
      <c r="A3" s="289" t="s">
        <v>44</v>
      </c>
      <c r="C3" s="35"/>
      <c r="D3" s="35"/>
      <c r="E3" s="35"/>
      <c r="F3" s="35"/>
      <c r="H3" s="35"/>
      <c r="I3" s="35"/>
      <c r="K3" s="35"/>
      <c r="L3" s="35"/>
    </row>
    <row r="4" spans="1:14" ht="15.75" x14ac:dyDescent="0.25">
      <c r="A4" s="289" t="s">
        <v>1667</v>
      </c>
      <c r="C4" s="35"/>
      <c r="D4" s="35"/>
      <c r="E4" s="35"/>
      <c r="F4" s="35"/>
      <c r="K4" s="35"/>
      <c r="L4" s="143"/>
      <c r="M4" s="144"/>
    </row>
    <row r="5" spans="1:14" ht="15" customHeight="1" x14ac:dyDescent="0.25">
      <c r="A5" s="608" t="s">
        <v>249</v>
      </c>
      <c r="B5" s="608" t="s">
        <v>0</v>
      </c>
      <c r="C5" s="584" t="s">
        <v>34</v>
      </c>
      <c r="D5" s="608" t="s">
        <v>35</v>
      </c>
      <c r="E5" s="616" t="s">
        <v>589</v>
      </c>
      <c r="F5" s="613" t="s">
        <v>36</v>
      </c>
      <c r="G5" s="614"/>
      <c r="H5" s="614"/>
      <c r="I5" s="615"/>
      <c r="J5" s="610" t="s">
        <v>37</v>
      </c>
      <c r="K5" s="611"/>
      <c r="L5" s="611"/>
      <c r="M5" s="612"/>
      <c r="N5" s="601"/>
    </row>
    <row r="6" spans="1:14" ht="45" x14ac:dyDescent="0.25">
      <c r="A6" s="609"/>
      <c r="B6" s="609"/>
      <c r="C6" s="586"/>
      <c r="D6" s="609"/>
      <c r="E6" s="617"/>
      <c r="F6" s="220" t="s">
        <v>38</v>
      </c>
      <c r="G6" s="220" t="s">
        <v>39</v>
      </c>
      <c r="H6" s="220" t="s">
        <v>240</v>
      </c>
      <c r="I6" s="220" t="s">
        <v>598</v>
      </c>
      <c r="J6" s="209" t="s">
        <v>200</v>
      </c>
      <c r="K6" s="209" t="s">
        <v>201</v>
      </c>
      <c r="L6" s="209" t="s">
        <v>240</v>
      </c>
      <c r="M6" s="209" t="s">
        <v>236</v>
      </c>
      <c r="N6" s="601"/>
    </row>
    <row r="7" spans="1:14" ht="18" customHeight="1" x14ac:dyDescent="0.25">
      <c r="A7" s="27"/>
      <c r="B7" s="27" t="s">
        <v>181</v>
      </c>
      <c r="C7" s="221" t="s">
        <v>182</v>
      </c>
      <c r="D7" s="29" t="s">
        <v>183</v>
      </c>
      <c r="E7" s="314"/>
      <c r="F7" s="221" t="s">
        <v>184</v>
      </c>
      <c r="G7" s="221" t="s">
        <v>185</v>
      </c>
      <c r="H7" s="221" t="s">
        <v>186</v>
      </c>
      <c r="I7" s="222" t="s">
        <v>187</v>
      </c>
      <c r="J7" s="29" t="s">
        <v>188</v>
      </c>
      <c r="K7" s="29" t="s">
        <v>189</v>
      </c>
      <c r="L7" s="29" t="s">
        <v>190</v>
      </c>
      <c r="M7" s="29" t="s">
        <v>191</v>
      </c>
      <c r="N7" s="601"/>
    </row>
    <row r="8" spans="1:14" ht="20.100000000000001" customHeight="1" x14ac:dyDescent="0.25">
      <c r="A8" s="33">
        <v>50</v>
      </c>
      <c r="B8" s="33">
        <v>1</v>
      </c>
      <c r="C8" s="30" t="s">
        <v>40</v>
      </c>
      <c r="D8" s="235">
        <v>0</v>
      </c>
      <c r="E8" s="322" t="str">
        <f>IF(AND(OR(I8&gt;0,M8&gt;0),D8=0),FALSE,"")</f>
        <v/>
      </c>
      <c r="F8" s="235">
        <v>0</v>
      </c>
      <c r="G8" s="235">
        <v>0</v>
      </c>
      <c r="H8" s="235">
        <v>0</v>
      </c>
      <c r="I8" s="432">
        <f>SUM(F8:H8)</f>
        <v>0</v>
      </c>
      <c r="J8" s="234">
        <v>0</v>
      </c>
      <c r="K8" s="234">
        <v>0</v>
      </c>
      <c r="L8" s="234">
        <v>0</v>
      </c>
      <c r="M8" s="432">
        <f>SUM(J8:L8)</f>
        <v>0</v>
      </c>
      <c r="N8" s="333"/>
    </row>
    <row r="9" spans="1:14" ht="20.100000000000001" customHeight="1" x14ac:dyDescent="0.25">
      <c r="A9" s="34">
        <v>51</v>
      </c>
      <c r="B9" s="34">
        <v>2</v>
      </c>
      <c r="C9" s="31" t="s">
        <v>41</v>
      </c>
      <c r="D9" s="235">
        <v>0</v>
      </c>
      <c r="E9" s="322" t="str">
        <f t="shared" ref="E9:E51" si="0">IF(AND(OR(I9&gt;0,M9&gt;0),D9=0),FALSE,"")</f>
        <v/>
      </c>
      <c r="F9" s="235">
        <v>0</v>
      </c>
      <c r="G9" s="235">
        <v>0</v>
      </c>
      <c r="H9" s="235">
        <v>0</v>
      </c>
      <c r="I9" s="432">
        <f t="shared" ref="I9:I50" si="1">SUM(F9:H9)</f>
        <v>0</v>
      </c>
      <c r="J9" s="234">
        <v>0</v>
      </c>
      <c r="K9" s="234">
        <v>0</v>
      </c>
      <c r="L9" s="234">
        <v>0</v>
      </c>
      <c r="M9" s="432">
        <f t="shared" ref="M9:M50" si="2">SUM(J9:L9)</f>
        <v>0</v>
      </c>
      <c r="N9" s="333"/>
    </row>
    <row r="10" spans="1:14" s="416" customFormat="1" ht="20.100000000000001" customHeight="1" x14ac:dyDescent="0.25">
      <c r="A10" s="418">
        <v>52</v>
      </c>
      <c r="B10" s="418">
        <v>3</v>
      </c>
      <c r="C10" s="411" t="s">
        <v>1436</v>
      </c>
      <c r="D10" s="413">
        <f>SUM(D11:D15)</f>
        <v>5</v>
      </c>
      <c r="E10" s="414" t="str">
        <f t="shared" si="0"/>
        <v/>
      </c>
      <c r="F10" s="413">
        <f t="shared" ref="F10:J10" si="3">SUM(F11:F15)</f>
        <v>0</v>
      </c>
      <c r="G10" s="413">
        <f t="shared" si="3"/>
        <v>0</v>
      </c>
      <c r="H10" s="413">
        <f t="shared" si="3"/>
        <v>0</v>
      </c>
      <c r="I10" s="415">
        <f t="shared" si="1"/>
        <v>0</v>
      </c>
      <c r="J10" s="413">
        <f t="shared" si="3"/>
        <v>5</v>
      </c>
      <c r="K10" s="413">
        <f t="shared" ref="K10" si="4">SUM(K11:K15)</f>
        <v>0</v>
      </c>
      <c r="L10" s="413">
        <f t="shared" ref="L10" si="5">SUM(L11:L15)</f>
        <v>0</v>
      </c>
      <c r="M10" s="415">
        <f t="shared" si="2"/>
        <v>5</v>
      </c>
      <c r="N10" s="493"/>
    </row>
    <row r="11" spans="1:14" ht="20.100000000000001" customHeight="1" x14ac:dyDescent="0.25">
      <c r="A11" s="34">
        <v>53</v>
      </c>
      <c r="B11" s="34"/>
      <c r="C11" s="211" t="s">
        <v>1437</v>
      </c>
      <c r="D11" s="235">
        <v>1</v>
      </c>
      <c r="E11" s="322" t="str">
        <f t="shared" si="0"/>
        <v/>
      </c>
      <c r="F11" s="235">
        <v>0</v>
      </c>
      <c r="G11" s="235">
        <v>0</v>
      </c>
      <c r="H11" s="235">
        <v>0</v>
      </c>
      <c r="I11" s="432">
        <f t="shared" si="1"/>
        <v>0</v>
      </c>
      <c r="J11" s="234">
        <v>1</v>
      </c>
      <c r="K11" s="234">
        <v>0</v>
      </c>
      <c r="L11" s="234">
        <v>0</v>
      </c>
      <c r="M11" s="432">
        <f t="shared" si="2"/>
        <v>1</v>
      </c>
      <c r="N11" s="333"/>
    </row>
    <row r="12" spans="1:14" ht="20.100000000000001" customHeight="1" x14ac:dyDescent="0.25">
      <c r="A12" s="33">
        <v>54</v>
      </c>
      <c r="B12" s="33"/>
      <c r="C12" s="212" t="s">
        <v>1438</v>
      </c>
      <c r="D12" s="235">
        <v>0</v>
      </c>
      <c r="E12" s="322" t="str">
        <f t="shared" si="0"/>
        <v/>
      </c>
      <c r="F12" s="235">
        <v>0</v>
      </c>
      <c r="G12" s="235">
        <v>0</v>
      </c>
      <c r="H12" s="235">
        <v>0</v>
      </c>
      <c r="I12" s="432">
        <f t="shared" si="1"/>
        <v>0</v>
      </c>
      <c r="J12" s="234">
        <v>0</v>
      </c>
      <c r="K12" s="234">
        <v>0</v>
      </c>
      <c r="L12" s="234">
        <v>0</v>
      </c>
      <c r="M12" s="432">
        <f t="shared" si="2"/>
        <v>0</v>
      </c>
      <c r="N12" s="333"/>
    </row>
    <row r="13" spans="1:14" ht="20.100000000000001" customHeight="1" x14ac:dyDescent="0.25">
      <c r="A13" s="34">
        <v>55</v>
      </c>
      <c r="B13" s="34"/>
      <c r="C13" s="212" t="s">
        <v>1439</v>
      </c>
      <c r="D13" s="235">
        <v>0</v>
      </c>
      <c r="E13" s="322" t="str">
        <f t="shared" si="0"/>
        <v/>
      </c>
      <c r="F13" s="235">
        <v>0</v>
      </c>
      <c r="G13" s="235">
        <v>0</v>
      </c>
      <c r="H13" s="235">
        <v>0</v>
      </c>
      <c r="I13" s="432">
        <f t="shared" si="1"/>
        <v>0</v>
      </c>
      <c r="J13" s="234">
        <v>0</v>
      </c>
      <c r="K13" s="234">
        <v>0</v>
      </c>
      <c r="L13" s="234">
        <v>0</v>
      </c>
      <c r="M13" s="432">
        <f t="shared" si="2"/>
        <v>0</v>
      </c>
      <c r="N13" s="333"/>
    </row>
    <row r="14" spans="1:14" ht="20.100000000000001" customHeight="1" x14ac:dyDescent="0.25">
      <c r="A14" s="33">
        <v>56</v>
      </c>
      <c r="B14" s="33"/>
      <c r="C14" s="212" t="s">
        <v>1440</v>
      </c>
      <c r="D14" s="235">
        <v>0</v>
      </c>
      <c r="E14" s="322" t="str">
        <f t="shared" si="0"/>
        <v/>
      </c>
      <c r="F14" s="235">
        <v>0</v>
      </c>
      <c r="G14" s="235">
        <v>0</v>
      </c>
      <c r="H14" s="235">
        <v>0</v>
      </c>
      <c r="I14" s="432">
        <f t="shared" si="1"/>
        <v>0</v>
      </c>
      <c r="J14" s="234">
        <v>0</v>
      </c>
      <c r="K14" s="234">
        <v>0</v>
      </c>
      <c r="L14" s="234">
        <v>0</v>
      </c>
      <c r="M14" s="432">
        <f t="shared" si="2"/>
        <v>0</v>
      </c>
      <c r="N14" s="333"/>
    </row>
    <row r="15" spans="1:14" ht="20.100000000000001" customHeight="1" x14ac:dyDescent="0.25">
      <c r="A15" s="34">
        <v>57</v>
      </c>
      <c r="B15" s="34"/>
      <c r="C15" s="211" t="s">
        <v>1441</v>
      </c>
      <c r="D15" s="235">
        <v>4</v>
      </c>
      <c r="E15" s="322" t="str">
        <f t="shared" si="0"/>
        <v/>
      </c>
      <c r="F15" s="235">
        <v>0</v>
      </c>
      <c r="G15" s="235">
        <v>0</v>
      </c>
      <c r="H15" s="235">
        <v>0</v>
      </c>
      <c r="I15" s="432">
        <f t="shared" si="1"/>
        <v>0</v>
      </c>
      <c r="J15" s="234">
        <v>4</v>
      </c>
      <c r="K15" s="234">
        <v>0</v>
      </c>
      <c r="L15" s="234">
        <v>0</v>
      </c>
      <c r="M15" s="432">
        <f t="shared" si="2"/>
        <v>4</v>
      </c>
      <c r="N15" s="333"/>
    </row>
    <row r="16" spans="1:14" s="416" customFormat="1" ht="20.100000000000001" customHeight="1" x14ac:dyDescent="0.25">
      <c r="A16" s="418">
        <v>58</v>
      </c>
      <c r="B16" s="418">
        <v>4</v>
      </c>
      <c r="C16" s="411" t="s">
        <v>1442</v>
      </c>
      <c r="D16" s="413">
        <f>SUM(D17:D19)</f>
        <v>114</v>
      </c>
      <c r="E16" s="414" t="str">
        <f t="shared" si="0"/>
        <v/>
      </c>
      <c r="F16" s="413">
        <f t="shared" ref="F16:H16" si="6">SUM(F17:F19)</f>
        <v>0</v>
      </c>
      <c r="G16" s="413">
        <f t="shared" si="6"/>
        <v>0</v>
      </c>
      <c r="H16" s="413">
        <f t="shared" si="6"/>
        <v>0</v>
      </c>
      <c r="I16" s="415">
        <f t="shared" si="1"/>
        <v>0</v>
      </c>
      <c r="J16" s="413">
        <f t="shared" ref="J16" si="7">SUM(J17:J19)</f>
        <v>104</v>
      </c>
      <c r="K16" s="413">
        <f t="shared" ref="K16" si="8">SUM(K17:K19)</f>
        <v>11</v>
      </c>
      <c r="L16" s="413">
        <f t="shared" ref="L16" si="9">SUM(L17:L19)</f>
        <v>0</v>
      </c>
      <c r="M16" s="415">
        <f t="shared" si="2"/>
        <v>115</v>
      </c>
      <c r="N16" s="493"/>
    </row>
    <row r="17" spans="1:14" ht="20.100000000000001" customHeight="1" x14ac:dyDescent="0.25">
      <c r="A17" s="34">
        <v>59</v>
      </c>
      <c r="B17" s="34"/>
      <c r="C17" s="211" t="s">
        <v>1443</v>
      </c>
      <c r="D17" s="235">
        <v>0</v>
      </c>
      <c r="E17" s="322" t="str">
        <f t="shared" si="0"/>
        <v/>
      </c>
      <c r="F17" s="235">
        <v>0</v>
      </c>
      <c r="G17" s="235">
        <v>0</v>
      </c>
      <c r="H17" s="235">
        <v>0</v>
      </c>
      <c r="I17" s="432">
        <f t="shared" si="1"/>
        <v>0</v>
      </c>
      <c r="J17" s="234">
        <v>0</v>
      </c>
      <c r="K17" s="234">
        <v>0</v>
      </c>
      <c r="L17" s="234">
        <v>0</v>
      </c>
      <c r="M17" s="432">
        <f t="shared" si="2"/>
        <v>0</v>
      </c>
      <c r="N17" s="333"/>
    </row>
    <row r="18" spans="1:14" ht="20.100000000000001" customHeight="1" x14ac:dyDescent="0.25">
      <c r="A18" s="33">
        <v>60</v>
      </c>
      <c r="B18" s="33"/>
      <c r="C18" s="212" t="s">
        <v>1444</v>
      </c>
      <c r="D18" s="235">
        <v>97</v>
      </c>
      <c r="E18" s="322" t="str">
        <f t="shared" si="0"/>
        <v/>
      </c>
      <c r="F18" s="235">
        <v>0</v>
      </c>
      <c r="G18" s="235">
        <v>0</v>
      </c>
      <c r="H18" s="235">
        <v>0</v>
      </c>
      <c r="I18" s="432">
        <f t="shared" si="1"/>
        <v>0</v>
      </c>
      <c r="J18" s="234">
        <v>88</v>
      </c>
      <c r="K18" s="234">
        <v>10</v>
      </c>
      <c r="L18" s="234">
        <v>0</v>
      </c>
      <c r="M18" s="432">
        <f t="shared" si="2"/>
        <v>98</v>
      </c>
      <c r="N18" s="333"/>
    </row>
    <row r="19" spans="1:14" ht="20.100000000000001" customHeight="1" x14ac:dyDescent="0.25">
      <c r="A19" s="34">
        <v>61</v>
      </c>
      <c r="B19" s="34"/>
      <c r="C19" s="211" t="s">
        <v>1445</v>
      </c>
      <c r="D19" s="235">
        <v>17</v>
      </c>
      <c r="E19" s="322" t="str">
        <f t="shared" si="0"/>
        <v/>
      </c>
      <c r="F19" s="235">
        <v>0</v>
      </c>
      <c r="G19" s="235">
        <v>0</v>
      </c>
      <c r="H19" s="235">
        <v>0</v>
      </c>
      <c r="I19" s="432">
        <f t="shared" si="1"/>
        <v>0</v>
      </c>
      <c r="J19" s="234">
        <v>16</v>
      </c>
      <c r="K19" s="234">
        <v>1</v>
      </c>
      <c r="L19" s="234">
        <v>0</v>
      </c>
      <c r="M19" s="432">
        <f t="shared" si="2"/>
        <v>17</v>
      </c>
      <c r="N19" s="333"/>
    </row>
    <row r="20" spans="1:14" ht="20.100000000000001" customHeight="1" x14ac:dyDescent="0.25">
      <c r="A20" s="33">
        <v>62</v>
      </c>
      <c r="B20" s="33">
        <v>5</v>
      </c>
      <c r="C20" s="31" t="s">
        <v>42</v>
      </c>
      <c r="D20" s="235">
        <v>25</v>
      </c>
      <c r="E20" s="322" t="str">
        <f t="shared" si="0"/>
        <v/>
      </c>
      <c r="F20" s="235">
        <v>0</v>
      </c>
      <c r="G20" s="235">
        <v>0</v>
      </c>
      <c r="H20" s="235">
        <v>0</v>
      </c>
      <c r="I20" s="432">
        <f t="shared" si="1"/>
        <v>0</v>
      </c>
      <c r="J20" s="234">
        <v>23</v>
      </c>
      <c r="K20" s="234">
        <v>2</v>
      </c>
      <c r="L20" s="234">
        <v>0</v>
      </c>
      <c r="M20" s="432">
        <f t="shared" si="2"/>
        <v>25</v>
      </c>
      <c r="N20" s="333"/>
    </row>
    <row r="21" spans="1:14" s="416" customFormat="1" ht="20.100000000000001" customHeight="1" x14ac:dyDescent="0.25">
      <c r="A21" s="419">
        <v>63</v>
      </c>
      <c r="B21" s="419">
        <v>6</v>
      </c>
      <c r="C21" s="411" t="s">
        <v>1446</v>
      </c>
      <c r="D21" s="413">
        <f>SUM(D22:D25)</f>
        <v>1</v>
      </c>
      <c r="E21" s="414" t="str">
        <f t="shared" si="0"/>
        <v/>
      </c>
      <c r="F21" s="413">
        <f t="shared" ref="F21:H21" si="10">SUM(F22:F25)</f>
        <v>0</v>
      </c>
      <c r="G21" s="413">
        <f t="shared" si="10"/>
        <v>0</v>
      </c>
      <c r="H21" s="413">
        <f t="shared" si="10"/>
        <v>0</v>
      </c>
      <c r="I21" s="415">
        <f t="shared" si="1"/>
        <v>0</v>
      </c>
      <c r="J21" s="413">
        <f t="shared" ref="J21:L21" si="11">SUM(J22:J25)</f>
        <v>1</v>
      </c>
      <c r="K21" s="413">
        <f t="shared" si="11"/>
        <v>0</v>
      </c>
      <c r="L21" s="413">
        <f t="shared" si="11"/>
        <v>0</v>
      </c>
      <c r="M21" s="415">
        <f t="shared" si="2"/>
        <v>1</v>
      </c>
      <c r="N21" s="493"/>
    </row>
    <row r="22" spans="1:14" ht="20.100000000000001" customHeight="1" x14ac:dyDescent="0.25">
      <c r="A22" s="33">
        <v>64</v>
      </c>
      <c r="B22" s="33"/>
      <c r="C22" s="211" t="s">
        <v>1447</v>
      </c>
      <c r="D22" s="235">
        <v>0</v>
      </c>
      <c r="E22" s="322" t="str">
        <f t="shared" si="0"/>
        <v/>
      </c>
      <c r="F22" s="235">
        <v>0</v>
      </c>
      <c r="G22" s="235">
        <v>0</v>
      </c>
      <c r="H22" s="235">
        <v>0</v>
      </c>
      <c r="I22" s="432">
        <f t="shared" si="1"/>
        <v>0</v>
      </c>
      <c r="J22" s="234">
        <v>0</v>
      </c>
      <c r="K22" s="234">
        <v>0</v>
      </c>
      <c r="L22" s="234">
        <v>0</v>
      </c>
      <c r="M22" s="432">
        <f t="shared" si="2"/>
        <v>0</v>
      </c>
      <c r="N22" s="333"/>
    </row>
    <row r="23" spans="1:14" ht="20.100000000000001" customHeight="1" x14ac:dyDescent="0.25">
      <c r="A23" s="34">
        <v>65</v>
      </c>
      <c r="B23" s="34"/>
      <c r="C23" s="212" t="s">
        <v>1448</v>
      </c>
      <c r="D23" s="235">
        <v>1</v>
      </c>
      <c r="E23" s="322" t="str">
        <f t="shared" si="0"/>
        <v/>
      </c>
      <c r="F23" s="235">
        <v>0</v>
      </c>
      <c r="G23" s="235">
        <v>0</v>
      </c>
      <c r="H23" s="235">
        <v>0</v>
      </c>
      <c r="I23" s="432">
        <f t="shared" si="1"/>
        <v>0</v>
      </c>
      <c r="J23" s="234">
        <v>1</v>
      </c>
      <c r="K23" s="234">
        <v>0</v>
      </c>
      <c r="L23" s="234">
        <v>0</v>
      </c>
      <c r="M23" s="432">
        <f t="shared" si="2"/>
        <v>1</v>
      </c>
      <c r="N23" s="333"/>
    </row>
    <row r="24" spans="1:14" ht="20.100000000000001" customHeight="1" x14ac:dyDescent="0.25">
      <c r="A24" s="33">
        <v>66</v>
      </c>
      <c r="B24" s="33"/>
      <c r="C24" s="212" t="s">
        <v>1449</v>
      </c>
      <c r="D24" s="235">
        <v>0</v>
      </c>
      <c r="E24" s="322" t="str">
        <f t="shared" si="0"/>
        <v/>
      </c>
      <c r="F24" s="235">
        <v>0</v>
      </c>
      <c r="G24" s="235">
        <v>0</v>
      </c>
      <c r="H24" s="235">
        <v>0</v>
      </c>
      <c r="I24" s="432">
        <f t="shared" si="1"/>
        <v>0</v>
      </c>
      <c r="J24" s="234">
        <v>0</v>
      </c>
      <c r="K24" s="234">
        <v>0</v>
      </c>
      <c r="L24" s="234">
        <v>0</v>
      </c>
      <c r="M24" s="432">
        <f t="shared" si="2"/>
        <v>0</v>
      </c>
      <c r="N24" s="333"/>
    </row>
    <row r="25" spans="1:14" ht="20.100000000000001" customHeight="1" x14ac:dyDescent="0.25">
      <c r="A25" s="34">
        <v>67</v>
      </c>
      <c r="B25" s="34"/>
      <c r="C25" s="212" t="s">
        <v>1450</v>
      </c>
      <c r="D25" s="235">
        <v>0</v>
      </c>
      <c r="E25" s="322" t="str">
        <f t="shared" si="0"/>
        <v/>
      </c>
      <c r="F25" s="235">
        <v>0</v>
      </c>
      <c r="G25" s="235">
        <v>0</v>
      </c>
      <c r="H25" s="235">
        <v>0</v>
      </c>
      <c r="I25" s="432">
        <f t="shared" si="1"/>
        <v>0</v>
      </c>
      <c r="J25" s="234">
        <v>0</v>
      </c>
      <c r="K25" s="234">
        <v>0</v>
      </c>
      <c r="L25" s="234">
        <v>0</v>
      </c>
      <c r="M25" s="432">
        <f t="shared" si="2"/>
        <v>0</v>
      </c>
      <c r="N25" s="333"/>
    </row>
    <row r="26" spans="1:14" s="416" customFormat="1" ht="20.100000000000001" customHeight="1" x14ac:dyDescent="0.25">
      <c r="A26" s="418">
        <v>68</v>
      </c>
      <c r="B26" s="418">
        <v>7</v>
      </c>
      <c r="C26" s="411" t="s">
        <v>1454</v>
      </c>
      <c r="D26" s="413">
        <f>SUM(D27:D32)</f>
        <v>101</v>
      </c>
      <c r="E26" s="414" t="str">
        <f t="shared" si="0"/>
        <v/>
      </c>
      <c r="F26" s="413">
        <f t="shared" ref="F26:H26" si="12">SUM(F27:F32)</f>
        <v>0</v>
      </c>
      <c r="G26" s="413">
        <f t="shared" si="12"/>
        <v>0</v>
      </c>
      <c r="H26" s="413">
        <f t="shared" si="12"/>
        <v>0</v>
      </c>
      <c r="I26" s="415">
        <f t="shared" si="1"/>
        <v>0</v>
      </c>
      <c r="J26" s="413">
        <f t="shared" ref="J26:L26" si="13">SUM(J27:J32)</f>
        <v>93</v>
      </c>
      <c r="K26" s="413">
        <f t="shared" si="13"/>
        <v>9</v>
      </c>
      <c r="L26" s="413">
        <f t="shared" si="13"/>
        <v>0</v>
      </c>
      <c r="M26" s="415">
        <f t="shared" si="2"/>
        <v>102</v>
      </c>
      <c r="N26" s="493"/>
    </row>
    <row r="27" spans="1:14" ht="20.100000000000001" customHeight="1" x14ac:dyDescent="0.25">
      <c r="A27" s="34">
        <v>69</v>
      </c>
      <c r="B27" s="34"/>
      <c r="C27" s="212" t="s">
        <v>1451</v>
      </c>
      <c r="D27" s="235">
        <v>77</v>
      </c>
      <c r="E27" s="322" t="str">
        <f t="shared" si="0"/>
        <v/>
      </c>
      <c r="F27" s="235">
        <v>0</v>
      </c>
      <c r="G27" s="235">
        <v>0</v>
      </c>
      <c r="H27" s="235">
        <v>0</v>
      </c>
      <c r="I27" s="432">
        <f t="shared" si="1"/>
        <v>0</v>
      </c>
      <c r="J27" s="234">
        <v>72</v>
      </c>
      <c r="K27" s="234">
        <v>5</v>
      </c>
      <c r="L27" s="234">
        <v>0</v>
      </c>
      <c r="M27" s="432">
        <f t="shared" si="2"/>
        <v>77</v>
      </c>
      <c r="N27" s="333"/>
    </row>
    <row r="28" spans="1:14" ht="20.100000000000001" customHeight="1" x14ac:dyDescent="0.25">
      <c r="A28" s="33">
        <v>70</v>
      </c>
      <c r="B28" s="33"/>
      <c r="C28" s="212" t="s">
        <v>1452</v>
      </c>
      <c r="D28" s="235">
        <v>7</v>
      </c>
      <c r="E28" s="322" t="str">
        <f t="shared" si="0"/>
        <v/>
      </c>
      <c r="F28" s="235">
        <v>0</v>
      </c>
      <c r="G28" s="235">
        <v>0</v>
      </c>
      <c r="H28" s="235">
        <v>0</v>
      </c>
      <c r="I28" s="432">
        <f t="shared" si="1"/>
        <v>0</v>
      </c>
      <c r="J28" s="234">
        <v>7</v>
      </c>
      <c r="K28" s="234">
        <v>1</v>
      </c>
      <c r="L28" s="234">
        <v>0</v>
      </c>
      <c r="M28" s="432">
        <f t="shared" si="2"/>
        <v>8</v>
      </c>
      <c r="N28" s="333"/>
    </row>
    <row r="29" spans="1:14" ht="20.100000000000001" customHeight="1" x14ac:dyDescent="0.25">
      <c r="A29" s="34">
        <v>71</v>
      </c>
      <c r="B29" s="34"/>
      <c r="C29" s="212" t="s">
        <v>1770</v>
      </c>
      <c r="D29" s="235">
        <v>1</v>
      </c>
      <c r="E29" s="322" t="str">
        <f t="shared" si="0"/>
        <v/>
      </c>
      <c r="F29" s="235">
        <v>0</v>
      </c>
      <c r="G29" s="235">
        <v>0</v>
      </c>
      <c r="H29" s="235">
        <v>0</v>
      </c>
      <c r="I29" s="432">
        <f t="shared" si="1"/>
        <v>0</v>
      </c>
      <c r="J29" s="234">
        <v>1</v>
      </c>
      <c r="K29" s="234">
        <v>0</v>
      </c>
      <c r="L29" s="234">
        <v>0</v>
      </c>
      <c r="M29" s="432">
        <f t="shared" si="2"/>
        <v>1</v>
      </c>
      <c r="N29" s="333"/>
    </row>
    <row r="30" spans="1:14" ht="20.100000000000001" customHeight="1" x14ac:dyDescent="0.25">
      <c r="A30" s="33">
        <v>72</v>
      </c>
      <c r="B30" s="33"/>
      <c r="C30" s="212" t="s">
        <v>1453</v>
      </c>
      <c r="D30" s="235">
        <v>0</v>
      </c>
      <c r="E30" s="322" t="str">
        <f t="shared" si="0"/>
        <v/>
      </c>
      <c r="F30" s="235">
        <v>0</v>
      </c>
      <c r="G30" s="235">
        <v>0</v>
      </c>
      <c r="H30" s="235">
        <v>0</v>
      </c>
      <c r="I30" s="432">
        <f t="shared" si="1"/>
        <v>0</v>
      </c>
      <c r="J30" s="234">
        <v>0</v>
      </c>
      <c r="K30" s="234">
        <v>0</v>
      </c>
      <c r="L30" s="234">
        <v>0</v>
      </c>
      <c r="M30" s="432">
        <f t="shared" si="2"/>
        <v>0</v>
      </c>
      <c r="N30" s="333"/>
    </row>
    <row r="31" spans="1:14" ht="20.100000000000001" customHeight="1" x14ac:dyDescent="0.25">
      <c r="A31" s="34">
        <v>73</v>
      </c>
      <c r="B31" s="34"/>
      <c r="C31" s="212" t="s">
        <v>1455</v>
      </c>
      <c r="D31" s="235">
        <v>0</v>
      </c>
      <c r="E31" s="322" t="str">
        <f t="shared" si="0"/>
        <v/>
      </c>
      <c r="F31" s="235">
        <v>0</v>
      </c>
      <c r="G31" s="235">
        <v>0</v>
      </c>
      <c r="H31" s="235">
        <v>0</v>
      </c>
      <c r="I31" s="432">
        <f t="shared" si="1"/>
        <v>0</v>
      </c>
      <c r="J31" s="234">
        <v>0</v>
      </c>
      <c r="K31" s="234">
        <v>0</v>
      </c>
      <c r="L31" s="234">
        <v>0</v>
      </c>
      <c r="M31" s="432">
        <f t="shared" si="2"/>
        <v>0</v>
      </c>
      <c r="N31" s="333"/>
    </row>
    <row r="32" spans="1:14" ht="20.100000000000001" customHeight="1" x14ac:dyDescent="0.25">
      <c r="A32" s="33">
        <v>74</v>
      </c>
      <c r="B32" s="33"/>
      <c r="C32" s="212" t="s">
        <v>1456</v>
      </c>
      <c r="D32" s="235">
        <v>16</v>
      </c>
      <c r="E32" s="322" t="str">
        <f t="shared" si="0"/>
        <v/>
      </c>
      <c r="F32" s="235">
        <v>0</v>
      </c>
      <c r="G32" s="235">
        <v>0</v>
      </c>
      <c r="H32" s="235">
        <v>0</v>
      </c>
      <c r="I32" s="432">
        <f t="shared" si="1"/>
        <v>0</v>
      </c>
      <c r="J32" s="234">
        <v>13</v>
      </c>
      <c r="K32" s="234">
        <v>3</v>
      </c>
      <c r="L32" s="234">
        <v>0</v>
      </c>
      <c r="M32" s="432">
        <f t="shared" si="2"/>
        <v>16</v>
      </c>
      <c r="N32" s="333"/>
    </row>
    <row r="33" spans="1:14" ht="20.100000000000001" customHeight="1" x14ac:dyDescent="0.25">
      <c r="A33" s="34">
        <v>75</v>
      </c>
      <c r="B33" s="34">
        <v>8</v>
      </c>
      <c r="C33" s="31" t="s">
        <v>43</v>
      </c>
      <c r="D33" s="235">
        <v>3</v>
      </c>
      <c r="E33" s="322" t="str">
        <f t="shared" si="0"/>
        <v/>
      </c>
      <c r="F33" s="235">
        <v>0</v>
      </c>
      <c r="G33" s="235">
        <v>0</v>
      </c>
      <c r="H33" s="235">
        <v>0</v>
      </c>
      <c r="I33" s="432">
        <f t="shared" si="1"/>
        <v>0</v>
      </c>
      <c r="J33" s="234">
        <v>3</v>
      </c>
      <c r="K33" s="234">
        <v>0</v>
      </c>
      <c r="L33" s="234">
        <v>0</v>
      </c>
      <c r="M33" s="432">
        <f t="shared" si="2"/>
        <v>3</v>
      </c>
      <c r="N33" s="333"/>
    </row>
    <row r="34" spans="1:14" s="416" customFormat="1" ht="20.100000000000001" customHeight="1" x14ac:dyDescent="0.25">
      <c r="A34" s="418">
        <v>76</v>
      </c>
      <c r="B34" s="418">
        <v>9</v>
      </c>
      <c r="C34" s="411" t="s">
        <v>1457</v>
      </c>
      <c r="D34" s="413">
        <f>SUM(D35:D39)</f>
        <v>45</v>
      </c>
      <c r="E34" s="414" t="str">
        <f t="shared" si="0"/>
        <v/>
      </c>
      <c r="F34" s="413">
        <f t="shared" ref="F34:H34" si="14">SUM(F35:F39)</f>
        <v>1</v>
      </c>
      <c r="G34" s="413">
        <f t="shared" si="14"/>
        <v>0</v>
      </c>
      <c r="H34" s="413">
        <f t="shared" si="14"/>
        <v>0</v>
      </c>
      <c r="I34" s="415">
        <f t="shared" si="1"/>
        <v>1</v>
      </c>
      <c r="J34" s="413">
        <f t="shared" ref="J34:L34" si="15">SUM(J35:J39)</f>
        <v>3</v>
      </c>
      <c r="K34" s="413">
        <f t="shared" si="15"/>
        <v>6</v>
      </c>
      <c r="L34" s="413">
        <f t="shared" si="15"/>
        <v>0</v>
      </c>
      <c r="M34" s="415">
        <f t="shared" si="2"/>
        <v>9</v>
      </c>
      <c r="N34" s="493"/>
    </row>
    <row r="35" spans="1:14" ht="20.100000000000001" customHeight="1" x14ac:dyDescent="0.25">
      <c r="A35" s="34">
        <v>77</v>
      </c>
      <c r="B35" s="34"/>
      <c r="C35" s="211" t="s">
        <v>1458</v>
      </c>
      <c r="D35" s="235">
        <v>16</v>
      </c>
      <c r="E35" s="322" t="str">
        <f t="shared" si="0"/>
        <v/>
      </c>
      <c r="F35" s="235">
        <v>0</v>
      </c>
      <c r="G35" s="235">
        <v>0</v>
      </c>
      <c r="H35" s="235">
        <v>0</v>
      </c>
      <c r="I35" s="432">
        <f t="shared" si="1"/>
        <v>0</v>
      </c>
      <c r="J35" s="234">
        <v>1</v>
      </c>
      <c r="K35" s="234">
        <v>0</v>
      </c>
      <c r="L35" s="234">
        <v>0</v>
      </c>
      <c r="M35" s="432">
        <f t="shared" si="2"/>
        <v>1</v>
      </c>
      <c r="N35" s="333"/>
    </row>
    <row r="36" spans="1:14" ht="20.100000000000001" customHeight="1" x14ac:dyDescent="0.25">
      <c r="A36" s="33">
        <v>78</v>
      </c>
      <c r="B36" s="33"/>
      <c r="C36" s="212" t="s">
        <v>1459</v>
      </c>
      <c r="D36" s="235">
        <v>0</v>
      </c>
      <c r="E36" s="322" t="str">
        <f t="shared" si="0"/>
        <v/>
      </c>
      <c r="F36" s="235">
        <v>0</v>
      </c>
      <c r="G36" s="235">
        <v>0</v>
      </c>
      <c r="H36" s="235">
        <v>0</v>
      </c>
      <c r="I36" s="432">
        <f t="shared" si="1"/>
        <v>0</v>
      </c>
      <c r="J36" s="234">
        <v>0</v>
      </c>
      <c r="K36" s="234">
        <v>0</v>
      </c>
      <c r="L36" s="234">
        <v>0</v>
      </c>
      <c r="M36" s="432">
        <f t="shared" si="2"/>
        <v>0</v>
      </c>
      <c r="N36" s="333"/>
    </row>
    <row r="37" spans="1:14" ht="20.100000000000001" customHeight="1" x14ac:dyDescent="0.25">
      <c r="A37" s="34">
        <v>79</v>
      </c>
      <c r="B37" s="34"/>
      <c r="C37" s="213" t="s">
        <v>1460</v>
      </c>
      <c r="D37" s="245">
        <v>1</v>
      </c>
      <c r="E37" s="322" t="str">
        <f t="shared" si="0"/>
        <v/>
      </c>
      <c r="F37" s="246">
        <v>0</v>
      </c>
      <c r="G37" s="246">
        <v>0</v>
      </c>
      <c r="H37" s="246">
        <v>0</v>
      </c>
      <c r="I37" s="432">
        <f t="shared" si="1"/>
        <v>0</v>
      </c>
      <c r="J37" s="246">
        <v>0</v>
      </c>
      <c r="K37" s="246">
        <v>1</v>
      </c>
      <c r="L37" s="246">
        <v>0</v>
      </c>
      <c r="M37" s="432">
        <f t="shared" si="2"/>
        <v>1</v>
      </c>
      <c r="N37" s="333"/>
    </row>
    <row r="38" spans="1:14" ht="20.100000000000001" customHeight="1" x14ac:dyDescent="0.25">
      <c r="A38" s="33">
        <v>80</v>
      </c>
      <c r="B38" s="33"/>
      <c r="C38" s="214" t="s">
        <v>1461</v>
      </c>
      <c r="D38" s="245">
        <v>5</v>
      </c>
      <c r="E38" s="322" t="str">
        <f t="shared" si="0"/>
        <v/>
      </c>
      <c r="F38" s="246">
        <v>0</v>
      </c>
      <c r="G38" s="246">
        <v>0</v>
      </c>
      <c r="H38" s="246">
        <v>0</v>
      </c>
      <c r="I38" s="432">
        <f t="shared" si="1"/>
        <v>0</v>
      </c>
      <c r="J38" s="246">
        <v>2</v>
      </c>
      <c r="K38" s="246">
        <v>1</v>
      </c>
      <c r="L38" s="246">
        <v>0</v>
      </c>
      <c r="M38" s="432">
        <f t="shared" si="2"/>
        <v>3</v>
      </c>
      <c r="N38" s="333"/>
    </row>
    <row r="39" spans="1:14" ht="20.100000000000001" customHeight="1" x14ac:dyDescent="0.25">
      <c r="A39" s="34">
        <v>81</v>
      </c>
      <c r="B39" s="34"/>
      <c r="C39" s="213" t="s">
        <v>1462</v>
      </c>
      <c r="D39" s="245">
        <v>23</v>
      </c>
      <c r="E39" s="322" t="str">
        <f t="shared" si="0"/>
        <v/>
      </c>
      <c r="F39" s="246">
        <v>1</v>
      </c>
      <c r="G39" s="246">
        <v>0</v>
      </c>
      <c r="H39" s="246">
        <v>0</v>
      </c>
      <c r="I39" s="432">
        <f t="shared" si="1"/>
        <v>1</v>
      </c>
      <c r="J39" s="246">
        <v>0</v>
      </c>
      <c r="K39" s="246">
        <v>4</v>
      </c>
      <c r="L39" s="246">
        <v>0</v>
      </c>
      <c r="M39" s="432">
        <f t="shared" si="2"/>
        <v>4</v>
      </c>
      <c r="N39" s="333"/>
    </row>
    <row r="40" spans="1:14" ht="20.100000000000001" customHeight="1" x14ac:dyDescent="0.25">
      <c r="A40" s="33">
        <v>82</v>
      </c>
      <c r="B40" s="33">
        <v>10</v>
      </c>
      <c r="C40" s="142" t="s">
        <v>252</v>
      </c>
      <c r="D40" s="245">
        <v>3</v>
      </c>
      <c r="E40" s="322" t="str">
        <f t="shared" si="0"/>
        <v/>
      </c>
      <c r="F40" s="246">
        <v>1</v>
      </c>
      <c r="G40" s="246">
        <v>1</v>
      </c>
      <c r="H40" s="246">
        <v>0</v>
      </c>
      <c r="I40" s="432">
        <f t="shared" si="1"/>
        <v>2</v>
      </c>
      <c r="J40" s="246">
        <v>1</v>
      </c>
      <c r="K40" s="246">
        <v>0</v>
      </c>
      <c r="L40" s="246">
        <v>0</v>
      </c>
      <c r="M40" s="432">
        <f t="shared" si="2"/>
        <v>1</v>
      </c>
      <c r="N40" s="333"/>
    </row>
    <row r="41" spans="1:14" ht="20.100000000000001" customHeight="1" x14ac:dyDescent="0.25">
      <c r="A41" s="34">
        <v>83</v>
      </c>
      <c r="B41" s="34">
        <v>11</v>
      </c>
      <c r="C41" s="39" t="s">
        <v>45</v>
      </c>
      <c r="D41" s="245">
        <v>0</v>
      </c>
      <c r="E41" s="322" t="str">
        <f t="shared" si="0"/>
        <v/>
      </c>
      <c r="F41" s="246">
        <v>0</v>
      </c>
      <c r="G41" s="246">
        <v>0</v>
      </c>
      <c r="H41" s="246">
        <v>0</v>
      </c>
      <c r="I41" s="432">
        <f t="shared" si="1"/>
        <v>0</v>
      </c>
      <c r="J41" s="246">
        <v>0</v>
      </c>
      <c r="K41" s="246">
        <v>0</v>
      </c>
      <c r="L41" s="246">
        <v>0</v>
      </c>
      <c r="M41" s="432">
        <f t="shared" si="2"/>
        <v>0</v>
      </c>
      <c r="N41" s="333"/>
    </row>
    <row r="42" spans="1:14" s="416" customFormat="1" ht="20.100000000000001" customHeight="1" x14ac:dyDescent="0.25">
      <c r="A42" s="418">
        <v>84</v>
      </c>
      <c r="B42" s="418">
        <v>12</v>
      </c>
      <c r="C42" s="411" t="s">
        <v>1463</v>
      </c>
      <c r="D42" s="413">
        <f>SUM(D43,D46:D47)</f>
        <v>2899</v>
      </c>
      <c r="E42" s="414" t="str">
        <f t="shared" si="0"/>
        <v/>
      </c>
      <c r="F42" s="413">
        <f t="shared" ref="F42:H42" si="16">SUM(F43,F46:F47)</f>
        <v>696</v>
      </c>
      <c r="G42" s="413">
        <f t="shared" si="16"/>
        <v>160</v>
      </c>
      <c r="H42" s="413">
        <f t="shared" si="16"/>
        <v>0</v>
      </c>
      <c r="I42" s="415">
        <f t="shared" si="1"/>
        <v>856</v>
      </c>
      <c r="J42" s="413">
        <f t="shared" ref="J42:L42" si="17">SUM(J43,J46:J47)</f>
        <v>238</v>
      </c>
      <c r="K42" s="413">
        <f t="shared" si="17"/>
        <v>37</v>
      </c>
      <c r="L42" s="413">
        <f t="shared" si="17"/>
        <v>0</v>
      </c>
      <c r="M42" s="415">
        <f t="shared" si="2"/>
        <v>275</v>
      </c>
      <c r="N42" s="493"/>
    </row>
    <row r="43" spans="1:14" s="416" customFormat="1" ht="20.100000000000001" customHeight="1" x14ac:dyDescent="0.25">
      <c r="A43" s="419">
        <v>85</v>
      </c>
      <c r="B43" s="419"/>
      <c r="C43" s="412" t="s">
        <v>1464</v>
      </c>
      <c r="D43" s="417">
        <f>SUM(D44:D45)</f>
        <v>2850</v>
      </c>
      <c r="E43" s="414" t="str">
        <f t="shared" si="0"/>
        <v/>
      </c>
      <c r="F43" s="417">
        <f t="shared" ref="F43:H43" si="18">SUM(F44:F45)</f>
        <v>696</v>
      </c>
      <c r="G43" s="417">
        <f t="shared" si="18"/>
        <v>160</v>
      </c>
      <c r="H43" s="417">
        <f t="shared" si="18"/>
        <v>0</v>
      </c>
      <c r="I43" s="415">
        <f t="shared" si="1"/>
        <v>856</v>
      </c>
      <c r="J43" s="417">
        <f t="shared" ref="J43:L43" si="19">SUM(J44:J45)</f>
        <v>193</v>
      </c>
      <c r="K43" s="417">
        <f t="shared" si="19"/>
        <v>33</v>
      </c>
      <c r="L43" s="417">
        <f t="shared" si="19"/>
        <v>0</v>
      </c>
      <c r="M43" s="415">
        <f t="shared" si="2"/>
        <v>226</v>
      </c>
      <c r="N43" s="493"/>
    </row>
    <row r="44" spans="1:14" ht="20.100000000000001" customHeight="1" x14ac:dyDescent="0.25">
      <c r="A44" s="33">
        <v>86</v>
      </c>
      <c r="B44" s="33"/>
      <c r="C44" s="530" t="s">
        <v>1465</v>
      </c>
      <c r="D44" s="246">
        <v>0</v>
      </c>
      <c r="E44" s="322" t="str">
        <f t="shared" si="0"/>
        <v/>
      </c>
      <c r="F44" s="246">
        <v>0</v>
      </c>
      <c r="G44" s="246">
        <v>0</v>
      </c>
      <c r="H44" s="246">
        <v>0</v>
      </c>
      <c r="I44" s="432">
        <f t="shared" si="1"/>
        <v>0</v>
      </c>
      <c r="J44" s="246">
        <v>0</v>
      </c>
      <c r="K44" s="246">
        <v>0</v>
      </c>
      <c r="L44" s="246">
        <v>0</v>
      </c>
      <c r="M44" s="432">
        <f t="shared" si="2"/>
        <v>0</v>
      </c>
      <c r="N44" s="333"/>
    </row>
    <row r="45" spans="1:14" ht="20.100000000000001" customHeight="1" x14ac:dyDescent="0.25">
      <c r="A45" s="34">
        <v>87</v>
      </c>
      <c r="B45" s="34"/>
      <c r="C45" s="244" t="s">
        <v>1528</v>
      </c>
      <c r="D45" s="246">
        <v>2850</v>
      </c>
      <c r="E45" s="322" t="str">
        <f t="shared" si="0"/>
        <v/>
      </c>
      <c r="F45" s="246">
        <v>696</v>
      </c>
      <c r="G45" s="246">
        <v>160</v>
      </c>
      <c r="H45" s="246">
        <v>0</v>
      </c>
      <c r="I45" s="432">
        <f t="shared" si="1"/>
        <v>856</v>
      </c>
      <c r="J45" s="246">
        <v>193</v>
      </c>
      <c r="K45" s="246">
        <v>33</v>
      </c>
      <c r="L45" s="246">
        <v>0</v>
      </c>
      <c r="M45" s="432">
        <f t="shared" si="2"/>
        <v>226</v>
      </c>
      <c r="N45" s="333"/>
    </row>
    <row r="46" spans="1:14" ht="20.100000000000001" customHeight="1" x14ac:dyDescent="0.25">
      <c r="A46" s="33">
        <v>88</v>
      </c>
      <c r="B46" s="33"/>
      <c r="C46" s="531" t="s">
        <v>1466</v>
      </c>
      <c r="D46" s="235">
        <v>0</v>
      </c>
      <c r="E46" s="322" t="str">
        <f t="shared" si="0"/>
        <v/>
      </c>
      <c r="F46" s="246">
        <v>0</v>
      </c>
      <c r="G46" s="246">
        <v>0</v>
      </c>
      <c r="H46" s="246">
        <v>0</v>
      </c>
      <c r="I46" s="432">
        <f t="shared" si="1"/>
        <v>0</v>
      </c>
      <c r="J46" s="246">
        <v>0</v>
      </c>
      <c r="K46" s="246">
        <v>0</v>
      </c>
      <c r="L46" s="246">
        <v>0</v>
      </c>
      <c r="M46" s="432">
        <f t="shared" si="2"/>
        <v>0</v>
      </c>
      <c r="N46" s="333"/>
    </row>
    <row r="47" spans="1:14" ht="20.100000000000001" customHeight="1" x14ac:dyDescent="0.25">
      <c r="A47" s="34">
        <v>89</v>
      </c>
      <c r="B47" s="34"/>
      <c r="C47" s="213" t="s">
        <v>1467</v>
      </c>
      <c r="D47" s="245">
        <v>49</v>
      </c>
      <c r="E47" s="322" t="str">
        <f t="shared" si="0"/>
        <v/>
      </c>
      <c r="F47" s="246">
        <v>0</v>
      </c>
      <c r="G47" s="246">
        <v>0</v>
      </c>
      <c r="H47" s="246">
        <v>0</v>
      </c>
      <c r="I47" s="432">
        <f t="shared" si="1"/>
        <v>0</v>
      </c>
      <c r="J47" s="246">
        <v>45</v>
      </c>
      <c r="K47" s="246">
        <v>4</v>
      </c>
      <c r="L47" s="246">
        <v>0</v>
      </c>
      <c r="M47" s="432">
        <f t="shared" si="2"/>
        <v>49</v>
      </c>
      <c r="N47" s="333"/>
    </row>
    <row r="48" spans="1:14" ht="20.100000000000001" customHeight="1" x14ac:dyDescent="0.25">
      <c r="A48" s="33">
        <v>90</v>
      </c>
      <c r="B48" s="33">
        <v>13</v>
      </c>
      <c r="C48" s="39" t="s">
        <v>47</v>
      </c>
      <c r="D48" s="245">
        <v>0</v>
      </c>
      <c r="E48" s="322" t="str">
        <f t="shared" si="0"/>
        <v/>
      </c>
      <c r="F48" s="246">
        <v>0</v>
      </c>
      <c r="G48" s="246">
        <v>0</v>
      </c>
      <c r="H48" s="246">
        <v>0</v>
      </c>
      <c r="I48" s="432">
        <f t="shared" si="1"/>
        <v>0</v>
      </c>
      <c r="J48" s="246">
        <v>0</v>
      </c>
      <c r="K48" s="246">
        <v>0</v>
      </c>
      <c r="L48" s="246">
        <v>0</v>
      </c>
      <c r="M48" s="432">
        <f t="shared" si="2"/>
        <v>0</v>
      </c>
      <c r="N48" s="333"/>
    </row>
    <row r="49" spans="1:14" ht="20.100000000000001" customHeight="1" x14ac:dyDescent="0.25">
      <c r="A49" s="34">
        <v>91</v>
      </c>
      <c r="B49" s="34">
        <v>14</v>
      </c>
      <c r="C49" s="39" t="s">
        <v>1527</v>
      </c>
      <c r="D49" s="245">
        <v>10</v>
      </c>
      <c r="E49" s="322" t="str">
        <f t="shared" si="0"/>
        <v/>
      </c>
      <c r="F49" s="246">
        <v>0</v>
      </c>
      <c r="G49" s="246">
        <v>0</v>
      </c>
      <c r="H49" s="246">
        <v>0</v>
      </c>
      <c r="I49" s="432">
        <f t="shared" si="1"/>
        <v>0</v>
      </c>
      <c r="J49" s="246">
        <v>5</v>
      </c>
      <c r="K49" s="246">
        <v>5</v>
      </c>
      <c r="L49" s="246">
        <v>0</v>
      </c>
      <c r="M49" s="432">
        <f t="shared" si="2"/>
        <v>10</v>
      </c>
      <c r="N49" s="333"/>
    </row>
    <row r="50" spans="1:14" ht="20.100000000000001" customHeight="1" x14ac:dyDescent="0.25">
      <c r="A50" s="33">
        <v>92</v>
      </c>
      <c r="B50" s="33">
        <v>15</v>
      </c>
      <c r="C50" s="39" t="s">
        <v>49</v>
      </c>
      <c r="D50" s="245">
        <v>16</v>
      </c>
      <c r="E50" s="322" t="str">
        <f t="shared" si="0"/>
        <v/>
      </c>
      <c r="F50" s="246">
        <v>0</v>
      </c>
      <c r="G50" s="246">
        <v>0</v>
      </c>
      <c r="H50" s="246">
        <v>0</v>
      </c>
      <c r="I50" s="432">
        <f t="shared" si="1"/>
        <v>0</v>
      </c>
      <c r="J50" s="246">
        <v>13</v>
      </c>
      <c r="K50" s="246">
        <v>3</v>
      </c>
      <c r="L50" s="246">
        <v>0</v>
      </c>
      <c r="M50" s="432">
        <f t="shared" si="2"/>
        <v>16</v>
      </c>
      <c r="N50" s="333"/>
    </row>
    <row r="51" spans="1:14" ht="20.100000000000001" customHeight="1" x14ac:dyDescent="0.25">
      <c r="A51" s="34">
        <v>120</v>
      </c>
      <c r="B51" s="428">
        <v>16</v>
      </c>
      <c r="C51" s="420" t="s">
        <v>576</v>
      </c>
      <c r="D51" s="421">
        <f>SUM(D8:D10,D16,D20:D21,D26,D33:D34,D40:D41,D42,D48:D50)</f>
        <v>3222</v>
      </c>
      <c r="E51" s="422" t="str">
        <f t="shared" si="0"/>
        <v/>
      </c>
      <c r="F51" s="421">
        <f t="shared" ref="F51:M51" si="20">SUM(F8:F10,F16,F20:F21,F26,F33:F34,F40:F41,F42,F48:F50)</f>
        <v>698</v>
      </c>
      <c r="G51" s="421">
        <f t="shared" si="20"/>
        <v>161</v>
      </c>
      <c r="H51" s="421">
        <f t="shared" si="20"/>
        <v>0</v>
      </c>
      <c r="I51" s="421">
        <f t="shared" si="20"/>
        <v>859</v>
      </c>
      <c r="J51" s="421">
        <f t="shared" si="20"/>
        <v>489</v>
      </c>
      <c r="K51" s="421">
        <f t="shared" si="20"/>
        <v>73</v>
      </c>
      <c r="L51" s="421">
        <f t="shared" si="20"/>
        <v>0</v>
      </c>
      <c r="M51" s="421">
        <f t="shared" si="20"/>
        <v>562</v>
      </c>
      <c r="N51" s="494"/>
    </row>
    <row r="52" spans="1:14" ht="24.95" customHeight="1" x14ac:dyDescent="0.25">
      <c r="A52" s="605" t="s">
        <v>1571</v>
      </c>
      <c r="B52" s="606"/>
      <c r="C52" s="607"/>
      <c r="D52" s="463" t="str">
        <f>IF(D43&gt;0,IF((D44/D43*100)&gt;10,"ABVAR",""),"")</f>
        <v/>
      </c>
      <c r="E52" s="463"/>
      <c r="F52" s="463" t="str">
        <f t="shared" ref="F52:M52" si="21">IF(F43&gt;0,IF((F44/F43*100)&gt;10,"ABVAR",""),"")</f>
        <v/>
      </c>
      <c r="G52" s="463" t="str">
        <f t="shared" si="21"/>
        <v/>
      </c>
      <c r="H52" s="463" t="str">
        <f t="shared" si="21"/>
        <v/>
      </c>
      <c r="I52" s="463" t="str">
        <f t="shared" si="21"/>
        <v/>
      </c>
      <c r="J52" s="463" t="str">
        <f t="shared" si="21"/>
        <v/>
      </c>
      <c r="K52" s="463" t="str">
        <f t="shared" si="21"/>
        <v/>
      </c>
      <c r="L52" s="463" t="str">
        <f t="shared" si="21"/>
        <v/>
      </c>
      <c r="M52" s="463" t="str">
        <f t="shared" si="21"/>
        <v/>
      </c>
    </row>
    <row r="53" spans="1:14" ht="24.95" customHeight="1" x14ac:dyDescent="0.25">
      <c r="A53" s="605" t="s">
        <v>1573</v>
      </c>
      <c r="B53" s="606"/>
      <c r="C53" s="607"/>
      <c r="D53" s="463" t="str">
        <f>IF(D51&gt;0,IF((D49/D51*100)&gt;20,"ABVAR",""),"")</f>
        <v/>
      </c>
      <c r="E53" s="463"/>
      <c r="F53" s="463" t="str">
        <f t="shared" ref="F53:M53" si="22">IF(F51&gt;0,IF((F49/F51*100)&gt;20,"ABVAR",""),"")</f>
        <v/>
      </c>
      <c r="G53" s="463" t="str">
        <f t="shared" si="22"/>
        <v/>
      </c>
      <c r="H53" s="463" t="str">
        <f t="shared" si="22"/>
        <v/>
      </c>
      <c r="I53" s="463" t="str">
        <f t="shared" si="22"/>
        <v/>
      </c>
      <c r="J53" s="463" t="str">
        <f t="shared" si="22"/>
        <v/>
      </c>
      <c r="K53" s="463" t="str">
        <f t="shared" si="22"/>
        <v/>
      </c>
      <c r="L53" s="463" t="str">
        <f t="shared" si="22"/>
        <v/>
      </c>
      <c r="M53" s="463" t="str">
        <f t="shared" si="22"/>
        <v/>
      </c>
    </row>
    <row r="54" spans="1:14" ht="24.95" customHeight="1" x14ac:dyDescent="0.25">
      <c r="A54" s="605" t="s">
        <v>1638</v>
      </c>
      <c r="B54" s="606"/>
      <c r="C54" s="607"/>
      <c r="D54" s="463" t="str">
        <f>IF(D51&gt;0,IF((D50/D51*100)&gt;20,"ABVAR",""),"")</f>
        <v/>
      </c>
      <c r="E54" s="463"/>
      <c r="F54" s="463" t="str">
        <f t="shared" ref="F54:M54" si="23">IF(F51&gt;0,IF((F50/F51*100)&gt;20,"ABVAR",""),"")</f>
        <v/>
      </c>
      <c r="G54" s="463" t="str">
        <f t="shared" si="23"/>
        <v/>
      </c>
      <c r="H54" s="463" t="str">
        <f t="shared" si="23"/>
        <v/>
      </c>
      <c r="I54" s="463" t="str">
        <f t="shared" si="23"/>
        <v/>
      </c>
      <c r="J54" s="463" t="str">
        <f t="shared" si="23"/>
        <v/>
      </c>
      <c r="K54" s="463" t="str">
        <f t="shared" si="23"/>
        <v/>
      </c>
      <c r="L54" s="463" t="str">
        <f t="shared" si="23"/>
        <v/>
      </c>
      <c r="M54" s="463" t="str">
        <f t="shared" si="23"/>
        <v/>
      </c>
    </row>
    <row r="57" spans="1:14" x14ac:dyDescent="0.2">
      <c r="F57" s="469"/>
      <c r="G57" s="469"/>
    </row>
    <row r="200" spans="53:74" x14ac:dyDescent="0.25">
      <c r="BA200" s="141" t="str">
        <f>A1</f>
        <v>Goa, , ADSI-2021</v>
      </c>
    </row>
    <row r="201" spans="53:74" x14ac:dyDescent="0.25">
      <c r="BA201" s="141" t="str">
        <f>A2</f>
        <v>Errors</v>
      </c>
      <c r="BB201" s="309">
        <f>C2</f>
        <v>0</v>
      </c>
      <c r="BD201" s="472" t="str">
        <f>E2</f>
        <v>Abnormal Variations</v>
      </c>
      <c r="BE201" s="141">
        <f>F2</f>
        <v>0</v>
      </c>
    </row>
    <row r="202" spans="53:74" x14ac:dyDescent="0.25">
      <c r="BA202" s="141" t="str">
        <f>A3</f>
        <v>Proforma–II</v>
      </c>
      <c r="BB202" s="132"/>
      <c r="BC202" s="132"/>
      <c r="BD202" s="132"/>
      <c r="BE202" s="132"/>
      <c r="BF202" s="132"/>
      <c r="BG202" s="132"/>
      <c r="BH202" s="132"/>
      <c r="BI202" s="132"/>
      <c r="BJ202" s="132"/>
      <c r="BK202" s="132"/>
      <c r="BN202" s="132"/>
      <c r="BO202" s="132"/>
      <c r="BP202" s="132"/>
      <c r="BQ202" s="132"/>
      <c r="BR202" s="132"/>
      <c r="BS202" s="132"/>
      <c r="BT202" s="132"/>
      <c r="BU202" s="132"/>
      <c r="BV202" s="132"/>
    </row>
    <row r="203" spans="53:74" x14ac:dyDescent="0.25">
      <c r="BA203" s="141" t="str">
        <f>A4</f>
        <v>Cause-wise distribution of Un-natural Accidents</v>
      </c>
      <c r="BB203" s="132"/>
      <c r="BC203" s="132"/>
      <c r="BD203" s="132"/>
      <c r="BE203" s="132"/>
      <c r="BF203" s="132"/>
      <c r="BG203" s="132"/>
      <c r="BH203" s="132"/>
      <c r="BI203" s="132"/>
      <c r="BJ203" s="132"/>
      <c r="BK203" s="132"/>
      <c r="BL203" s="133"/>
      <c r="BM203" s="133"/>
      <c r="BN203" s="132"/>
      <c r="BO203" s="132"/>
      <c r="BP203" s="132"/>
      <c r="BQ203" s="132"/>
      <c r="BR203" s="132"/>
      <c r="BS203" s="132"/>
      <c r="BT203" s="132"/>
      <c r="BU203" s="132"/>
      <c r="BV203" s="132"/>
    </row>
    <row r="204" spans="53:74" ht="15" customHeight="1" x14ac:dyDescent="0.25">
      <c r="BA204" s="602" t="str">
        <f>B5</f>
        <v>Sl. No.</v>
      </c>
      <c r="BB204" s="602" t="str">
        <f>C5</f>
        <v>Causes</v>
      </c>
      <c r="BC204" s="602" t="str">
        <f>D5</f>
        <v>No. of Cases</v>
      </c>
      <c r="BD204" s="602" t="str">
        <f>E5</f>
        <v>VALIDATION WITH NUMBER OF CASES</v>
      </c>
      <c r="BE204" s="619" t="str">
        <f>F5</f>
        <v>No. of Persons Injured</v>
      </c>
      <c r="BF204" s="620"/>
      <c r="BG204" s="620"/>
      <c r="BH204" s="621"/>
      <c r="BI204" s="619" t="str">
        <f t="shared" ref="BI204:BI229" si="24">J5</f>
        <v>No. of Persons Died</v>
      </c>
      <c r="BJ204" s="620"/>
      <c r="BK204" s="620"/>
      <c r="BL204" s="621"/>
      <c r="BM204" s="132"/>
      <c r="BN204" s="132"/>
      <c r="BO204" s="132"/>
      <c r="BP204" s="132"/>
      <c r="BQ204" s="132"/>
      <c r="BR204" s="132"/>
      <c r="BS204" s="132"/>
      <c r="BT204" s="132"/>
      <c r="BU204" s="132"/>
    </row>
    <row r="205" spans="53:74" ht="38.25" x14ac:dyDescent="0.25">
      <c r="BA205" s="604"/>
      <c r="BB205" s="604"/>
      <c r="BC205" s="604"/>
      <c r="BD205" s="603"/>
      <c r="BE205" s="139" t="str">
        <f t="shared" ref="BE205:BE229" si="25">F6</f>
        <v>Male</v>
      </c>
      <c r="BF205" s="139" t="str">
        <f t="shared" ref="BF205:BF229" si="26">G6</f>
        <v>Female</v>
      </c>
      <c r="BG205" s="139" t="str">
        <f t="shared" ref="BG205:BG229" si="27">H6</f>
        <v>Transgender</v>
      </c>
      <c r="BH205" s="139" t="str">
        <f t="shared" ref="BH205:BH229" si="28">I6</f>
        <v xml:space="preserve"> Total
 [sum of (4) to (6)]</v>
      </c>
      <c r="BI205" s="139" t="str">
        <f t="shared" si="24"/>
        <v xml:space="preserve"> Male</v>
      </c>
      <c r="BJ205" s="139" t="str">
        <f t="shared" ref="BJ205:BJ229" si="29">K6</f>
        <v xml:space="preserve"> Female</v>
      </c>
      <c r="BK205" s="139" t="str">
        <f t="shared" ref="BK205:BK229" si="30">L6</f>
        <v>Transgender</v>
      </c>
      <c r="BL205" s="139" t="str">
        <f t="shared" ref="BL205:BL229" si="31">M6</f>
        <v>Total 
[sum of (8) to (10)]</v>
      </c>
      <c r="BM205" s="132"/>
      <c r="BN205" s="132"/>
      <c r="BO205" s="132"/>
      <c r="BP205" s="132"/>
      <c r="BQ205" s="132"/>
      <c r="BR205" s="132"/>
      <c r="BS205" s="132"/>
      <c r="BT205" s="132"/>
      <c r="BU205" s="132"/>
    </row>
    <row r="206" spans="53:74" x14ac:dyDescent="0.25">
      <c r="BA206" s="139" t="str">
        <f>B7</f>
        <v>(1)</v>
      </c>
      <c r="BB206" s="139" t="str">
        <f t="shared" ref="BB206:BB230" si="32">C7</f>
        <v>(2)</v>
      </c>
      <c r="BC206" s="139" t="str">
        <f t="shared" ref="BC206:BC230" si="33">D7</f>
        <v>(3)</v>
      </c>
      <c r="BD206" s="604"/>
      <c r="BE206" s="139" t="str">
        <f t="shared" si="25"/>
        <v>(4)</v>
      </c>
      <c r="BF206" s="139" t="str">
        <f t="shared" si="26"/>
        <v>(5)</v>
      </c>
      <c r="BG206" s="139" t="str">
        <f t="shared" si="27"/>
        <v>(6)</v>
      </c>
      <c r="BH206" s="139" t="str">
        <f t="shared" si="28"/>
        <v>(7)</v>
      </c>
      <c r="BI206" s="139" t="str">
        <f t="shared" si="24"/>
        <v>(8)</v>
      </c>
      <c r="BJ206" s="139" t="str">
        <f t="shared" si="29"/>
        <v>(9)</v>
      </c>
      <c r="BK206" s="139" t="str">
        <f t="shared" si="30"/>
        <v>(10)</v>
      </c>
      <c r="BL206" s="139" t="str">
        <f t="shared" si="31"/>
        <v>(11)</v>
      </c>
      <c r="BM206" s="132"/>
      <c r="BN206" s="132"/>
      <c r="BO206" s="132"/>
      <c r="BP206" s="132"/>
      <c r="BQ206" s="132"/>
      <c r="BR206" s="132"/>
      <c r="BS206" s="132"/>
      <c r="BT206" s="132"/>
      <c r="BU206" s="132"/>
    </row>
    <row r="207" spans="53:74" x14ac:dyDescent="0.25">
      <c r="BA207" s="138">
        <f>B8</f>
        <v>1</v>
      </c>
      <c r="BB207" s="136" t="str">
        <f t="shared" si="32"/>
        <v>Air Crash</v>
      </c>
      <c r="BC207" s="136">
        <f t="shared" si="33"/>
        <v>0</v>
      </c>
      <c r="BD207" s="283" t="str">
        <f>E8</f>
        <v/>
      </c>
      <c r="BE207" s="136">
        <f t="shared" si="25"/>
        <v>0</v>
      </c>
      <c r="BF207" s="136">
        <f t="shared" si="26"/>
        <v>0</v>
      </c>
      <c r="BG207" s="136">
        <f t="shared" si="27"/>
        <v>0</v>
      </c>
      <c r="BH207" s="136">
        <f t="shared" si="28"/>
        <v>0</v>
      </c>
      <c r="BI207" s="136">
        <f t="shared" si="24"/>
        <v>0</v>
      </c>
      <c r="BJ207" s="136">
        <f t="shared" si="29"/>
        <v>0</v>
      </c>
      <c r="BK207" s="136">
        <f t="shared" si="30"/>
        <v>0</v>
      </c>
      <c r="BL207" s="136">
        <f t="shared" si="31"/>
        <v>0</v>
      </c>
      <c r="BM207" s="132"/>
      <c r="BN207" s="132"/>
      <c r="BO207" s="132"/>
      <c r="BP207" s="132"/>
      <c r="BQ207" s="132"/>
      <c r="BR207" s="132"/>
      <c r="BS207" s="132"/>
      <c r="BT207" s="132"/>
      <c r="BU207" s="132"/>
    </row>
    <row r="208" spans="53:74" x14ac:dyDescent="0.25">
      <c r="BA208" s="231">
        <f>B9</f>
        <v>2</v>
      </c>
      <c r="BB208" s="136" t="str">
        <f t="shared" si="32"/>
        <v>Ship Accidents</v>
      </c>
      <c r="BC208" s="136">
        <f t="shared" si="33"/>
        <v>0</v>
      </c>
      <c r="BD208" s="283" t="str">
        <f t="shared" ref="BD208:BD250" si="34">E9</f>
        <v/>
      </c>
      <c r="BE208" s="136">
        <f t="shared" si="25"/>
        <v>0</v>
      </c>
      <c r="BF208" s="136">
        <f t="shared" si="26"/>
        <v>0</v>
      </c>
      <c r="BG208" s="136">
        <f t="shared" si="27"/>
        <v>0</v>
      </c>
      <c r="BH208" s="136">
        <f t="shared" si="28"/>
        <v>0</v>
      </c>
      <c r="BI208" s="136">
        <f t="shared" si="24"/>
        <v>0</v>
      </c>
      <c r="BJ208" s="136">
        <f t="shared" si="29"/>
        <v>0</v>
      </c>
      <c r="BK208" s="136">
        <f t="shared" si="30"/>
        <v>0</v>
      </c>
      <c r="BL208" s="136">
        <f t="shared" si="31"/>
        <v>0</v>
      </c>
      <c r="BM208" s="132"/>
      <c r="BN208" s="132"/>
      <c r="BO208" s="132"/>
      <c r="BP208" s="132"/>
      <c r="BQ208" s="132"/>
      <c r="BR208" s="132"/>
      <c r="BS208" s="132"/>
      <c r="BT208" s="132"/>
      <c r="BU208" s="132"/>
    </row>
    <row r="209" spans="53:73" x14ac:dyDescent="0.25">
      <c r="BA209" s="231">
        <f>B10</f>
        <v>3</v>
      </c>
      <c r="BB209" s="136" t="str">
        <f t="shared" si="32"/>
        <v>Collapse of Structure (Total) (sum of 3.1 to 3.5)</v>
      </c>
      <c r="BC209" s="136">
        <f t="shared" si="33"/>
        <v>5</v>
      </c>
      <c r="BD209" s="283" t="str">
        <f t="shared" si="34"/>
        <v/>
      </c>
      <c r="BE209" s="136">
        <f t="shared" si="25"/>
        <v>0</v>
      </c>
      <c r="BF209" s="136">
        <f t="shared" si="26"/>
        <v>0</v>
      </c>
      <c r="BG209" s="136">
        <f t="shared" si="27"/>
        <v>0</v>
      </c>
      <c r="BH209" s="136">
        <f t="shared" si="28"/>
        <v>0</v>
      </c>
      <c r="BI209" s="136">
        <f t="shared" si="24"/>
        <v>5</v>
      </c>
      <c r="BJ209" s="136">
        <f t="shared" si="29"/>
        <v>0</v>
      </c>
      <c r="BK209" s="136">
        <f t="shared" si="30"/>
        <v>0</v>
      </c>
      <c r="BL209" s="136">
        <f t="shared" si="31"/>
        <v>5</v>
      </c>
      <c r="BM209" s="132"/>
      <c r="BN209" s="132"/>
      <c r="BO209" s="132"/>
      <c r="BP209" s="132"/>
      <c r="BQ209" s="132"/>
      <c r="BR209" s="132"/>
      <c r="BS209" s="132"/>
      <c r="BT209" s="132"/>
      <c r="BU209" s="132"/>
    </row>
    <row r="210" spans="53:73" x14ac:dyDescent="0.25">
      <c r="BA210" s="231"/>
      <c r="BB210" s="154" t="str">
        <f t="shared" si="32"/>
        <v>3.1 Collapse of Dwelling House/Residential building</v>
      </c>
      <c r="BC210" s="136">
        <f t="shared" si="33"/>
        <v>1</v>
      </c>
      <c r="BD210" s="283" t="str">
        <f t="shared" si="34"/>
        <v/>
      </c>
      <c r="BE210" s="136">
        <f t="shared" si="25"/>
        <v>0</v>
      </c>
      <c r="BF210" s="136">
        <f t="shared" si="26"/>
        <v>0</v>
      </c>
      <c r="BG210" s="136">
        <f t="shared" si="27"/>
        <v>0</v>
      </c>
      <c r="BH210" s="136">
        <f t="shared" si="28"/>
        <v>0</v>
      </c>
      <c r="BI210" s="136">
        <f t="shared" si="24"/>
        <v>1</v>
      </c>
      <c r="BJ210" s="136">
        <f t="shared" si="29"/>
        <v>0</v>
      </c>
      <c r="BK210" s="136">
        <f t="shared" si="30"/>
        <v>0</v>
      </c>
      <c r="BL210" s="136">
        <f t="shared" si="31"/>
        <v>1</v>
      </c>
      <c r="BM210" s="132"/>
      <c r="BN210" s="132"/>
      <c r="BO210" s="132"/>
      <c r="BP210" s="132"/>
      <c r="BQ210" s="132"/>
      <c r="BR210" s="132"/>
      <c r="BS210" s="132"/>
      <c r="BT210" s="132"/>
      <c r="BU210" s="132"/>
    </row>
    <row r="211" spans="53:73" x14ac:dyDescent="0.25">
      <c r="BA211" s="231"/>
      <c r="BB211" s="154" t="str">
        <f t="shared" si="32"/>
        <v>3.2 Collapse of Official/Commercial Building</v>
      </c>
      <c r="BC211" s="136">
        <f t="shared" si="33"/>
        <v>0</v>
      </c>
      <c r="BD211" s="283" t="str">
        <f t="shared" si="34"/>
        <v/>
      </c>
      <c r="BE211" s="136">
        <f t="shared" si="25"/>
        <v>0</v>
      </c>
      <c r="BF211" s="136">
        <f t="shared" si="26"/>
        <v>0</v>
      </c>
      <c r="BG211" s="136">
        <f t="shared" si="27"/>
        <v>0</v>
      </c>
      <c r="BH211" s="136">
        <f t="shared" si="28"/>
        <v>0</v>
      </c>
      <c r="BI211" s="136">
        <f t="shared" si="24"/>
        <v>0</v>
      </c>
      <c r="BJ211" s="136">
        <f t="shared" si="29"/>
        <v>0</v>
      </c>
      <c r="BK211" s="136">
        <f t="shared" si="30"/>
        <v>0</v>
      </c>
      <c r="BL211" s="136">
        <f t="shared" si="31"/>
        <v>0</v>
      </c>
      <c r="BM211" s="132"/>
      <c r="BN211" s="132"/>
      <c r="BO211" s="132"/>
      <c r="BP211" s="132"/>
      <c r="BQ211" s="132"/>
      <c r="BR211" s="132"/>
      <c r="BS211" s="132"/>
      <c r="BT211" s="132"/>
      <c r="BU211" s="132"/>
    </row>
    <row r="212" spans="53:73" x14ac:dyDescent="0.25">
      <c r="BA212" s="231"/>
      <c r="BB212" s="154" t="str">
        <f t="shared" si="32"/>
        <v>3.3 Collapse of Dam</v>
      </c>
      <c r="BC212" s="136">
        <f t="shared" si="33"/>
        <v>0</v>
      </c>
      <c r="BD212" s="283" t="str">
        <f t="shared" si="34"/>
        <v/>
      </c>
      <c r="BE212" s="136">
        <f t="shared" si="25"/>
        <v>0</v>
      </c>
      <c r="BF212" s="136">
        <f t="shared" si="26"/>
        <v>0</v>
      </c>
      <c r="BG212" s="136">
        <f t="shared" si="27"/>
        <v>0</v>
      </c>
      <c r="BH212" s="136">
        <f t="shared" si="28"/>
        <v>0</v>
      </c>
      <c r="BI212" s="136">
        <f t="shared" si="24"/>
        <v>0</v>
      </c>
      <c r="BJ212" s="136">
        <f t="shared" si="29"/>
        <v>0</v>
      </c>
      <c r="BK212" s="136">
        <f t="shared" si="30"/>
        <v>0</v>
      </c>
      <c r="BL212" s="136">
        <f t="shared" si="31"/>
        <v>0</v>
      </c>
      <c r="BM212" s="132"/>
      <c r="BN212" s="132"/>
      <c r="BO212" s="132"/>
      <c r="BP212" s="132"/>
      <c r="BQ212" s="132"/>
      <c r="BR212" s="132"/>
      <c r="BS212" s="132"/>
      <c r="BT212" s="132"/>
      <c r="BU212" s="132"/>
    </row>
    <row r="213" spans="53:73" x14ac:dyDescent="0.25">
      <c r="BA213" s="231"/>
      <c r="BB213" s="154" t="str">
        <f t="shared" si="32"/>
        <v>3.4 Collapse of  Bridge</v>
      </c>
      <c r="BC213" s="136">
        <f t="shared" si="33"/>
        <v>0</v>
      </c>
      <c r="BD213" s="283" t="str">
        <f t="shared" si="34"/>
        <v/>
      </c>
      <c r="BE213" s="136">
        <f t="shared" si="25"/>
        <v>0</v>
      </c>
      <c r="BF213" s="136">
        <f t="shared" si="26"/>
        <v>0</v>
      </c>
      <c r="BG213" s="136">
        <f t="shared" si="27"/>
        <v>0</v>
      </c>
      <c r="BH213" s="136">
        <f t="shared" si="28"/>
        <v>0</v>
      </c>
      <c r="BI213" s="136">
        <f t="shared" si="24"/>
        <v>0</v>
      </c>
      <c r="BJ213" s="136">
        <f t="shared" si="29"/>
        <v>0</v>
      </c>
      <c r="BK213" s="136">
        <f t="shared" si="30"/>
        <v>0</v>
      </c>
      <c r="BL213" s="136">
        <f t="shared" si="31"/>
        <v>0</v>
      </c>
      <c r="BM213" s="132"/>
      <c r="BN213" s="132"/>
      <c r="BO213" s="132"/>
      <c r="BP213" s="132"/>
      <c r="BQ213" s="132"/>
      <c r="BR213" s="132"/>
      <c r="BS213" s="132"/>
      <c r="BT213" s="132"/>
      <c r="BU213" s="132"/>
    </row>
    <row r="214" spans="53:73" x14ac:dyDescent="0.25">
      <c r="BA214" s="231"/>
      <c r="BB214" s="154" t="str">
        <f t="shared" si="32"/>
        <v>3.5 Others</v>
      </c>
      <c r="BC214" s="136">
        <f t="shared" si="33"/>
        <v>4</v>
      </c>
      <c r="BD214" s="283" t="str">
        <f t="shared" si="34"/>
        <v/>
      </c>
      <c r="BE214" s="136">
        <f t="shared" si="25"/>
        <v>0</v>
      </c>
      <c r="BF214" s="136">
        <f t="shared" si="26"/>
        <v>0</v>
      </c>
      <c r="BG214" s="136">
        <f t="shared" si="27"/>
        <v>0</v>
      </c>
      <c r="BH214" s="136">
        <f t="shared" si="28"/>
        <v>0</v>
      </c>
      <c r="BI214" s="136">
        <f t="shared" si="24"/>
        <v>4</v>
      </c>
      <c r="BJ214" s="136">
        <f t="shared" si="29"/>
        <v>0</v>
      </c>
      <c r="BK214" s="136">
        <f t="shared" si="30"/>
        <v>0</v>
      </c>
      <c r="BL214" s="136">
        <f t="shared" si="31"/>
        <v>4</v>
      </c>
      <c r="BM214" s="132"/>
      <c r="BN214" s="132"/>
      <c r="BO214" s="132"/>
      <c r="BP214" s="132"/>
      <c r="BQ214" s="132"/>
      <c r="BR214" s="132"/>
      <c r="BS214" s="132"/>
      <c r="BT214" s="132"/>
      <c r="BU214" s="132"/>
    </row>
    <row r="215" spans="53:73" x14ac:dyDescent="0.25">
      <c r="BA215" s="231">
        <f>B16</f>
        <v>4</v>
      </c>
      <c r="BB215" s="136" t="str">
        <f t="shared" si="32"/>
        <v>Drowning (Total) (sum of 4.1 to 4.3)</v>
      </c>
      <c r="BC215" s="136">
        <f t="shared" si="33"/>
        <v>114</v>
      </c>
      <c r="BD215" s="283" t="str">
        <f t="shared" si="34"/>
        <v/>
      </c>
      <c r="BE215" s="136">
        <f t="shared" si="25"/>
        <v>0</v>
      </c>
      <c r="BF215" s="136">
        <f t="shared" si="26"/>
        <v>0</v>
      </c>
      <c r="BG215" s="136">
        <f t="shared" si="27"/>
        <v>0</v>
      </c>
      <c r="BH215" s="136">
        <f t="shared" si="28"/>
        <v>0</v>
      </c>
      <c r="BI215" s="136">
        <f t="shared" si="24"/>
        <v>104</v>
      </c>
      <c r="BJ215" s="136">
        <f t="shared" si="29"/>
        <v>11</v>
      </c>
      <c r="BK215" s="136">
        <f t="shared" si="30"/>
        <v>0</v>
      </c>
      <c r="BL215" s="136">
        <f t="shared" si="31"/>
        <v>115</v>
      </c>
      <c r="BM215" s="132"/>
      <c r="BN215" s="132"/>
      <c r="BO215" s="132"/>
      <c r="BP215" s="132"/>
      <c r="BQ215" s="132"/>
      <c r="BR215" s="132"/>
      <c r="BS215" s="132"/>
      <c r="BT215" s="132"/>
      <c r="BU215" s="132"/>
    </row>
    <row r="216" spans="53:73" x14ac:dyDescent="0.25">
      <c r="BA216" s="231"/>
      <c r="BB216" s="154" t="str">
        <f t="shared" si="32"/>
        <v>4.1 Boat Capsize</v>
      </c>
      <c r="BC216" s="136">
        <f t="shared" si="33"/>
        <v>0</v>
      </c>
      <c r="BD216" s="283" t="str">
        <f t="shared" si="34"/>
        <v/>
      </c>
      <c r="BE216" s="136">
        <f t="shared" si="25"/>
        <v>0</v>
      </c>
      <c r="BF216" s="136">
        <f t="shared" si="26"/>
        <v>0</v>
      </c>
      <c r="BG216" s="136">
        <f t="shared" si="27"/>
        <v>0</v>
      </c>
      <c r="BH216" s="136">
        <f t="shared" si="28"/>
        <v>0</v>
      </c>
      <c r="BI216" s="136">
        <f t="shared" si="24"/>
        <v>0</v>
      </c>
      <c r="BJ216" s="136">
        <f t="shared" si="29"/>
        <v>0</v>
      </c>
      <c r="BK216" s="136">
        <f t="shared" si="30"/>
        <v>0</v>
      </c>
      <c r="BL216" s="136">
        <f t="shared" si="31"/>
        <v>0</v>
      </c>
      <c r="BM216" s="132"/>
      <c r="BN216" s="132"/>
      <c r="BO216" s="132"/>
      <c r="BP216" s="132"/>
      <c r="BQ216" s="132"/>
      <c r="BR216" s="132"/>
      <c r="BS216" s="132"/>
      <c r="BT216" s="132"/>
      <c r="BU216" s="132"/>
    </row>
    <row r="217" spans="53:73" x14ac:dyDescent="0.25">
      <c r="BA217" s="231"/>
      <c r="BB217" s="154" t="str">
        <f t="shared" si="32"/>
        <v>4.2 Accidental Falls into Waterbody</v>
      </c>
      <c r="BC217" s="136">
        <f t="shared" si="33"/>
        <v>97</v>
      </c>
      <c r="BD217" s="283" t="str">
        <f t="shared" si="34"/>
        <v/>
      </c>
      <c r="BE217" s="136">
        <f t="shared" si="25"/>
        <v>0</v>
      </c>
      <c r="BF217" s="136">
        <f t="shared" si="26"/>
        <v>0</v>
      </c>
      <c r="BG217" s="136">
        <f t="shared" si="27"/>
        <v>0</v>
      </c>
      <c r="BH217" s="136">
        <f t="shared" si="28"/>
        <v>0</v>
      </c>
      <c r="BI217" s="136">
        <f t="shared" si="24"/>
        <v>88</v>
      </c>
      <c r="BJ217" s="136">
        <f t="shared" si="29"/>
        <v>10</v>
      </c>
      <c r="BK217" s="136">
        <f t="shared" si="30"/>
        <v>0</v>
      </c>
      <c r="BL217" s="136">
        <f t="shared" si="31"/>
        <v>98</v>
      </c>
      <c r="BM217" s="132"/>
      <c r="BN217" s="132"/>
      <c r="BO217" s="132"/>
      <c r="BP217" s="132"/>
      <c r="BQ217" s="132"/>
      <c r="BR217" s="132"/>
      <c r="BS217" s="132"/>
      <c r="BT217" s="132"/>
      <c r="BU217" s="132"/>
    </row>
    <row r="218" spans="53:73" x14ac:dyDescent="0.25">
      <c r="BA218" s="231"/>
      <c r="BB218" s="154" t="str">
        <f t="shared" si="32"/>
        <v>4.3 Other Cases</v>
      </c>
      <c r="BC218" s="136">
        <f t="shared" si="33"/>
        <v>17</v>
      </c>
      <c r="BD218" s="283" t="str">
        <f t="shared" si="34"/>
        <v/>
      </c>
      <c r="BE218" s="136">
        <f t="shared" si="25"/>
        <v>0</v>
      </c>
      <c r="BF218" s="136">
        <f t="shared" si="26"/>
        <v>0</v>
      </c>
      <c r="BG218" s="136">
        <f t="shared" si="27"/>
        <v>0</v>
      </c>
      <c r="BH218" s="136">
        <f t="shared" si="28"/>
        <v>0</v>
      </c>
      <c r="BI218" s="136">
        <f t="shared" si="24"/>
        <v>16</v>
      </c>
      <c r="BJ218" s="136">
        <f t="shared" si="29"/>
        <v>1</v>
      </c>
      <c r="BK218" s="136">
        <f t="shared" si="30"/>
        <v>0</v>
      </c>
      <c r="BL218" s="136">
        <f t="shared" si="31"/>
        <v>17</v>
      </c>
      <c r="BM218" s="132"/>
      <c r="BN218" s="132"/>
      <c r="BO218" s="132"/>
      <c r="BP218" s="132"/>
      <c r="BQ218" s="132"/>
      <c r="BR218" s="132"/>
      <c r="BS218" s="132"/>
      <c r="BT218" s="132"/>
      <c r="BU218" s="132"/>
    </row>
    <row r="219" spans="53:73" x14ac:dyDescent="0.25">
      <c r="BA219" s="231">
        <f>B20</f>
        <v>5</v>
      </c>
      <c r="BB219" s="136" t="str">
        <f t="shared" si="32"/>
        <v>Electrocution</v>
      </c>
      <c r="BC219" s="136">
        <f t="shared" si="33"/>
        <v>25</v>
      </c>
      <c r="BD219" s="283" t="str">
        <f t="shared" si="34"/>
        <v/>
      </c>
      <c r="BE219" s="136">
        <f t="shared" si="25"/>
        <v>0</v>
      </c>
      <c r="BF219" s="136">
        <f t="shared" si="26"/>
        <v>0</v>
      </c>
      <c r="BG219" s="136">
        <f t="shared" si="27"/>
        <v>0</v>
      </c>
      <c r="BH219" s="136">
        <f t="shared" si="28"/>
        <v>0</v>
      </c>
      <c r="BI219" s="136">
        <f t="shared" si="24"/>
        <v>23</v>
      </c>
      <c r="BJ219" s="136">
        <f t="shared" si="29"/>
        <v>2</v>
      </c>
      <c r="BK219" s="136">
        <f t="shared" si="30"/>
        <v>0</v>
      </c>
      <c r="BL219" s="136">
        <f t="shared" si="31"/>
        <v>25</v>
      </c>
      <c r="BM219" s="132"/>
      <c r="BN219" s="132"/>
      <c r="BO219" s="132"/>
      <c r="BP219" s="132"/>
      <c r="BQ219" s="132"/>
      <c r="BR219" s="132"/>
      <c r="BS219" s="132"/>
      <c r="BT219" s="132"/>
      <c r="BU219" s="132"/>
    </row>
    <row r="220" spans="53:73" x14ac:dyDescent="0.25">
      <c r="BA220" s="231">
        <f>B21</f>
        <v>6</v>
      </c>
      <c r="BB220" s="136" t="str">
        <f t="shared" si="32"/>
        <v>Accidental Explosion (Total) (sum of 6.1 to 6.4)</v>
      </c>
      <c r="BC220" s="136">
        <f t="shared" si="33"/>
        <v>1</v>
      </c>
      <c r="BD220" s="283" t="str">
        <f t="shared" si="34"/>
        <v/>
      </c>
      <c r="BE220" s="136">
        <f t="shared" si="25"/>
        <v>0</v>
      </c>
      <c r="BF220" s="136">
        <f t="shared" si="26"/>
        <v>0</v>
      </c>
      <c r="BG220" s="136">
        <f t="shared" si="27"/>
        <v>0</v>
      </c>
      <c r="BH220" s="136">
        <f t="shared" si="28"/>
        <v>0</v>
      </c>
      <c r="BI220" s="136">
        <f t="shared" si="24"/>
        <v>1</v>
      </c>
      <c r="BJ220" s="136">
        <f t="shared" si="29"/>
        <v>0</v>
      </c>
      <c r="BK220" s="136">
        <f t="shared" si="30"/>
        <v>0</v>
      </c>
      <c r="BL220" s="136">
        <f t="shared" si="31"/>
        <v>1</v>
      </c>
      <c r="BM220" s="132"/>
      <c r="BN220" s="132"/>
      <c r="BO220" s="132"/>
      <c r="BP220" s="132"/>
      <c r="BQ220" s="132"/>
      <c r="BR220" s="132"/>
      <c r="BS220" s="132"/>
      <c r="BT220" s="132"/>
      <c r="BU220" s="132"/>
    </row>
    <row r="221" spans="53:73" x14ac:dyDescent="0.25">
      <c r="BA221" s="231"/>
      <c r="BB221" s="154" t="str">
        <f t="shared" si="32"/>
        <v>6.1 Domestic Gas Cylinder</v>
      </c>
      <c r="BC221" s="136">
        <f t="shared" si="33"/>
        <v>0</v>
      </c>
      <c r="BD221" s="283" t="str">
        <f t="shared" si="34"/>
        <v/>
      </c>
      <c r="BE221" s="136">
        <f t="shared" si="25"/>
        <v>0</v>
      </c>
      <c r="BF221" s="136">
        <f t="shared" si="26"/>
        <v>0</v>
      </c>
      <c r="BG221" s="136">
        <f t="shared" si="27"/>
        <v>0</v>
      </c>
      <c r="BH221" s="136">
        <f t="shared" si="28"/>
        <v>0</v>
      </c>
      <c r="BI221" s="136">
        <f t="shared" si="24"/>
        <v>0</v>
      </c>
      <c r="BJ221" s="136">
        <f t="shared" si="29"/>
        <v>0</v>
      </c>
      <c r="BK221" s="136">
        <f t="shared" si="30"/>
        <v>0</v>
      </c>
      <c r="BL221" s="136">
        <f t="shared" si="31"/>
        <v>0</v>
      </c>
      <c r="BM221" s="132"/>
      <c r="BN221" s="132"/>
      <c r="BO221" s="132"/>
      <c r="BP221" s="132"/>
      <c r="BQ221" s="132"/>
      <c r="BR221" s="132"/>
      <c r="BS221" s="132"/>
      <c r="BT221" s="132"/>
      <c r="BU221" s="132"/>
    </row>
    <row r="222" spans="53:73" x14ac:dyDescent="0.25">
      <c r="BA222" s="231"/>
      <c r="BB222" s="154" t="str">
        <f t="shared" si="32"/>
        <v>6.2 Industrial Boiler/Gas cylinder explosion</v>
      </c>
      <c r="BC222" s="136">
        <f t="shared" si="33"/>
        <v>1</v>
      </c>
      <c r="BD222" s="283" t="str">
        <f t="shared" si="34"/>
        <v/>
      </c>
      <c r="BE222" s="136">
        <f t="shared" si="25"/>
        <v>0</v>
      </c>
      <c r="BF222" s="136">
        <f t="shared" si="26"/>
        <v>0</v>
      </c>
      <c r="BG222" s="136">
        <f t="shared" si="27"/>
        <v>0</v>
      </c>
      <c r="BH222" s="136">
        <f t="shared" si="28"/>
        <v>0</v>
      </c>
      <c r="BI222" s="136">
        <f t="shared" si="24"/>
        <v>1</v>
      </c>
      <c r="BJ222" s="136">
        <f t="shared" si="29"/>
        <v>0</v>
      </c>
      <c r="BK222" s="136">
        <f t="shared" si="30"/>
        <v>0</v>
      </c>
      <c r="BL222" s="136">
        <f t="shared" si="31"/>
        <v>1</v>
      </c>
      <c r="BM222" s="132"/>
      <c r="BN222" s="132"/>
      <c r="BO222" s="132"/>
      <c r="BP222" s="132"/>
      <c r="BQ222" s="132"/>
      <c r="BR222" s="132"/>
      <c r="BS222" s="132"/>
      <c r="BT222" s="132"/>
      <c r="BU222" s="132"/>
    </row>
    <row r="223" spans="53:73" x14ac:dyDescent="0.25">
      <c r="BA223" s="231"/>
      <c r="BB223" s="154" t="str">
        <f t="shared" si="32"/>
        <v>6.3 Ammunition explosion in Armed Forces/Police/CPMF</v>
      </c>
      <c r="BC223" s="136">
        <f t="shared" si="33"/>
        <v>0</v>
      </c>
      <c r="BD223" s="283" t="str">
        <f t="shared" si="34"/>
        <v/>
      </c>
      <c r="BE223" s="136">
        <f t="shared" si="25"/>
        <v>0</v>
      </c>
      <c r="BF223" s="136">
        <f t="shared" si="26"/>
        <v>0</v>
      </c>
      <c r="BG223" s="136">
        <f t="shared" si="27"/>
        <v>0</v>
      </c>
      <c r="BH223" s="136">
        <f t="shared" si="28"/>
        <v>0</v>
      </c>
      <c r="BI223" s="136">
        <f t="shared" si="24"/>
        <v>0</v>
      </c>
      <c r="BJ223" s="136">
        <f t="shared" si="29"/>
        <v>0</v>
      </c>
      <c r="BK223" s="136">
        <f t="shared" si="30"/>
        <v>0</v>
      </c>
      <c r="BL223" s="136">
        <f t="shared" si="31"/>
        <v>0</v>
      </c>
      <c r="BM223" s="132"/>
      <c r="BN223" s="132"/>
      <c r="BO223" s="132"/>
      <c r="BP223" s="132"/>
      <c r="BQ223" s="132"/>
      <c r="BR223" s="132"/>
      <c r="BS223" s="132"/>
      <c r="BT223" s="132"/>
      <c r="BU223" s="132"/>
    </row>
    <row r="224" spans="53:73" x14ac:dyDescent="0.25">
      <c r="BA224" s="231"/>
      <c r="BB224" s="154" t="str">
        <f t="shared" si="32"/>
        <v>6.4 Other</v>
      </c>
      <c r="BC224" s="136">
        <f t="shared" si="33"/>
        <v>0</v>
      </c>
      <c r="BD224" s="283" t="str">
        <f t="shared" si="34"/>
        <v/>
      </c>
      <c r="BE224" s="136">
        <f t="shared" si="25"/>
        <v>0</v>
      </c>
      <c r="BF224" s="136">
        <f t="shared" si="26"/>
        <v>0</v>
      </c>
      <c r="BG224" s="136">
        <f t="shared" si="27"/>
        <v>0</v>
      </c>
      <c r="BH224" s="136">
        <f t="shared" si="28"/>
        <v>0</v>
      </c>
      <c r="BI224" s="136">
        <f t="shared" si="24"/>
        <v>0</v>
      </c>
      <c r="BJ224" s="136">
        <f t="shared" si="29"/>
        <v>0</v>
      </c>
      <c r="BK224" s="136">
        <f t="shared" si="30"/>
        <v>0</v>
      </c>
      <c r="BL224" s="136">
        <f t="shared" si="31"/>
        <v>0</v>
      </c>
      <c r="BM224" s="132"/>
      <c r="BN224" s="132"/>
      <c r="BO224" s="132"/>
      <c r="BP224" s="132"/>
      <c r="BQ224" s="132"/>
      <c r="BR224" s="132"/>
      <c r="BS224" s="132"/>
      <c r="BT224" s="132"/>
      <c r="BU224" s="132"/>
    </row>
    <row r="225" spans="53:73" x14ac:dyDescent="0.25">
      <c r="BA225" s="231">
        <f>B26</f>
        <v>7</v>
      </c>
      <c r="BB225" s="136" t="str">
        <f t="shared" si="32"/>
        <v>Falls (Total) (sum of 7.1 to 7.6)</v>
      </c>
      <c r="BC225" s="136">
        <f t="shared" si="33"/>
        <v>101</v>
      </c>
      <c r="BD225" s="283" t="str">
        <f t="shared" si="34"/>
        <v/>
      </c>
      <c r="BE225" s="136">
        <f t="shared" si="25"/>
        <v>0</v>
      </c>
      <c r="BF225" s="136">
        <f t="shared" si="26"/>
        <v>0</v>
      </c>
      <c r="BG225" s="136">
        <f t="shared" si="27"/>
        <v>0</v>
      </c>
      <c r="BH225" s="136">
        <f t="shared" si="28"/>
        <v>0</v>
      </c>
      <c r="BI225" s="136">
        <f t="shared" si="24"/>
        <v>93</v>
      </c>
      <c r="BJ225" s="136">
        <f t="shared" si="29"/>
        <v>9</v>
      </c>
      <c r="BK225" s="136">
        <f t="shared" si="30"/>
        <v>0</v>
      </c>
      <c r="BL225" s="136">
        <f t="shared" si="31"/>
        <v>102</v>
      </c>
      <c r="BM225" s="132"/>
      <c r="BN225" s="132"/>
      <c r="BO225" s="132"/>
      <c r="BP225" s="132"/>
      <c r="BQ225" s="132"/>
      <c r="BR225" s="132"/>
      <c r="BS225" s="132"/>
      <c r="BT225" s="132"/>
      <c r="BU225" s="132"/>
    </row>
    <row r="226" spans="53:73" x14ac:dyDescent="0.25">
      <c r="BA226" s="231"/>
      <c r="BB226" s="154" t="str">
        <f t="shared" si="32"/>
        <v>7.1 Fall from Height</v>
      </c>
      <c r="BC226" s="136">
        <f t="shared" si="33"/>
        <v>77</v>
      </c>
      <c r="BD226" s="283" t="str">
        <f t="shared" si="34"/>
        <v/>
      </c>
      <c r="BE226" s="136">
        <f t="shared" si="25"/>
        <v>0</v>
      </c>
      <c r="BF226" s="136">
        <f t="shared" si="26"/>
        <v>0</v>
      </c>
      <c r="BG226" s="136">
        <f t="shared" si="27"/>
        <v>0</v>
      </c>
      <c r="BH226" s="136">
        <f t="shared" si="28"/>
        <v>0</v>
      </c>
      <c r="BI226" s="136">
        <f t="shared" si="24"/>
        <v>72</v>
      </c>
      <c r="BJ226" s="136">
        <f t="shared" si="29"/>
        <v>5</v>
      </c>
      <c r="BK226" s="136">
        <f t="shared" si="30"/>
        <v>0</v>
      </c>
      <c r="BL226" s="136">
        <f t="shared" si="31"/>
        <v>77</v>
      </c>
      <c r="BM226" s="132"/>
      <c r="BN226" s="132"/>
      <c r="BO226" s="132"/>
      <c r="BP226" s="132"/>
      <c r="BQ226" s="132"/>
      <c r="BR226" s="132"/>
      <c r="BS226" s="132"/>
      <c r="BT226" s="132"/>
      <c r="BU226" s="132"/>
    </row>
    <row r="227" spans="53:73" x14ac:dyDescent="0.25">
      <c r="BA227" s="231"/>
      <c r="BB227" s="154" t="str">
        <f t="shared" si="32"/>
        <v>7.2 Fall from Vehicles (Automobile like Bus, Trucks, etc.)</v>
      </c>
      <c r="BC227" s="136">
        <f t="shared" si="33"/>
        <v>7</v>
      </c>
      <c r="BD227" s="283" t="str">
        <f t="shared" si="34"/>
        <v/>
      </c>
      <c r="BE227" s="136">
        <f t="shared" si="25"/>
        <v>0</v>
      </c>
      <c r="BF227" s="136">
        <f t="shared" si="26"/>
        <v>0</v>
      </c>
      <c r="BG227" s="136">
        <f t="shared" si="27"/>
        <v>0</v>
      </c>
      <c r="BH227" s="136">
        <f t="shared" si="28"/>
        <v>0</v>
      </c>
      <c r="BI227" s="136">
        <f t="shared" si="24"/>
        <v>7</v>
      </c>
      <c r="BJ227" s="136">
        <f t="shared" si="29"/>
        <v>1</v>
      </c>
      <c r="BK227" s="136">
        <f t="shared" si="30"/>
        <v>0</v>
      </c>
      <c r="BL227" s="136">
        <f t="shared" si="31"/>
        <v>8</v>
      </c>
      <c r="BM227" s="132"/>
      <c r="BN227" s="132"/>
      <c r="BO227" s="132"/>
      <c r="BP227" s="132"/>
      <c r="BQ227" s="132"/>
      <c r="BR227" s="132"/>
      <c r="BS227" s="132"/>
      <c r="BT227" s="132"/>
      <c r="BU227" s="132"/>
    </row>
    <row r="228" spans="53:73" x14ac:dyDescent="0.25">
      <c r="BA228" s="231"/>
      <c r="BB228" s="154" t="str">
        <f t="shared" si="32"/>
        <v>7.3 Fall into Manhole / Sewer</v>
      </c>
      <c r="BC228" s="136">
        <f t="shared" si="33"/>
        <v>1</v>
      </c>
      <c r="BD228" s="283" t="str">
        <f t="shared" si="34"/>
        <v/>
      </c>
      <c r="BE228" s="136">
        <f t="shared" si="25"/>
        <v>0</v>
      </c>
      <c r="BF228" s="136">
        <f t="shared" si="26"/>
        <v>0</v>
      </c>
      <c r="BG228" s="136">
        <f t="shared" si="27"/>
        <v>0</v>
      </c>
      <c r="BH228" s="136">
        <f t="shared" si="28"/>
        <v>0</v>
      </c>
      <c r="BI228" s="136">
        <f t="shared" si="24"/>
        <v>1</v>
      </c>
      <c r="BJ228" s="136">
        <f t="shared" si="29"/>
        <v>0</v>
      </c>
      <c r="BK228" s="136">
        <f t="shared" si="30"/>
        <v>0</v>
      </c>
      <c r="BL228" s="136">
        <f t="shared" si="31"/>
        <v>1</v>
      </c>
      <c r="BM228" s="132"/>
      <c r="BN228" s="132"/>
      <c r="BO228" s="132"/>
      <c r="BP228" s="132"/>
      <c r="BQ228" s="132"/>
      <c r="BR228" s="132"/>
      <c r="BS228" s="132"/>
      <c r="BT228" s="132"/>
      <c r="BU228" s="132"/>
    </row>
    <row r="229" spans="53:73" x14ac:dyDescent="0.25">
      <c r="BA229" s="231"/>
      <c r="BB229" s="154" t="str">
        <f t="shared" si="32"/>
        <v>7.4 Fall into Pit</v>
      </c>
      <c r="BC229" s="136">
        <f t="shared" si="33"/>
        <v>0</v>
      </c>
      <c r="BD229" s="283" t="str">
        <f t="shared" si="34"/>
        <v/>
      </c>
      <c r="BE229" s="136">
        <f t="shared" si="25"/>
        <v>0</v>
      </c>
      <c r="BF229" s="136">
        <f t="shared" si="26"/>
        <v>0</v>
      </c>
      <c r="BG229" s="136">
        <f t="shared" si="27"/>
        <v>0</v>
      </c>
      <c r="BH229" s="136">
        <f t="shared" si="28"/>
        <v>0</v>
      </c>
      <c r="BI229" s="136">
        <f t="shared" si="24"/>
        <v>0</v>
      </c>
      <c r="BJ229" s="136">
        <f t="shared" si="29"/>
        <v>0</v>
      </c>
      <c r="BK229" s="136">
        <f t="shared" si="30"/>
        <v>0</v>
      </c>
      <c r="BL229" s="136">
        <f t="shared" si="31"/>
        <v>0</v>
      </c>
      <c r="BM229" s="132"/>
      <c r="BN229" s="132"/>
      <c r="BO229" s="132"/>
      <c r="BP229" s="132"/>
      <c r="BQ229" s="132"/>
      <c r="BR229" s="132"/>
      <c r="BS229" s="132"/>
      <c r="BT229" s="132"/>
      <c r="BU229" s="132"/>
    </row>
    <row r="230" spans="53:73" x14ac:dyDescent="0.25">
      <c r="BA230" s="231"/>
      <c r="BB230" s="154" t="str">
        <f t="shared" si="32"/>
        <v>7.5 Fall into Borewell</v>
      </c>
      <c r="BC230" s="136">
        <f t="shared" si="33"/>
        <v>0</v>
      </c>
      <c r="BD230" s="283" t="str">
        <f t="shared" si="34"/>
        <v/>
      </c>
      <c r="BE230" s="136">
        <f t="shared" ref="BE230" si="35">F31</f>
        <v>0</v>
      </c>
      <c r="BF230" s="136">
        <f t="shared" ref="BF230" si="36">G31</f>
        <v>0</v>
      </c>
      <c r="BG230" s="136">
        <f t="shared" ref="BG230" si="37">H31</f>
        <v>0</v>
      </c>
      <c r="BH230" s="136">
        <f t="shared" ref="BH230" si="38">I31</f>
        <v>0</v>
      </c>
      <c r="BI230" s="136">
        <f t="shared" ref="BI230" si="39">J31</f>
        <v>0</v>
      </c>
      <c r="BJ230" s="136">
        <f t="shared" ref="BJ230" si="40">K31</f>
        <v>0</v>
      </c>
      <c r="BK230" s="136">
        <f t="shared" ref="BK230" si="41">L31</f>
        <v>0</v>
      </c>
      <c r="BL230" s="136">
        <f t="shared" ref="BL230" si="42">M31</f>
        <v>0</v>
      </c>
      <c r="BM230" s="132"/>
      <c r="BN230" s="132"/>
      <c r="BO230" s="132"/>
      <c r="BP230" s="132"/>
      <c r="BQ230" s="132"/>
      <c r="BR230" s="132"/>
      <c r="BS230" s="132"/>
      <c r="BT230" s="132"/>
      <c r="BU230" s="132"/>
    </row>
    <row r="231" spans="53:73" x14ac:dyDescent="0.25">
      <c r="BA231" s="231"/>
      <c r="BB231" s="154" t="str">
        <f t="shared" ref="BB231:BB250" si="43">C32</f>
        <v>7.6 Others</v>
      </c>
      <c r="BC231" s="136">
        <f t="shared" ref="BC231:BC250" si="44">D32</f>
        <v>16</v>
      </c>
      <c r="BD231" s="283" t="str">
        <f t="shared" si="34"/>
        <v/>
      </c>
      <c r="BE231" s="136">
        <f t="shared" ref="BE231:BE253" si="45">F32</f>
        <v>0</v>
      </c>
      <c r="BF231" s="136">
        <f t="shared" ref="BF231:BF253" si="46">G32</f>
        <v>0</v>
      </c>
      <c r="BG231" s="136">
        <f t="shared" ref="BG231:BG253" si="47">H32</f>
        <v>0</v>
      </c>
      <c r="BH231" s="136">
        <f t="shared" ref="BH231:BH253" si="48">I32</f>
        <v>0</v>
      </c>
      <c r="BI231" s="136">
        <f t="shared" ref="BI231:BI253" si="49">J32</f>
        <v>13</v>
      </c>
      <c r="BJ231" s="136">
        <f t="shared" ref="BJ231:BJ253" si="50">K32</f>
        <v>3</v>
      </c>
      <c r="BK231" s="136">
        <f t="shared" ref="BK231:BK253" si="51">L32</f>
        <v>0</v>
      </c>
      <c r="BL231" s="136">
        <f t="shared" ref="BL231:BL253" si="52">M32</f>
        <v>16</v>
      </c>
      <c r="BM231" s="132"/>
      <c r="BN231" s="132"/>
      <c r="BO231" s="132"/>
      <c r="BP231" s="132"/>
      <c r="BQ231" s="132"/>
      <c r="BR231" s="132"/>
      <c r="BS231" s="132"/>
      <c r="BT231" s="132"/>
      <c r="BU231" s="132"/>
    </row>
    <row r="232" spans="53:73" x14ac:dyDescent="0.25">
      <c r="BA232" s="231">
        <f>B33</f>
        <v>8</v>
      </c>
      <c r="BB232" s="136" t="str">
        <f t="shared" si="43"/>
        <v>Factory/Machine accidents</v>
      </c>
      <c r="BC232" s="136">
        <f t="shared" si="44"/>
        <v>3</v>
      </c>
      <c r="BD232" s="283" t="str">
        <f t="shared" si="34"/>
        <v/>
      </c>
      <c r="BE232" s="136">
        <f t="shared" si="45"/>
        <v>0</v>
      </c>
      <c r="BF232" s="136">
        <f t="shared" si="46"/>
        <v>0</v>
      </c>
      <c r="BG232" s="136">
        <f t="shared" si="47"/>
        <v>0</v>
      </c>
      <c r="BH232" s="136">
        <f t="shared" si="48"/>
        <v>0</v>
      </c>
      <c r="BI232" s="136">
        <f t="shared" si="49"/>
        <v>3</v>
      </c>
      <c r="BJ232" s="136">
        <f t="shared" si="50"/>
        <v>0</v>
      </c>
      <c r="BK232" s="136">
        <f t="shared" si="51"/>
        <v>0</v>
      </c>
      <c r="BL232" s="136">
        <f t="shared" si="52"/>
        <v>3</v>
      </c>
      <c r="BM232" s="132"/>
      <c r="BN232" s="132"/>
      <c r="BO232" s="132"/>
      <c r="BP232" s="132"/>
      <c r="BQ232" s="132"/>
      <c r="BR232" s="132"/>
      <c r="BS232" s="132"/>
      <c r="BT232" s="132"/>
      <c r="BU232" s="132"/>
    </row>
    <row r="233" spans="53:73" x14ac:dyDescent="0.25">
      <c r="BA233" s="231">
        <f>B34</f>
        <v>9</v>
      </c>
      <c r="BB233" s="136" t="str">
        <f t="shared" si="43"/>
        <v>Accidental Fire (Total) (sum of 9.1 to 9.5)</v>
      </c>
      <c r="BC233" s="136">
        <f t="shared" si="44"/>
        <v>45</v>
      </c>
      <c r="BD233" s="283" t="str">
        <f t="shared" si="34"/>
        <v/>
      </c>
      <c r="BE233" s="136">
        <f t="shared" si="45"/>
        <v>1</v>
      </c>
      <c r="BF233" s="136">
        <f t="shared" si="46"/>
        <v>0</v>
      </c>
      <c r="BG233" s="136">
        <f t="shared" si="47"/>
        <v>0</v>
      </c>
      <c r="BH233" s="136">
        <f t="shared" si="48"/>
        <v>1</v>
      </c>
      <c r="BI233" s="136">
        <f t="shared" si="49"/>
        <v>3</v>
      </c>
      <c r="BJ233" s="136">
        <f t="shared" si="50"/>
        <v>6</v>
      </c>
      <c r="BK233" s="136">
        <f t="shared" si="51"/>
        <v>0</v>
      </c>
      <c r="BL233" s="136">
        <f t="shared" si="52"/>
        <v>9</v>
      </c>
      <c r="BM233" s="132"/>
      <c r="BN233" s="132"/>
      <c r="BO233" s="132"/>
      <c r="BP233" s="132"/>
      <c r="BQ233" s="132"/>
      <c r="BR233" s="132"/>
      <c r="BS233" s="132"/>
      <c r="BT233" s="132"/>
      <c r="BU233" s="132"/>
    </row>
    <row r="234" spans="53:73" x14ac:dyDescent="0.25">
      <c r="BA234" s="231"/>
      <c r="BB234" s="154" t="str">
        <f t="shared" si="43"/>
        <v>9.1 Electrical Short circuit</v>
      </c>
      <c r="BC234" s="136">
        <f t="shared" si="44"/>
        <v>16</v>
      </c>
      <c r="BD234" s="283" t="str">
        <f t="shared" si="34"/>
        <v/>
      </c>
      <c r="BE234" s="136">
        <f t="shared" si="45"/>
        <v>0</v>
      </c>
      <c r="BF234" s="136">
        <f t="shared" si="46"/>
        <v>0</v>
      </c>
      <c r="BG234" s="136">
        <f t="shared" si="47"/>
        <v>0</v>
      </c>
      <c r="BH234" s="136">
        <f t="shared" si="48"/>
        <v>0</v>
      </c>
      <c r="BI234" s="136">
        <f t="shared" si="49"/>
        <v>1</v>
      </c>
      <c r="BJ234" s="136">
        <f t="shared" si="50"/>
        <v>0</v>
      </c>
      <c r="BK234" s="136">
        <f t="shared" si="51"/>
        <v>0</v>
      </c>
      <c r="BL234" s="136">
        <f t="shared" si="52"/>
        <v>1</v>
      </c>
      <c r="BM234" s="132"/>
      <c r="BN234" s="132"/>
      <c r="BO234" s="132"/>
      <c r="BP234" s="132"/>
      <c r="BQ234" s="132"/>
      <c r="BR234" s="132"/>
      <c r="BS234" s="132"/>
      <c r="BT234" s="132"/>
      <c r="BU234" s="132"/>
    </row>
    <row r="235" spans="53:73" x14ac:dyDescent="0.25">
      <c r="BA235" s="231"/>
      <c r="BB235" s="154" t="str">
        <f t="shared" si="43"/>
        <v>9.2 Riot/Agitation</v>
      </c>
      <c r="BC235" s="136">
        <f t="shared" si="44"/>
        <v>0</v>
      </c>
      <c r="BD235" s="283" t="str">
        <f t="shared" si="34"/>
        <v/>
      </c>
      <c r="BE235" s="136">
        <f t="shared" si="45"/>
        <v>0</v>
      </c>
      <c r="BF235" s="136">
        <f t="shared" si="46"/>
        <v>0</v>
      </c>
      <c r="BG235" s="136">
        <f t="shared" si="47"/>
        <v>0</v>
      </c>
      <c r="BH235" s="136">
        <f t="shared" si="48"/>
        <v>0</v>
      </c>
      <c r="BI235" s="136">
        <f t="shared" si="49"/>
        <v>0</v>
      </c>
      <c r="BJ235" s="136">
        <f t="shared" si="50"/>
        <v>0</v>
      </c>
      <c r="BK235" s="136">
        <f t="shared" si="51"/>
        <v>0</v>
      </c>
      <c r="BL235" s="136">
        <f t="shared" si="52"/>
        <v>0</v>
      </c>
      <c r="BM235" s="132"/>
      <c r="BN235" s="132"/>
      <c r="BO235" s="132"/>
      <c r="BP235" s="132"/>
      <c r="BQ235" s="132"/>
      <c r="BR235" s="132"/>
      <c r="BS235" s="132"/>
      <c r="BT235" s="132"/>
      <c r="BU235" s="132"/>
    </row>
    <row r="236" spans="53:73" x14ac:dyDescent="0.25">
      <c r="BA236" s="231"/>
      <c r="BB236" s="154" t="str">
        <f t="shared" si="43"/>
        <v>9.3 Fireworks</v>
      </c>
      <c r="BC236" s="136">
        <f t="shared" si="44"/>
        <v>1</v>
      </c>
      <c r="BD236" s="283" t="str">
        <f t="shared" si="34"/>
        <v/>
      </c>
      <c r="BE236" s="136">
        <f t="shared" si="45"/>
        <v>0</v>
      </c>
      <c r="BF236" s="136">
        <f t="shared" si="46"/>
        <v>0</v>
      </c>
      <c r="BG236" s="136">
        <f t="shared" si="47"/>
        <v>0</v>
      </c>
      <c r="BH236" s="136">
        <f t="shared" si="48"/>
        <v>0</v>
      </c>
      <c r="BI236" s="136">
        <f t="shared" si="49"/>
        <v>0</v>
      </c>
      <c r="BJ236" s="136">
        <f t="shared" si="50"/>
        <v>1</v>
      </c>
      <c r="BK236" s="136">
        <f t="shared" si="51"/>
        <v>0</v>
      </c>
      <c r="BL236" s="136">
        <f t="shared" si="52"/>
        <v>1</v>
      </c>
      <c r="BM236" s="132"/>
      <c r="BN236" s="132"/>
      <c r="BO236" s="132"/>
      <c r="BP236" s="132"/>
      <c r="BQ236" s="132"/>
      <c r="BR236" s="132"/>
      <c r="BS236" s="132"/>
      <c r="BT236" s="132"/>
      <c r="BU236" s="132"/>
    </row>
    <row r="237" spans="53:73" x14ac:dyDescent="0.25">
      <c r="BA237" s="231"/>
      <c r="BB237" s="154" t="str">
        <f t="shared" si="43"/>
        <v>9.4 Cooking Gas cylinder/stove burst</v>
      </c>
      <c r="BC237" s="136">
        <f t="shared" si="44"/>
        <v>5</v>
      </c>
      <c r="BD237" s="283" t="str">
        <f t="shared" si="34"/>
        <v/>
      </c>
      <c r="BE237" s="136">
        <f t="shared" si="45"/>
        <v>0</v>
      </c>
      <c r="BF237" s="136">
        <f t="shared" si="46"/>
        <v>0</v>
      </c>
      <c r="BG237" s="136">
        <f t="shared" si="47"/>
        <v>0</v>
      </c>
      <c r="BH237" s="136">
        <f t="shared" si="48"/>
        <v>0</v>
      </c>
      <c r="BI237" s="136">
        <f t="shared" si="49"/>
        <v>2</v>
      </c>
      <c r="BJ237" s="136">
        <f t="shared" si="50"/>
        <v>1</v>
      </c>
      <c r="BK237" s="136">
        <f t="shared" si="51"/>
        <v>0</v>
      </c>
      <c r="BL237" s="136">
        <f t="shared" si="52"/>
        <v>3</v>
      </c>
      <c r="BM237" s="132"/>
      <c r="BN237" s="132"/>
      <c r="BO237" s="132"/>
      <c r="BP237" s="132"/>
      <c r="BQ237" s="132"/>
      <c r="BR237" s="132"/>
      <c r="BS237" s="132"/>
      <c r="BT237" s="132"/>
      <c r="BU237" s="132"/>
    </row>
    <row r="238" spans="53:73" x14ac:dyDescent="0.25">
      <c r="BA238" s="231"/>
      <c r="BB238" s="154" t="str">
        <f t="shared" si="43"/>
        <v>9.5 Other Causes</v>
      </c>
      <c r="BC238" s="136">
        <f t="shared" si="44"/>
        <v>23</v>
      </c>
      <c r="BD238" s="283" t="str">
        <f t="shared" si="34"/>
        <v/>
      </c>
      <c r="BE238" s="136">
        <f t="shared" si="45"/>
        <v>1</v>
      </c>
      <c r="BF238" s="136">
        <f t="shared" si="46"/>
        <v>0</v>
      </c>
      <c r="BG238" s="136">
        <f t="shared" si="47"/>
        <v>0</v>
      </c>
      <c r="BH238" s="136">
        <f t="shared" si="48"/>
        <v>1</v>
      </c>
      <c r="BI238" s="136">
        <f t="shared" si="49"/>
        <v>0</v>
      </c>
      <c r="BJ238" s="136">
        <f t="shared" si="50"/>
        <v>4</v>
      </c>
      <c r="BK238" s="136">
        <f t="shared" si="51"/>
        <v>0</v>
      </c>
      <c r="BL238" s="136">
        <f t="shared" si="52"/>
        <v>4</v>
      </c>
      <c r="BM238" s="132"/>
      <c r="BN238" s="132"/>
      <c r="BO238" s="132"/>
      <c r="BP238" s="132"/>
      <c r="BQ238" s="132"/>
      <c r="BR238" s="132"/>
      <c r="BS238" s="132"/>
      <c r="BT238" s="132"/>
      <c r="BU238" s="132"/>
    </row>
    <row r="239" spans="53:73" x14ac:dyDescent="0.25">
      <c r="BA239" s="231">
        <f>B40</f>
        <v>10</v>
      </c>
      <c r="BB239" s="136" t="str">
        <f t="shared" si="43"/>
        <v>Firearm</v>
      </c>
      <c r="BC239" s="136">
        <f t="shared" si="44"/>
        <v>3</v>
      </c>
      <c r="BD239" s="283" t="str">
        <f t="shared" si="34"/>
        <v/>
      </c>
      <c r="BE239" s="136">
        <f t="shared" si="45"/>
        <v>1</v>
      </c>
      <c r="BF239" s="136">
        <f t="shared" si="46"/>
        <v>1</v>
      </c>
      <c r="BG239" s="136">
        <f t="shared" si="47"/>
        <v>0</v>
      </c>
      <c r="BH239" s="136">
        <f t="shared" si="48"/>
        <v>2</v>
      </c>
      <c r="BI239" s="136">
        <f t="shared" si="49"/>
        <v>1</v>
      </c>
      <c r="BJ239" s="136">
        <f t="shared" si="50"/>
        <v>0</v>
      </c>
      <c r="BK239" s="136">
        <f t="shared" si="51"/>
        <v>0</v>
      </c>
      <c r="BL239" s="136">
        <f t="shared" si="52"/>
        <v>1</v>
      </c>
      <c r="BM239" s="132"/>
      <c r="BN239" s="132"/>
      <c r="BO239" s="132"/>
      <c r="BP239" s="132"/>
      <c r="BQ239" s="132"/>
      <c r="BR239" s="132"/>
      <c r="BS239" s="132"/>
      <c r="BT239" s="132"/>
      <c r="BU239" s="132"/>
    </row>
    <row r="240" spans="53:73" x14ac:dyDescent="0.25">
      <c r="BA240" s="231">
        <f>B41</f>
        <v>11</v>
      </c>
      <c r="BB240" s="136" t="str">
        <f t="shared" si="43"/>
        <v>Mines or Quarry disaster</v>
      </c>
      <c r="BC240" s="136">
        <f t="shared" si="44"/>
        <v>0</v>
      </c>
      <c r="BD240" s="283" t="str">
        <f t="shared" si="34"/>
        <v/>
      </c>
      <c r="BE240" s="136">
        <f t="shared" si="45"/>
        <v>0</v>
      </c>
      <c r="BF240" s="136">
        <f t="shared" si="46"/>
        <v>0</v>
      </c>
      <c r="BG240" s="136">
        <f t="shared" si="47"/>
        <v>0</v>
      </c>
      <c r="BH240" s="136">
        <f t="shared" si="48"/>
        <v>0</v>
      </c>
      <c r="BI240" s="136">
        <f t="shared" si="49"/>
        <v>0</v>
      </c>
      <c r="BJ240" s="136">
        <f t="shared" si="50"/>
        <v>0</v>
      </c>
      <c r="BK240" s="136">
        <f t="shared" si="51"/>
        <v>0</v>
      </c>
      <c r="BL240" s="136">
        <f t="shared" si="52"/>
        <v>0</v>
      </c>
      <c r="BM240" s="132"/>
      <c r="BN240" s="132"/>
      <c r="BO240" s="132"/>
      <c r="BP240" s="132"/>
      <c r="BQ240" s="132"/>
      <c r="BR240" s="132"/>
      <c r="BS240" s="132"/>
      <c r="BT240" s="132"/>
      <c r="BU240" s="132"/>
    </row>
    <row r="241" spans="53:74" x14ac:dyDescent="0.25">
      <c r="BA241" s="231">
        <f>B42</f>
        <v>12</v>
      </c>
      <c r="BB241" s="136" t="str">
        <f t="shared" si="43"/>
        <v>Traffic Accidents (Total) (sum of 12.1, 12.2 and 12.3)</v>
      </c>
      <c r="BC241" s="136">
        <f t="shared" si="44"/>
        <v>2899</v>
      </c>
      <c r="BD241" s="283" t="str">
        <f t="shared" si="34"/>
        <v/>
      </c>
      <c r="BE241" s="136">
        <f t="shared" si="45"/>
        <v>696</v>
      </c>
      <c r="BF241" s="136">
        <f t="shared" si="46"/>
        <v>160</v>
      </c>
      <c r="BG241" s="136">
        <f t="shared" si="47"/>
        <v>0</v>
      </c>
      <c r="BH241" s="136">
        <f t="shared" si="48"/>
        <v>856</v>
      </c>
      <c r="BI241" s="136">
        <f t="shared" si="49"/>
        <v>238</v>
      </c>
      <c r="BJ241" s="136">
        <f t="shared" si="50"/>
        <v>37</v>
      </c>
      <c r="BK241" s="136">
        <f t="shared" si="51"/>
        <v>0</v>
      </c>
      <c r="BL241" s="136">
        <f t="shared" si="52"/>
        <v>275</v>
      </c>
      <c r="BM241" s="132"/>
      <c r="BN241" s="132"/>
      <c r="BO241" s="132"/>
      <c r="BP241" s="132"/>
      <c r="BQ241" s="132"/>
      <c r="BR241" s="132"/>
      <c r="BS241" s="132"/>
      <c r="BT241" s="132"/>
      <c r="BU241" s="132"/>
    </row>
    <row r="242" spans="53:74" x14ac:dyDescent="0.25">
      <c r="BA242" s="231"/>
      <c r="BB242" s="154" t="str">
        <f t="shared" si="43"/>
        <v>12.1 Road Accidents Total (sum of 12.1.1 and 12.1.2)</v>
      </c>
      <c r="BC242" s="136">
        <f t="shared" si="44"/>
        <v>2850</v>
      </c>
      <c r="BD242" s="283" t="str">
        <f t="shared" si="34"/>
        <v/>
      </c>
      <c r="BE242" s="136">
        <f t="shared" si="45"/>
        <v>696</v>
      </c>
      <c r="BF242" s="136">
        <f t="shared" si="46"/>
        <v>160</v>
      </c>
      <c r="BG242" s="136">
        <f t="shared" si="47"/>
        <v>0</v>
      </c>
      <c r="BH242" s="136">
        <f t="shared" si="48"/>
        <v>856</v>
      </c>
      <c r="BI242" s="136">
        <f t="shared" si="49"/>
        <v>193</v>
      </c>
      <c r="BJ242" s="136">
        <f t="shared" si="50"/>
        <v>33</v>
      </c>
      <c r="BK242" s="136">
        <f t="shared" si="51"/>
        <v>0</v>
      </c>
      <c r="BL242" s="136">
        <f t="shared" si="52"/>
        <v>226</v>
      </c>
      <c r="BM242" s="132"/>
      <c r="BN242" s="132"/>
      <c r="BO242" s="132"/>
      <c r="BP242" s="132"/>
      <c r="BQ242" s="132"/>
      <c r="BR242" s="132"/>
      <c r="BS242" s="132"/>
      <c r="BT242" s="132"/>
      <c r="BU242" s="132"/>
    </row>
    <row r="243" spans="53:74" x14ac:dyDescent="0.25">
      <c r="BA243" s="231"/>
      <c r="BB243" s="490" t="str">
        <f t="shared" si="43"/>
        <v>12.1.1 Which led into Road Rage incidents</v>
      </c>
      <c r="BC243" s="136">
        <f t="shared" si="44"/>
        <v>0</v>
      </c>
      <c r="BD243" s="283" t="str">
        <f t="shared" si="34"/>
        <v/>
      </c>
      <c r="BE243" s="136">
        <f t="shared" si="45"/>
        <v>0</v>
      </c>
      <c r="BF243" s="136">
        <f t="shared" si="46"/>
        <v>0</v>
      </c>
      <c r="BG243" s="136">
        <f t="shared" si="47"/>
        <v>0</v>
      </c>
      <c r="BH243" s="136">
        <f t="shared" si="48"/>
        <v>0</v>
      </c>
      <c r="BI243" s="136">
        <f t="shared" si="49"/>
        <v>0</v>
      </c>
      <c r="BJ243" s="136">
        <f t="shared" si="50"/>
        <v>0</v>
      </c>
      <c r="BK243" s="136">
        <f t="shared" si="51"/>
        <v>0</v>
      </c>
      <c r="BL243" s="136">
        <f t="shared" si="52"/>
        <v>0</v>
      </c>
      <c r="BM243" s="132"/>
      <c r="BN243" s="132"/>
      <c r="BO243" s="132"/>
      <c r="BP243" s="132"/>
      <c r="BQ243" s="132"/>
      <c r="BR243" s="132"/>
      <c r="BS243" s="132"/>
      <c r="BT243" s="132"/>
      <c r="BU243" s="132"/>
    </row>
    <row r="244" spans="53:74" x14ac:dyDescent="0.25">
      <c r="BA244" s="231"/>
      <c r="BB244" s="490" t="str">
        <f t="shared" si="43"/>
        <v>12.1.2 Other Road Accidents</v>
      </c>
      <c r="BC244" s="136">
        <f t="shared" si="44"/>
        <v>2850</v>
      </c>
      <c r="BD244" s="283" t="str">
        <f t="shared" si="34"/>
        <v/>
      </c>
      <c r="BE244" s="136">
        <f t="shared" si="45"/>
        <v>696</v>
      </c>
      <c r="BF244" s="136">
        <f t="shared" si="46"/>
        <v>160</v>
      </c>
      <c r="BG244" s="136">
        <f t="shared" si="47"/>
        <v>0</v>
      </c>
      <c r="BH244" s="136">
        <f t="shared" si="48"/>
        <v>856</v>
      </c>
      <c r="BI244" s="136">
        <f t="shared" si="49"/>
        <v>193</v>
      </c>
      <c r="BJ244" s="136">
        <f t="shared" si="50"/>
        <v>33</v>
      </c>
      <c r="BK244" s="136">
        <f t="shared" si="51"/>
        <v>0</v>
      </c>
      <c r="BL244" s="136">
        <f t="shared" si="52"/>
        <v>226</v>
      </c>
      <c r="BM244" s="132"/>
      <c r="BN244" s="132"/>
      <c r="BO244" s="132"/>
      <c r="BP244" s="132"/>
      <c r="BQ244" s="132"/>
      <c r="BR244" s="132"/>
      <c r="BS244" s="132"/>
      <c r="BT244" s="132"/>
      <c r="BU244" s="132"/>
    </row>
    <row r="245" spans="53:74" x14ac:dyDescent="0.25">
      <c r="BA245" s="231"/>
      <c r="BB245" s="154" t="str">
        <f t="shared" si="43"/>
        <v>12.2 Railway Crossing Accidents</v>
      </c>
      <c r="BC245" s="136">
        <f t="shared" si="44"/>
        <v>0</v>
      </c>
      <c r="BD245" s="283" t="str">
        <f t="shared" si="34"/>
        <v/>
      </c>
      <c r="BE245" s="136">
        <f t="shared" si="45"/>
        <v>0</v>
      </c>
      <c r="BF245" s="136">
        <f t="shared" si="46"/>
        <v>0</v>
      </c>
      <c r="BG245" s="136">
        <f t="shared" si="47"/>
        <v>0</v>
      </c>
      <c r="BH245" s="136">
        <f t="shared" si="48"/>
        <v>0</v>
      </c>
      <c r="BI245" s="136">
        <f t="shared" si="49"/>
        <v>0</v>
      </c>
      <c r="BJ245" s="136">
        <f t="shared" si="50"/>
        <v>0</v>
      </c>
      <c r="BK245" s="136">
        <f t="shared" si="51"/>
        <v>0</v>
      </c>
      <c r="BL245" s="136">
        <f t="shared" si="52"/>
        <v>0</v>
      </c>
      <c r="BM245" s="132"/>
      <c r="BN245" s="132"/>
      <c r="BO245" s="132"/>
      <c r="BP245" s="132"/>
      <c r="BQ245" s="132"/>
      <c r="BR245" s="132"/>
      <c r="BS245" s="132"/>
      <c r="BT245" s="132"/>
      <c r="BU245" s="132"/>
    </row>
    <row r="246" spans="53:74" x14ac:dyDescent="0.25">
      <c r="BA246" s="231"/>
      <c r="BB246" s="154" t="str">
        <f t="shared" si="43"/>
        <v xml:space="preserve">12.3 Railway Accidents </v>
      </c>
      <c r="BC246" s="136">
        <f t="shared" si="44"/>
        <v>49</v>
      </c>
      <c r="BD246" s="283" t="str">
        <f t="shared" si="34"/>
        <v/>
      </c>
      <c r="BE246" s="136">
        <f t="shared" si="45"/>
        <v>0</v>
      </c>
      <c r="BF246" s="136">
        <f t="shared" si="46"/>
        <v>0</v>
      </c>
      <c r="BG246" s="136">
        <f t="shared" si="47"/>
        <v>0</v>
      </c>
      <c r="BH246" s="136">
        <f t="shared" si="48"/>
        <v>0</v>
      </c>
      <c r="BI246" s="136">
        <f t="shared" si="49"/>
        <v>45</v>
      </c>
      <c r="BJ246" s="136">
        <f t="shared" si="50"/>
        <v>4</v>
      </c>
      <c r="BK246" s="136">
        <f t="shared" si="51"/>
        <v>0</v>
      </c>
      <c r="BL246" s="136">
        <f t="shared" si="52"/>
        <v>49</v>
      </c>
      <c r="BM246" s="132"/>
      <c r="BN246" s="132"/>
      <c r="BO246" s="132"/>
      <c r="BP246" s="132"/>
      <c r="BQ246" s="132"/>
      <c r="BR246" s="132"/>
      <c r="BS246" s="132"/>
      <c r="BT246" s="132"/>
      <c r="BU246" s="132"/>
    </row>
    <row r="247" spans="53:74" x14ac:dyDescent="0.25">
      <c r="BA247" s="231">
        <f>B48</f>
        <v>13</v>
      </c>
      <c r="BB247" s="136" t="str">
        <f t="shared" si="43"/>
        <v>Stampede</v>
      </c>
      <c r="BC247" s="136">
        <f t="shared" si="44"/>
        <v>0</v>
      </c>
      <c r="BD247" s="283" t="str">
        <f t="shared" si="34"/>
        <v/>
      </c>
      <c r="BE247" s="136">
        <f t="shared" si="45"/>
        <v>0</v>
      </c>
      <c r="BF247" s="136">
        <f t="shared" si="46"/>
        <v>0</v>
      </c>
      <c r="BG247" s="136">
        <f t="shared" si="47"/>
        <v>0</v>
      </c>
      <c r="BH247" s="136">
        <f t="shared" si="48"/>
        <v>0</v>
      </c>
      <c r="BI247" s="136">
        <f t="shared" si="49"/>
        <v>0</v>
      </c>
      <c r="BJ247" s="136">
        <f t="shared" si="50"/>
        <v>0</v>
      </c>
      <c r="BK247" s="136">
        <f t="shared" si="51"/>
        <v>0</v>
      </c>
      <c r="BL247" s="136">
        <f t="shared" si="52"/>
        <v>0</v>
      </c>
      <c r="BM247" s="132"/>
      <c r="BN247" s="132"/>
      <c r="BO247" s="132"/>
      <c r="BP247" s="132"/>
      <c r="BQ247" s="132"/>
      <c r="BR247" s="132"/>
      <c r="BS247" s="132"/>
      <c r="BT247" s="132"/>
      <c r="BU247" s="132"/>
    </row>
    <row r="248" spans="53:74" x14ac:dyDescent="0.25">
      <c r="BA248" s="231">
        <f>B49</f>
        <v>14</v>
      </c>
      <c r="BB248" s="136" t="str">
        <f t="shared" si="43"/>
        <v>Other Unnatural Causes</v>
      </c>
      <c r="BC248" s="136">
        <f t="shared" si="44"/>
        <v>10</v>
      </c>
      <c r="BD248" s="283" t="str">
        <f t="shared" si="34"/>
        <v/>
      </c>
      <c r="BE248" s="136">
        <f t="shared" si="45"/>
        <v>0</v>
      </c>
      <c r="BF248" s="136">
        <f t="shared" si="46"/>
        <v>0</v>
      </c>
      <c r="BG248" s="136">
        <f t="shared" si="47"/>
        <v>0</v>
      </c>
      <c r="BH248" s="136">
        <f t="shared" si="48"/>
        <v>0</v>
      </c>
      <c r="BI248" s="136">
        <f t="shared" si="49"/>
        <v>5</v>
      </c>
      <c r="BJ248" s="136">
        <f t="shared" si="50"/>
        <v>5</v>
      </c>
      <c r="BK248" s="136">
        <f t="shared" si="51"/>
        <v>0</v>
      </c>
      <c r="BL248" s="136">
        <f t="shared" si="52"/>
        <v>10</v>
      </c>
      <c r="BM248" s="132"/>
      <c r="BN248" s="132"/>
      <c r="BO248" s="132"/>
      <c r="BP248" s="132"/>
      <c r="BQ248" s="132"/>
      <c r="BR248" s="132"/>
      <c r="BS248" s="132"/>
      <c r="BT248" s="132"/>
      <c r="BU248" s="132"/>
    </row>
    <row r="249" spans="53:74" x14ac:dyDescent="0.25">
      <c r="BA249" s="231">
        <f>B50</f>
        <v>15</v>
      </c>
      <c r="BB249" s="136" t="str">
        <f t="shared" si="43"/>
        <v>Causes not known</v>
      </c>
      <c r="BC249" s="136">
        <f t="shared" si="44"/>
        <v>16</v>
      </c>
      <c r="BD249" s="283" t="str">
        <f t="shared" si="34"/>
        <v/>
      </c>
      <c r="BE249" s="136">
        <f t="shared" si="45"/>
        <v>0</v>
      </c>
      <c r="BF249" s="136">
        <f t="shared" si="46"/>
        <v>0</v>
      </c>
      <c r="BG249" s="136">
        <f t="shared" si="47"/>
        <v>0</v>
      </c>
      <c r="BH249" s="136">
        <f t="shared" si="48"/>
        <v>0</v>
      </c>
      <c r="BI249" s="136">
        <f t="shared" si="49"/>
        <v>13</v>
      </c>
      <c r="BJ249" s="136">
        <f t="shared" si="50"/>
        <v>3</v>
      </c>
      <c r="BK249" s="136">
        <f t="shared" si="51"/>
        <v>0</v>
      </c>
      <c r="BL249" s="136">
        <f t="shared" si="52"/>
        <v>16</v>
      </c>
      <c r="BM249" s="132"/>
      <c r="BN249" s="132"/>
      <c r="BO249" s="132"/>
      <c r="BP249" s="132"/>
      <c r="BQ249" s="132"/>
      <c r="BR249" s="132"/>
      <c r="BS249" s="132"/>
      <c r="BT249" s="132"/>
      <c r="BU249" s="132"/>
    </row>
    <row r="250" spans="53:74" x14ac:dyDescent="0.25">
      <c r="BA250" s="231">
        <f>B51</f>
        <v>16</v>
      </c>
      <c r="BB250" s="136" t="str">
        <f t="shared" si="43"/>
        <v>Total (sum of Sl. 1 to 15)</v>
      </c>
      <c r="BC250" s="136">
        <f t="shared" si="44"/>
        <v>3222</v>
      </c>
      <c r="BD250" s="283" t="str">
        <f t="shared" si="34"/>
        <v/>
      </c>
      <c r="BE250" s="136">
        <f t="shared" si="45"/>
        <v>698</v>
      </c>
      <c r="BF250" s="136">
        <f t="shared" si="46"/>
        <v>161</v>
      </c>
      <c r="BG250" s="136">
        <f t="shared" si="47"/>
        <v>0</v>
      </c>
      <c r="BH250" s="136">
        <f t="shared" si="48"/>
        <v>859</v>
      </c>
      <c r="BI250" s="136">
        <f t="shared" si="49"/>
        <v>489</v>
      </c>
      <c r="BJ250" s="136">
        <f t="shared" si="50"/>
        <v>73</v>
      </c>
      <c r="BK250" s="136">
        <f t="shared" si="51"/>
        <v>0</v>
      </c>
      <c r="BL250" s="136">
        <f t="shared" si="52"/>
        <v>562</v>
      </c>
      <c r="BM250" s="132"/>
      <c r="BN250" s="132"/>
      <c r="BO250" s="132"/>
      <c r="BP250" s="132"/>
      <c r="BQ250" s="132"/>
      <c r="BR250" s="132"/>
      <c r="BS250" s="132"/>
      <c r="BT250" s="132"/>
      <c r="BU250" s="132"/>
    </row>
    <row r="251" spans="53:74" ht="27" customHeight="1" x14ac:dyDescent="0.25">
      <c r="BA251" s="618" t="str">
        <f>A52</f>
        <v>SL-12.1.1 ABNORMAL VARIATION IN "ROAD RAGE INCIDENTS" DATA</v>
      </c>
      <c r="BB251" s="618"/>
      <c r="BC251" s="310" t="str">
        <f>D52</f>
        <v/>
      </c>
      <c r="BD251" s="310"/>
      <c r="BE251" s="310" t="str">
        <f t="shared" si="45"/>
        <v/>
      </c>
      <c r="BF251" s="310" t="str">
        <f t="shared" si="46"/>
        <v/>
      </c>
      <c r="BG251" s="310" t="str">
        <f t="shared" si="47"/>
        <v/>
      </c>
      <c r="BH251" s="310" t="str">
        <f t="shared" si="48"/>
        <v/>
      </c>
      <c r="BI251" s="310" t="str">
        <f t="shared" si="49"/>
        <v/>
      </c>
      <c r="BJ251" s="310" t="str">
        <f t="shared" si="50"/>
        <v/>
      </c>
      <c r="BK251" s="310" t="str">
        <f t="shared" si="51"/>
        <v/>
      </c>
      <c r="BL251" s="310" t="str">
        <f t="shared" si="52"/>
        <v/>
      </c>
      <c r="BM251" s="132"/>
      <c r="BN251" s="132"/>
      <c r="BO251" s="132"/>
      <c r="BP251" s="132"/>
      <c r="BQ251" s="132"/>
      <c r="BR251" s="132"/>
      <c r="BS251" s="132"/>
      <c r="BT251" s="132"/>
      <c r="BU251" s="132"/>
      <c r="BV251" s="132"/>
    </row>
    <row r="252" spans="53:74" ht="25.5" customHeight="1" x14ac:dyDescent="0.25">
      <c r="BA252" s="618" t="str">
        <f t="shared" ref="BA252:BA253" si="53">A53</f>
        <v>SL-14 ABNORMAL VARIATION IN "OTHER UNNATURAL CAUSES" DATA</v>
      </c>
      <c r="BB252" s="618"/>
      <c r="BC252" s="310" t="str">
        <f t="shared" ref="BC252:BC253" si="54">D53</f>
        <v/>
      </c>
      <c r="BD252" s="310"/>
      <c r="BE252" s="310" t="str">
        <f t="shared" si="45"/>
        <v/>
      </c>
      <c r="BF252" s="310" t="str">
        <f t="shared" si="46"/>
        <v/>
      </c>
      <c r="BG252" s="310" t="str">
        <f t="shared" si="47"/>
        <v/>
      </c>
      <c r="BH252" s="310" t="str">
        <f t="shared" si="48"/>
        <v/>
      </c>
      <c r="BI252" s="310" t="str">
        <f t="shared" si="49"/>
        <v/>
      </c>
      <c r="BJ252" s="310" t="str">
        <f t="shared" si="50"/>
        <v/>
      </c>
      <c r="BK252" s="310" t="str">
        <f t="shared" si="51"/>
        <v/>
      </c>
      <c r="BL252" s="310" t="str">
        <f t="shared" si="52"/>
        <v/>
      </c>
      <c r="BM252" s="132"/>
      <c r="BN252" s="132"/>
      <c r="BO252" s="132"/>
      <c r="BP252" s="132"/>
      <c r="BQ252" s="132"/>
      <c r="BR252" s="132"/>
      <c r="BS252" s="132"/>
      <c r="BT252" s="132"/>
      <c r="BU252" s="132"/>
      <c r="BV252" s="132"/>
    </row>
    <row r="253" spans="53:74" ht="28.5" customHeight="1" x14ac:dyDescent="0.25">
      <c r="BA253" s="618" t="str">
        <f t="shared" si="53"/>
        <v>SL-15 ABNORMAL VARIATION IN "CAUSES NOT KNOWN" DATA</v>
      </c>
      <c r="BB253" s="618"/>
      <c r="BC253" s="310" t="str">
        <f t="shared" si="54"/>
        <v/>
      </c>
      <c r="BD253" s="310"/>
      <c r="BE253" s="310" t="str">
        <f t="shared" si="45"/>
        <v/>
      </c>
      <c r="BF253" s="310" t="str">
        <f t="shared" si="46"/>
        <v/>
      </c>
      <c r="BG253" s="310" t="str">
        <f t="shared" si="47"/>
        <v/>
      </c>
      <c r="BH253" s="310" t="str">
        <f t="shared" si="48"/>
        <v/>
      </c>
      <c r="BI253" s="310" t="str">
        <f t="shared" si="49"/>
        <v/>
      </c>
      <c r="BJ253" s="310" t="str">
        <f t="shared" si="50"/>
        <v/>
      </c>
      <c r="BK253" s="310" t="str">
        <f t="shared" si="51"/>
        <v/>
      </c>
      <c r="BL253" s="310" t="str">
        <f t="shared" si="52"/>
        <v/>
      </c>
      <c r="BM253" s="132"/>
      <c r="BN253" s="132"/>
      <c r="BO253" s="132"/>
      <c r="BP253" s="132"/>
      <c r="BQ253" s="132"/>
      <c r="BR253" s="132"/>
      <c r="BS253" s="132"/>
      <c r="BT253" s="132"/>
      <c r="BU253" s="132"/>
      <c r="BV253" s="132"/>
    </row>
    <row r="254" spans="53:74" x14ac:dyDescent="0.25">
      <c r="BA254" s="132"/>
      <c r="BB254" s="132"/>
      <c r="BC254" s="132"/>
      <c r="BD254" s="132"/>
      <c r="BE254" s="132"/>
      <c r="BF254" s="132"/>
      <c r="BG254" s="132"/>
      <c r="BH254" s="132"/>
      <c r="BI254" s="132"/>
      <c r="BJ254" s="132"/>
      <c r="BK254" s="132"/>
      <c r="BL254" s="132"/>
      <c r="BM254" s="132"/>
      <c r="BN254" s="132"/>
      <c r="BO254" s="132"/>
      <c r="BP254" s="132"/>
      <c r="BQ254" s="132"/>
      <c r="BR254" s="132"/>
      <c r="BS254" s="132"/>
      <c r="BT254" s="132"/>
      <c r="BU254" s="132"/>
      <c r="BV254" s="132"/>
    </row>
    <row r="255" spans="53:74" x14ac:dyDescent="0.25">
      <c r="BA255" s="132"/>
      <c r="BB255" s="132"/>
      <c r="BC255" s="132"/>
      <c r="BD255" s="132"/>
      <c r="BE255" s="132"/>
      <c r="BF255" s="132"/>
      <c r="BG255" s="132"/>
      <c r="BH255" s="132"/>
      <c r="BI255" s="132"/>
      <c r="BJ255" s="132"/>
      <c r="BK255" s="132"/>
      <c r="BL255" s="132"/>
      <c r="BM255" s="132"/>
      <c r="BN255" s="132"/>
      <c r="BO255" s="132"/>
      <c r="BP255" s="132"/>
      <c r="BQ255" s="132"/>
      <c r="BR255" s="132"/>
      <c r="BS255" s="132"/>
      <c r="BT255" s="132"/>
      <c r="BU255" s="132"/>
      <c r="BV255" s="132"/>
    </row>
    <row r="500" spans="1:13" x14ac:dyDescent="0.25">
      <c r="A500" s="344" t="s">
        <v>450</v>
      </c>
      <c r="B500" s="344" t="s">
        <v>451</v>
      </c>
      <c r="C500" s="344" t="s">
        <v>452</v>
      </c>
      <c r="D500" s="344" t="s">
        <v>453</v>
      </c>
      <c r="E500" s="344" t="s">
        <v>472</v>
      </c>
      <c r="F500" s="344" t="s">
        <v>473</v>
      </c>
      <c r="G500" s="344" t="s">
        <v>474</v>
      </c>
      <c r="H500" s="344" t="s">
        <v>475</v>
      </c>
      <c r="I500" s="344" t="s">
        <v>476</v>
      </c>
      <c r="J500" s="344" t="s">
        <v>477</v>
      </c>
      <c r="K500" s="344" t="s">
        <v>478</v>
      </c>
      <c r="L500" s="344" t="s">
        <v>479</v>
      </c>
      <c r="M500" s="344" t="s">
        <v>480</v>
      </c>
    </row>
    <row r="501" spans="1:13" x14ac:dyDescent="0.25">
      <c r="A501" s="348">
        <f>IF(ADSI!$G$12="",ADSI!$H$16,ADSI!$H$12)</f>
        <v>6</v>
      </c>
      <c r="B501" s="348" t="str">
        <f ca="1">IF(ADSI!$G$12="",ADSI!$H$16,ADSI!$H$14)</f>
        <v/>
      </c>
      <c r="C501" s="388">
        <f>A8</f>
        <v>50</v>
      </c>
      <c r="D501" s="348">
        <f>ADSI!$K$12</f>
        <v>2021</v>
      </c>
      <c r="E501" s="346">
        <f>D8</f>
        <v>0</v>
      </c>
      <c r="F501" s="346">
        <f>F8</f>
        <v>0</v>
      </c>
      <c r="G501" s="346">
        <f t="shared" ref="G501:M501" si="55">G8</f>
        <v>0</v>
      </c>
      <c r="H501" s="346">
        <f t="shared" si="55"/>
        <v>0</v>
      </c>
      <c r="I501" s="346">
        <f t="shared" si="55"/>
        <v>0</v>
      </c>
      <c r="J501" s="346">
        <f>J8</f>
        <v>0</v>
      </c>
      <c r="K501" s="346">
        <f t="shared" si="55"/>
        <v>0</v>
      </c>
      <c r="L501" s="346">
        <f t="shared" si="55"/>
        <v>0</v>
      </c>
      <c r="M501" s="346">
        <f t="shared" si="55"/>
        <v>0</v>
      </c>
    </row>
    <row r="502" spans="1:13" x14ac:dyDescent="0.25">
      <c r="A502" s="348">
        <f>IF(ADSI!$G$12="",ADSI!$H$16,ADSI!$H$12)</f>
        <v>6</v>
      </c>
      <c r="B502" s="348" t="str">
        <f ca="1">IF(ADSI!$G$12="",ADSI!$H$16,ADSI!$H$14)</f>
        <v/>
      </c>
      <c r="C502" s="388">
        <f t="shared" ref="C502:C544" si="56">A9</f>
        <v>51</v>
      </c>
      <c r="D502" s="348">
        <f>ADSI!$K$12</f>
        <v>2021</v>
      </c>
      <c r="E502" s="346">
        <f t="shared" ref="E502:E544" si="57">D9</f>
        <v>0</v>
      </c>
      <c r="F502" s="346">
        <f t="shared" ref="F502:M502" si="58">F9</f>
        <v>0</v>
      </c>
      <c r="G502" s="346">
        <f t="shared" si="58"/>
        <v>0</v>
      </c>
      <c r="H502" s="346">
        <f t="shared" si="58"/>
        <v>0</v>
      </c>
      <c r="I502" s="346">
        <f t="shared" si="58"/>
        <v>0</v>
      </c>
      <c r="J502" s="346">
        <f t="shared" si="58"/>
        <v>0</v>
      </c>
      <c r="K502" s="346">
        <f t="shared" si="58"/>
        <v>0</v>
      </c>
      <c r="L502" s="346">
        <f t="shared" si="58"/>
        <v>0</v>
      </c>
      <c r="M502" s="346">
        <f t="shared" si="58"/>
        <v>0</v>
      </c>
    </row>
    <row r="503" spans="1:13" x14ac:dyDescent="0.25">
      <c r="A503" s="348">
        <f>IF(ADSI!$G$12="",ADSI!$H$16,ADSI!$H$12)</f>
        <v>6</v>
      </c>
      <c r="B503" s="348" t="str">
        <f ca="1">IF(ADSI!$G$12="",ADSI!$H$16,ADSI!$H$14)</f>
        <v/>
      </c>
      <c r="C503" s="388">
        <f t="shared" si="56"/>
        <v>52</v>
      </c>
      <c r="D503" s="348">
        <f>ADSI!$K$12</f>
        <v>2021</v>
      </c>
      <c r="E503" s="346">
        <f t="shared" si="57"/>
        <v>5</v>
      </c>
      <c r="F503" s="346">
        <f t="shared" ref="F503:M503" si="59">F10</f>
        <v>0</v>
      </c>
      <c r="G503" s="346">
        <f t="shared" si="59"/>
        <v>0</v>
      </c>
      <c r="H503" s="346">
        <f t="shared" si="59"/>
        <v>0</v>
      </c>
      <c r="I503" s="346">
        <f t="shared" si="59"/>
        <v>0</v>
      </c>
      <c r="J503" s="346">
        <f t="shared" si="59"/>
        <v>5</v>
      </c>
      <c r="K503" s="346">
        <f t="shared" si="59"/>
        <v>0</v>
      </c>
      <c r="L503" s="346">
        <f t="shared" si="59"/>
        <v>0</v>
      </c>
      <c r="M503" s="346">
        <f t="shared" si="59"/>
        <v>5</v>
      </c>
    </row>
    <row r="504" spans="1:13" x14ac:dyDescent="0.25">
      <c r="A504" s="348">
        <f>IF(ADSI!$G$12="",ADSI!$H$16,ADSI!$H$12)</f>
        <v>6</v>
      </c>
      <c r="B504" s="348" t="str">
        <f ca="1">IF(ADSI!$G$12="",ADSI!$H$16,ADSI!$H$14)</f>
        <v/>
      </c>
      <c r="C504" s="388">
        <f t="shared" si="56"/>
        <v>53</v>
      </c>
      <c r="D504" s="348">
        <f>ADSI!$K$12</f>
        <v>2021</v>
      </c>
      <c r="E504" s="346">
        <f t="shared" si="57"/>
        <v>1</v>
      </c>
      <c r="F504" s="346">
        <f t="shared" ref="F504:M504" si="60">F11</f>
        <v>0</v>
      </c>
      <c r="G504" s="346">
        <f t="shared" si="60"/>
        <v>0</v>
      </c>
      <c r="H504" s="346">
        <f t="shared" si="60"/>
        <v>0</v>
      </c>
      <c r="I504" s="346">
        <f t="shared" si="60"/>
        <v>0</v>
      </c>
      <c r="J504" s="346">
        <f t="shared" si="60"/>
        <v>1</v>
      </c>
      <c r="K504" s="346">
        <f t="shared" si="60"/>
        <v>0</v>
      </c>
      <c r="L504" s="346">
        <f t="shared" si="60"/>
        <v>0</v>
      </c>
      <c r="M504" s="346">
        <f t="shared" si="60"/>
        <v>1</v>
      </c>
    </row>
    <row r="505" spans="1:13" x14ac:dyDescent="0.25">
      <c r="A505" s="348">
        <f>IF(ADSI!$G$12="",ADSI!$H$16,ADSI!$H$12)</f>
        <v>6</v>
      </c>
      <c r="B505" s="348" t="str">
        <f ca="1">IF(ADSI!$G$12="",ADSI!$H$16,ADSI!$H$14)</f>
        <v/>
      </c>
      <c r="C505" s="388">
        <f t="shared" si="56"/>
        <v>54</v>
      </c>
      <c r="D505" s="348">
        <f>ADSI!$K$12</f>
        <v>2021</v>
      </c>
      <c r="E505" s="346">
        <f t="shared" si="57"/>
        <v>0</v>
      </c>
      <c r="F505" s="346">
        <f t="shared" ref="F505:M505" si="61">F12</f>
        <v>0</v>
      </c>
      <c r="G505" s="346">
        <f t="shared" si="61"/>
        <v>0</v>
      </c>
      <c r="H505" s="346">
        <f t="shared" si="61"/>
        <v>0</v>
      </c>
      <c r="I505" s="346">
        <f t="shared" si="61"/>
        <v>0</v>
      </c>
      <c r="J505" s="346">
        <f t="shared" si="61"/>
        <v>0</v>
      </c>
      <c r="K505" s="346">
        <f t="shared" si="61"/>
        <v>0</v>
      </c>
      <c r="L505" s="346">
        <f t="shared" si="61"/>
        <v>0</v>
      </c>
      <c r="M505" s="346">
        <f t="shared" si="61"/>
        <v>0</v>
      </c>
    </row>
    <row r="506" spans="1:13" x14ac:dyDescent="0.25">
      <c r="A506" s="348">
        <f>IF(ADSI!$G$12="",ADSI!$H$16,ADSI!$H$12)</f>
        <v>6</v>
      </c>
      <c r="B506" s="348" t="str">
        <f ca="1">IF(ADSI!$G$12="",ADSI!$H$16,ADSI!$H$14)</f>
        <v/>
      </c>
      <c r="C506" s="388">
        <f t="shared" si="56"/>
        <v>55</v>
      </c>
      <c r="D506" s="348">
        <f>ADSI!$K$12</f>
        <v>2021</v>
      </c>
      <c r="E506" s="346">
        <f t="shared" si="57"/>
        <v>0</v>
      </c>
      <c r="F506" s="346">
        <f t="shared" ref="F506:M506" si="62">F13</f>
        <v>0</v>
      </c>
      <c r="G506" s="346">
        <f t="shared" si="62"/>
        <v>0</v>
      </c>
      <c r="H506" s="346">
        <f t="shared" si="62"/>
        <v>0</v>
      </c>
      <c r="I506" s="346">
        <f t="shared" si="62"/>
        <v>0</v>
      </c>
      <c r="J506" s="346">
        <f t="shared" si="62"/>
        <v>0</v>
      </c>
      <c r="K506" s="346">
        <f t="shared" si="62"/>
        <v>0</v>
      </c>
      <c r="L506" s="346">
        <f t="shared" si="62"/>
        <v>0</v>
      </c>
      <c r="M506" s="346">
        <f t="shared" si="62"/>
        <v>0</v>
      </c>
    </row>
    <row r="507" spans="1:13" x14ac:dyDescent="0.25">
      <c r="A507" s="348">
        <f>IF(ADSI!$G$12="",ADSI!$H$16,ADSI!$H$12)</f>
        <v>6</v>
      </c>
      <c r="B507" s="348" t="str">
        <f ca="1">IF(ADSI!$G$12="",ADSI!$H$16,ADSI!$H$14)</f>
        <v/>
      </c>
      <c r="C507" s="388">
        <f t="shared" si="56"/>
        <v>56</v>
      </c>
      <c r="D507" s="348">
        <f>ADSI!$K$12</f>
        <v>2021</v>
      </c>
      <c r="E507" s="346">
        <f t="shared" si="57"/>
        <v>0</v>
      </c>
      <c r="F507" s="346">
        <f t="shared" ref="F507:M507" si="63">F14</f>
        <v>0</v>
      </c>
      <c r="G507" s="346">
        <f t="shared" si="63"/>
        <v>0</v>
      </c>
      <c r="H507" s="346">
        <f t="shared" si="63"/>
        <v>0</v>
      </c>
      <c r="I507" s="346">
        <f t="shared" si="63"/>
        <v>0</v>
      </c>
      <c r="J507" s="346">
        <f t="shared" si="63"/>
        <v>0</v>
      </c>
      <c r="K507" s="346">
        <f t="shared" si="63"/>
        <v>0</v>
      </c>
      <c r="L507" s="346">
        <f t="shared" si="63"/>
        <v>0</v>
      </c>
      <c r="M507" s="346">
        <f t="shared" si="63"/>
        <v>0</v>
      </c>
    </row>
    <row r="508" spans="1:13" x14ac:dyDescent="0.25">
      <c r="A508" s="348">
        <f>IF(ADSI!$G$12="",ADSI!$H$16,ADSI!$H$12)</f>
        <v>6</v>
      </c>
      <c r="B508" s="348" t="str">
        <f ca="1">IF(ADSI!$G$12="",ADSI!$H$16,ADSI!$H$14)</f>
        <v/>
      </c>
      <c r="C508" s="388">
        <f t="shared" si="56"/>
        <v>57</v>
      </c>
      <c r="D508" s="348">
        <f>ADSI!$K$12</f>
        <v>2021</v>
      </c>
      <c r="E508" s="346">
        <f t="shared" si="57"/>
        <v>4</v>
      </c>
      <c r="F508" s="346">
        <f t="shared" ref="F508:M508" si="64">F15</f>
        <v>0</v>
      </c>
      <c r="G508" s="346">
        <f t="shared" si="64"/>
        <v>0</v>
      </c>
      <c r="H508" s="346">
        <f t="shared" si="64"/>
        <v>0</v>
      </c>
      <c r="I508" s="346">
        <f t="shared" si="64"/>
        <v>0</v>
      </c>
      <c r="J508" s="346">
        <f t="shared" si="64"/>
        <v>4</v>
      </c>
      <c r="K508" s="346">
        <f t="shared" si="64"/>
        <v>0</v>
      </c>
      <c r="L508" s="346">
        <f t="shared" si="64"/>
        <v>0</v>
      </c>
      <c r="M508" s="346">
        <f t="shared" si="64"/>
        <v>4</v>
      </c>
    </row>
    <row r="509" spans="1:13" x14ac:dyDescent="0.25">
      <c r="A509" s="348">
        <f>IF(ADSI!$G$12="",ADSI!$H$16,ADSI!$H$12)</f>
        <v>6</v>
      </c>
      <c r="B509" s="348" t="str">
        <f ca="1">IF(ADSI!$G$12="",ADSI!$H$16,ADSI!$H$14)</f>
        <v/>
      </c>
      <c r="C509" s="388">
        <f t="shared" si="56"/>
        <v>58</v>
      </c>
      <c r="D509" s="348">
        <f>ADSI!$K$12</f>
        <v>2021</v>
      </c>
      <c r="E509" s="346">
        <f t="shared" si="57"/>
        <v>114</v>
      </c>
      <c r="F509" s="346">
        <f t="shared" ref="F509:M509" si="65">F16</f>
        <v>0</v>
      </c>
      <c r="G509" s="346">
        <f t="shared" si="65"/>
        <v>0</v>
      </c>
      <c r="H509" s="346">
        <f t="shared" si="65"/>
        <v>0</v>
      </c>
      <c r="I509" s="346">
        <f t="shared" si="65"/>
        <v>0</v>
      </c>
      <c r="J509" s="346">
        <f t="shared" si="65"/>
        <v>104</v>
      </c>
      <c r="K509" s="346">
        <f t="shared" si="65"/>
        <v>11</v>
      </c>
      <c r="L509" s="346">
        <f t="shared" si="65"/>
        <v>0</v>
      </c>
      <c r="M509" s="346">
        <f t="shared" si="65"/>
        <v>115</v>
      </c>
    </row>
    <row r="510" spans="1:13" x14ac:dyDescent="0.25">
      <c r="A510" s="348">
        <f>IF(ADSI!$G$12="",ADSI!$H$16,ADSI!$H$12)</f>
        <v>6</v>
      </c>
      <c r="B510" s="348" t="str">
        <f ca="1">IF(ADSI!$G$12="",ADSI!$H$16,ADSI!$H$14)</f>
        <v/>
      </c>
      <c r="C510" s="388">
        <f t="shared" si="56"/>
        <v>59</v>
      </c>
      <c r="D510" s="348">
        <f>ADSI!$K$12</f>
        <v>2021</v>
      </c>
      <c r="E510" s="346">
        <f t="shared" si="57"/>
        <v>0</v>
      </c>
      <c r="F510" s="346">
        <f t="shared" ref="F510:M510" si="66">F17</f>
        <v>0</v>
      </c>
      <c r="G510" s="346">
        <f t="shared" si="66"/>
        <v>0</v>
      </c>
      <c r="H510" s="346">
        <f t="shared" si="66"/>
        <v>0</v>
      </c>
      <c r="I510" s="346">
        <f t="shared" si="66"/>
        <v>0</v>
      </c>
      <c r="J510" s="346">
        <f t="shared" si="66"/>
        <v>0</v>
      </c>
      <c r="K510" s="346">
        <f t="shared" si="66"/>
        <v>0</v>
      </c>
      <c r="L510" s="346">
        <f t="shared" si="66"/>
        <v>0</v>
      </c>
      <c r="M510" s="346">
        <f t="shared" si="66"/>
        <v>0</v>
      </c>
    </row>
    <row r="511" spans="1:13" x14ac:dyDescent="0.25">
      <c r="A511" s="348">
        <f>IF(ADSI!$G$12="",ADSI!$H$16,ADSI!$H$12)</f>
        <v>6</v>
      </c>
      <c r="B511" s="348" t="str">
        <f ca="1">IF(ADSI!$G$12="",ADSI!$H$16,ADSI!$H$14)</f>
        <v/>
      </c>
      <c r="C511" s="388">
        <f t="shared" si="56"/>
        <v>60</v>
      </c>
      <c r="D511" s="348">
        <f>ADSI!$K$12</f>
        <v>2021</v>
      </c>
      <c r="E511" s="346">
        <f t="shared" si="57"/>
        <v>97</v>
      </c>
      <c r="F511" s="346">
        <f t="shared" ref="F511:M511" si="67">F18</f>
        <v>0</v>
      </c>
      <c r="G511" s="346">
        <f t="shared" si="67"/>
        <v>0</v>
      </c>
      <c r="H511" s="346">
        <f t="shared" si="67"/>
        <v>0</v>
      </c>
      <c r="I511" s="346">
        <f t="shared" si="67"/>
        <v>0</v>
      </c>
      <c r="J511" s="346">
        <f t="shared" si="67"/>
        <v>88</v>
      </c>
      <c r="K511" s="346">
        <f t="shared" si="67"/>
        <v>10</v>
      </c>
      <c r="L511" s="346">
        <f t="shared" si="67"/>
        <v>0</v>
      </c>
      <c r="M511" s="346">
        <f t="shared" si="67"/>
        <v>98</v>
      </c>
    </row>
    <row r="512" spans="1:13" x14ac:dyDescent="0.25">
      <c r="A512" s="348">
        <f>IF(ADSI!$G$12="",ADSI!$H$16,ADSI!$H$12)</f>
        <v>6</v>
      </c>
      <c r="B512" s="348" t="str">
        <f ca="1">IF(ADSI!$G$12="",ADSI!$H$16,ADSI!$H$14)</f>
        <v/>
      </c>
      <c r="C512" s="388">
        <f t="shared" si="56"/>
        <v>61</v>
      </c>
      <c r="D512" s="348">
        <f>ADSI!$K$12</f>
        <v>2021</v>
      </c>
      <c r="E512" s="346">
        <f t="shared" si="57"/>
        <v>17</v>
      </c>
      <c r="F512" s="346">
        <f t="shared" ref="F512:M512" si="68">F19</f>
        <v>0</v>
      </c>
      <c r="G512" s="346">
        <f t="shared" si="68"/>
        <v>0</v>
      </c>
      <c r="H512" s="346">
        <f t="shared" si="68"/>
        <v>0</v>
      </c>
      <c r="I512" s="346">
        <f t="shared" si="68"/>
        <v>0</v>
      </c>
      <c r="J512" s="346">
        <f t="shared" si="68"/>
        <v>16</v>
      </c>
      <c r="K512" s="346">
        <f t="shared" si="68"/>
        <v>1</v>
      </c>
      <c r="L512" s="346">
        <f t="shared" si="68"/>
        <v>0</v>
      </c>
      <c r="M512" s="346">
        <f t="shared" si="68"/>
        <v>17</v>
      </c>
    </row>
    <row r="513" spans="1:13" x14ac:dyDescent="0.25">
      <c r="A513" s="348">
        <f>IF(ADSI!$G$12="",ADSI!$H$16,ADSI!$H$12)</f>
        <v>6</v>
      </c>
      <c r="B513" s="348" t="str">
        <f ca="1">IF(ADSI!$G$12="",ADSI!$H$16,ADSI!$H$14)</f>
        <v/>
      </c>
      <c r="C513" s="388">
        <f t="shared" si="56"/>
        <v>62</v>
      </c>
      <c r="D513" s="348">
        <f>ADSI!$K$12</f>
        <v>2021</v>
      </c>
      <c r="E513" s="346">
        <f t="shared" si="57"/>
        <v>25</v>
      </c>
      <c r="F513" s="346">
        <f t="shared" ref="F513:M513" si="69">F20</f>
        <v>0</v>
      </c>
      <c r="G513" s="346">
        <f t="shared" si="69"/>
        <v>0</v>
      </c>
      <c r="H513" s="346">
        <f t="shared" si="69"/>
        <v>0</v>
      </c>
      <c r="I513" s="346">
        <f t="shared" si="69"/>
        <v>0</v>
      </c>
      <c r="J513" s="346">
        <f t="shared" si="69"/>
        <v>23</v>
      </c>
      <c r="K513" s="346">
        <f t="shared" si="69"/>
        <v>2</v>
      </c>
      <c r="L513" s="346">
        <f t="shared" si="69"/>
        <v>0</v>
      </c>
      <c r="M513" s="346">
        <f t="shared" si="69"/>
        <v>25</v>
      </c>
    </row>
    <row r="514" spans="1:13" x14ac:dyDescent="0.25">
      <c r="A514" s="348">
        <f>IF(ADSI!$G$12="",ADSI!$H$16,ADSI!$H$12)</f>
        <v>6</v>
      </c>
      <c r="B514" s="348" t="str">
        <f ca="1">IF(ADSI!$G$12="",ADSI!$H$16,ADSI!$H$14)</f>
        <v/>
      </c>
      <c r="C514" s="388">
        <f t="shared" si="56"/>
        <v>63</v>
      </c>
      <c r="D514" s="348">
        <f>ADSI!$K$12</f>
        <v>2021</v>
      </c>
      <c r="E514" s="346">
        <f t="shared" si="57"/>
        <v>1</v>
      </c>
      <c r="F514" s="346">
        <f t="shared" ref="F514:M514" si="70">F21</f>
        <v>0</v>
      </c>
      <c r="G514" s="346">
        <f t="shared" si="70"/>
        <v>0</v>
      </c>
      <c r="H514" s="346">
        <f t="shared" si="70"/>
        <v>0</v>
      </c>
      <c r="I514" s="346">
        <f t="shared" si="70"/>
        <v>0</v>
      </c>
      <c r="J514" s="346">
        <f t="shared" si="70"/>
        <v>1</v>
      </c>
      <c r="K514" s="346">
        <f t="shared" si="70"/>
        <v>0</v>
      </c>
      <c r="L514" s="346">
        <f t="shared" si="70"/>
        <v>0</v>
      </c>
      <c r="M514" s="346">
        <f t="shared" si="70"/>
        <v>1</v>
      </c>
    </row>
    <row r="515" spans="1:13" x14ac:dyDescent="0.25">
      <c r="A515" s="348">
        <f>IF(ADSI!$G$12="",ADSI!$H$16,ADSI!$H$12)</f>
        <v>6</v>
      </c>
      <c r="B515" s="348" t="str">
        <f ca="1">IF(ADSI!$G$12="",ADSI!$H$16,ADSI!$H$14)</f>
        <v/>
      </c>
      <c r="C515" s="388">
        <f t="shared" si="56"/>
        <v>64</v>
      </c>
      <c r="D515" s="348">
        <f>ADSI!$K$12</f>
        <v>2021</v>
      </c>
      <c r="E515" s="346">
        <f t="shared" si="57"/>
        <v>0</v>
      </c>
      <c r="F515" s="346">
        <f t="shared" ref="F515:M515" si="71">F22</f>
        <v>0</v>
      </c>
      <c r="G515" s="346">
        <f t="shared" si="71"/>
        <v>0</v>
      </c>
      <c r="H515" s="346">
        <f t="shared" si="71"/>
        <v>0</v>
      </c>
      <c r="I515" s="346">
        <f t="shared" si="71"/>
        <v>0</v>
      </c>
      <c r="J515" s="346">
        <f t="shared" si="71"/>
        <v>0</v>
      </c>
      <c r="K515" s="346">
        <f t="shared" si="71"/>
        <v>0</v>
      </c>
      <c r="L515" s="346">
        <f t="shared" si="71"/>
        <v>0</v>
      </c>
      <c r="M515" s="346">
        <f t="shared" si="71"/>
        <v>0</v>
      </c>
    </row>
    <row r="516" spans="1:13" x14ac:dyDescent="0.25">
      <c r="A516" s="348">
        <f>IF(ADSI!$G$12="",ADSI!$H$16,ADSI!$H$12)</f>
        <v>6</v>
      </c>
      <c r="B516" s="348" t="str">
        <f ca="1">IF(ADSI!$G$12="",ADSI!$H$16,ADSI!$H$14)</f>
        <v/>
      </c>
      <c r="C516" s="388">
        <f t="shared" si="56"/>
        <v>65</v>
      </c>
      <c r="D516" s="348">
        <f>ADSI!$K$12</f>
        <v>2021</v>
      </c>
      <c r="E516" s="346">
        <f t="shared" si="57"/>
        <v>1</v>
      </c>
      <c r="F516" s="346">
        <f t="shared" ref="F516:M516" si="72">F23</f>
        <v>0</v>
      </c>
      <c r="G516" s="346">
        <f t="shared" si="72"/>
        <v>0</v>
      </c>
      <c r="H516" s="346">
        <f t="shared" si="72"/>
        <v>0</v>
      </c>
      <c r="I516" s="346">
        <f t="shared" si="72"/>
        <v>0</v>
      </c>
      <c r="J516" s="346">
        <f t="shared" si="72"/>
        <v>1</v>
      </c>
      <c r="K516" s="346">
        <f t="shared" si="72"/>
        <v>0</v>
      </c>
      <c r="L516" s="346">
        <f t="shared" si="72"/>
        <v>0</v>
      </c>
      <c r="M516" s="346">
        <f t="shared" si="72"/>
        <v>1</v>
      </c>
    </row>
    <row r="517" spans="1:13" x14ac:dyDescent="0.25">
      <c r="A517" s="348">
        <f>IF(ADSI!$G$12="",ADSI!$H$16,ADSI!$H$12)</f>
        <v>6</v>
      </c>
      <c r="B517" s="348" t="str">
        <f ca="1">IF(ADSI!$G$12="",ADSI!$H$16,ADSI!$H$14)</f>
        <v/>
      </c>
      <c r="C517" s="388">
        <f t="shared" si="56"/>
        <v>66</v>
      </c>
      <c r="D517" s="348">
        <f>ADSI!$K$12</f>
        <v>2021</v>
      </c>
      <c r="E517" s="346">
        <f t="shared" si="57"/>
        <v>0</v>
      </c>
      <c r="F517" s="346">
        <f t="shared" ref="F517:M517" si="73">F24</f>
        <v>0</v>
      </c>
      <c r="G517" s="346">
        <f t="shared" si="73"/>
        <v>0</v>
      </c>
      <c r="H517" s="346">
        <f t="shared" si="73"/>
        <v>0</v>
      </c>
      <c r="I517" s="346">
        <f t="shared" si="73"/>
        <v>0</v>
      </c>
      <c r="J517" s="346">
        <f t="shared" si="73"/>
        <v>0</v>
      </c>
      <c r="K517" s="346">
        <f t="shared" si="73"/>
        <v>0</v>
      </c>
      <c r="L517" s="346">
        <f t="shared" si="73"/>
        <v>0</v>
      </c>
      <c r="M517" s="346">
        <f t="shared" si="73"/>
        <v>0</v>
      </c>
    </row>
    <row r="518" spans="1:13" x14ac:dyDescent="0.25">
      <c r="A518" s="348">
        <f>IF(ADSI!$G$12="",ADSI!$H$16,ADSI!$H$12)</f>
        <v>6</v>
      </c>
      <c r="B518" s="348" t="str">
        <f ca="1">IF(ADSI!$G$12="",ADSI!$H$16,ADSI!$H$14)</f>
        <v/>
      </c>
      <c r="C518" s="388">
        <f t="shared" si="56"/>
        <v>67</v>
      </c>
      <c r="D518" s="348">
        <f>ADSI!$K$12</f>
        <v>2021</v>
      </c>
      <c r="E518" s="346">
        <f t="shared" si="57"/>
        <v>0</v>
      </c>
      <c r="F518" s="346">
        <f t="shared" ref="F518:M518" si="74">F25</f>
        <v>0</v>
      </c>
      <c r="G518" s="346">
        <f t="shared" si="74"/>
        <v>0</v>
      </c>
      <c r="H518" s="346">
        <f t="shared" si="74"/>
        <v>0</v>
      </c>
      <c r="I518" s="346">
        <f t="shared" si="74"/>
        <v>0</v>
      </c>
      <c r="J518" s="346">
        <f t="shared" si="74"/>
        <v>0</v>
      </c>
      <c r="K518" s="346">
        <f t="shared" si="74"/>
        <v>0</v>
      </c>
      <c r="L518" s="346">
        <f t="shared" si="74"/>
        <v>0</v>
      </c>
      <c r="M518" s="346">
        <f t="shared" si="74"/>
        <v>0</v>
      </c>
    </row>
    <row r="519" spans="1:13" x14ac:dyDescent="0.25">
      <c r="A519" s="348">
        <f>IF(ADSI!$G$12="",ADSI!$H$16,ADSI!$H$12)</f>
        <v>6</v>
      </c>
      <c r="B519" s="348" t="str">
        <f ca="1">IF(ADSI!$G$12="",ADSI!$H$16,ADSI!$H$14)</f>
        <v/>
      </c>
      <c r="C519" s="388">
        <f t="shared" si="56"/>
        <v>68</v>
      </c>
      <c r="D519" s="348">
        <f>ADSI!$K$12</f>
        <v>2021</v>
      </c>
      <c r="E519" s="346">
        <f t="shared" si="57"/>
        <v>101</v>
      </c>
      <c r="F519" s="346">
        <f t="shared" ref="F519:M519" si="75">F26</f>
        <v>0</v>
      </c>
      <c r="G519" s="346">
        <f t="shared" si="75"/>
        <v>0</v>
      </c>
      <c r="H519" s="346">
        <f t="shared" si="75"/>
        <v>0</v>
      </c>
      <c r="I519" s="346">
        <f t="shared" si="75"/>
        <v>0</v>
      </c>
      <c r="J519" s="346">
        <f t="shared" si="75"/>
        <v>93</v>
      </c>
      <c r="K519" s="346">
        <f t="shared" si="75"/>
        <v>9</v>
      </c>
      <c r="L519" s="346">
        <f t="shared" si="75"/>
        <v>0</v>
      </c>
      <c r="M519" s="346">
        <f t="shared" si="75"/>
        <v>102</v>
      </c>
    </row>
    <row r="520" spans="1:13" x14ac:dyDescent="0.25">
      <c r="A520" s="348">
        <f>IF(ADSI!$G$12="",ADSI!$H$16,ADSI!$H$12)</f>
        <v>6</v>
      </c>
      <c r="B520" s="348" t="str">
        <f ca="1">IF(ADSI!$G$12="",ADSI!$H$16,ADSI!$H$14)</f>
        <v/>
      </c>
      <c r="C520" s="388">
        <f t="shared" si="56"/>
        <v>69</v>
      </c>
      <c r="D520" s="348">
        <f>ADSI!$K$12</f>
        <v>2021</v>
      </c>
      <c r="E520" s="346">
        <f t="shared" si="57"/>
        <v>77</v>
      </c>
      <c r="F520" s="346">
        <f t="shared" ref="F520:M520" si="76">F27</f>
        <v>0</v>
      </c>
      <c r="G520" s="346">
        <f t="shared" si="76"/>
        <v>0</v>
      </c>
      <c r="H520" s="346">
        <f t="shared" si="76"/>
        <v>0</v>
      </c>
      <c r="I520" s="346">
        <f t="shared" si="76"/>
        <v>0</v>
      </c>
      <c r="J520" s="346">
        <f t="shared" si="76"/>
        <v>72</v>
      </c>
      <c r="K520" s="346">
        <f t="shared" si="76"/>
        <v>5</v>
      </c>
      <c r="L520" s="346">
        <f t="shared" si="76"/>
        <v>0</v>
      </c>
      <c r="M520" s="346">
        <f t="shared" si="76"/>
        <v>77</v>
      </c>
    </row>
    <row r="521" spans="1:13" x14ac:dyDescent="0.25">
      <c r="A521" s="348">
        <f>IF(ADSI!$G$12="",ADSI!$H$16,ADSI!$H$12)</f>
        <v>6</v>
      </c>
      <c r="B521" s="348" t="str">
        <f ca="1">IF(ADSI!$G$12="",ADSI!$H$16,ADSI!$H$14)</f>
        <v/>
      </c>
      <c r="C521" s="388">
        <f t="shared" si="56"/>
        <v>70</v>
      </c>
      <c r="D521" s="348">
        <f>ADSI!$K$12</f>
        <v>2021</v>
      </c>
      <c r="E521" s="346">
        <f t="shared" si="57"/>
        <v>7</v>
      </c>
      <c r="F521" s="346">
        <f t="shared" ref="F521:M521" si="77">F28</f>
        <v>0</v>
      </c>
      <c r="G521" s="346">
        <f t="shared" si="77"/>
        <v>0</v>
      </c>
      <c r="H521" s="346">
        <f t="shared" si="77"/>
        <v>0</v>
      </c>
      <c r="I521" s="346">
        <f t="shared" si="77"/>
        <v>0</v>
      </c>
      <c r="J521" s="346">
        <f t="shared" si="77"/>
        <v>7</v>
      </c>
      <c r="K521" s="346">
        <f t="shared" si="77"/>
        <v>1</v>
      </c>
      <c r="L521" s="346">
        <f t="shared" si="77"/>
        <v>0</v>
      </c>
      <c r="M521" s="346">
        <f t="shared" si="77"/>
        <v>8</v>
      </c>
    </row>
    <row r="522" spans="1:13" x14ac:dyDescent="0.25">
      <c r="A522" s="348">
        <f>IF(ADSI!$G$12="",ADSI!$H$16,ADSI!$H$12)</f>
        <v>6</v>
      </c>
      <c r="B522" s="348" t="str">
        <f ca="1">IF(ADSI!$G$12="",ADSI!$H$16,ADSI!$H$14)</f>
        <v/>
      </c>
      <c r="C522" s="388">
        <f t="shared" si="56"/>
        <v>71</v>
      </c>
      <c r="D522" s="348">
        <f>ADSI!$K$12</f>
        <v>2021</v>
      </c>
      <c r="E522" s="346">
        <f t="shared" si="57"/>
        <v>1</v>
      </c>
      <c r="F522" s="346">
        <f t="shared" ref="F522:M522" si="78">F29</f>
        <v>0</v>
      </c>
      <c r="G522" s="346">
        <f t="shared" si="78"/>
        <v>0</v>
      </c>
      <c r="H522" s="346">
        <f t="shared" si="78"/>
        <v>0</v>
      </c>
      <c r="I522" s="346">
        <f t="shared" si="78"/>
        <v>0</v>
      </c>
      <c r="J522" s="346">
        <f t="shared" si="78"/>
        <v>1</v>
      </c>
      <c r="K522" s="346">
        <f t="shared" si="78"/>
        <v>0</v>
      </c>
      <c r="L522" s="346">
        <f t="shared" si="78"/>
        <v>0</v>
      </c>
      <c r="M522" s="346">
        <f t="shared" si="78"/>
        <v>1</v>
      </c>
    </row>
    <row r="523" spans="1:13" x14ac:dyDescent="0.25">
      <c r="A523" s="348">
        <f>IF(ADSI!$G$12="",ADSI!$H$16,ADSI!$H$12)</f>
        <v>6</v>
      </c>
      <c r="B523" s="348" t="str">
        <f ca="1">IF(ADSI!$G$12="",ADSI!$H$16,ADSI!$H$14)</f>
        <v/>
      </c>
      <c r="C523" s="388">
        <f t="shared" si="56"/>
        <v>72</v>
      </c>
      <c r="D523" s="348">
        <f>ADSI!$K$12</f>
        <v>2021</v>
      </c>
      <c r="E523" s="346">
        <f t="shared" si="57"/>
        <v>0</v>
      </c>
      <c r="F523" s="346">
        <f t="shared" ref="F523:M523" si="79">F30</f>
        <v>0</v>
      </c>
      <c r="G523" s="346">
        <f t="shared" si="79"/>
        <v>0</v>
      </c>
      <c r="H523" s="346">
        <f t="shared" si="79"/>
        <v>0</v>
      </c>
      <c r="I523" s="346">
        <f t="shared" si="79"/>
        <v>0</v>
      </c>
      <c r="J523" s="346">
        <f t="shared" si="79"/>
        <v>0</v>
      </c>
      <c r="K523" s="346">
        <f t="shared" si="79"/>
        <v>0</v>
      </c>
      <c r="L523" s="346">
        <f t="shared" si="79"/>
        <v>0</v>
      </c>
      <c r="M523" s="346">
        <f t="shared" si="79"/>
        <v>0</v>
      </c>
    </row>
    <row r="524" spans="1:13" x14ac:dyDescent="0.25">
      <c r="A524" s="348">
        <f>IF(ADSI!$G$12="",ADSI!$H$16,ADSI!$H$12)</f>
        <v>6</v>
      </c>
      <c r="B524" s="348" t="str">
        <f ca="1">IF(ADSI!$G$12="",ADSI!$H$16,ADSI!$H$14)</f>
        <v/>
      </c>
      <c r="C524" s="388">
        <f t="shared" si="56"/>
        <v>73</v>
      </c>
      <c r="D524" s="348">
        <f>ADSI!$K$12</f>
        <v>2021</v>
      </c>
      <c r="E524" s="346">
        <f t="shared" si="57"/>
        <v>0</v>
      </c>
      <c r="F524" s="346">
        <f t="shared" ref="F524:M524" si="80">F31</f>
        <v>0</v>
      </c>
      <c r="G524" s="346">
        <f t="shared" si="80"/>
        <v>0</v>
      </c>
      <c r="H524" s="346">
        <f t="shared" si="80"/>
        <v>0</v>
      </c>
      <c r="I524" s="346">
        <f t="shared" si="80"/>
        <v>0</v>
      </c>
      <c r="J524" s="346">
        <f t="shared" si="80"/>
        <v>0</v>
      </c>
      <c r="K524" s="346">
        <f t="shared" si="80"/>
        <v>0</v>
      </c>
      <c r="L524" s="346">
        <f t="shared" si="80"/>
        <v>0</v>
      </c>
      <c r="M524" s="346">
        <f t="shared" si="80"/>
        <v>0</v>
      </c>
    </row>
    <row r="525" spans="1:13" x14ac:dyDescent="0.25">
      <c r="A525" s="348">
        <f>IF(ADSI!$G$12="",ADSI!$H$16,ADSI!$H$12)</f>
        <v>6</v>
      </c>
      <c r="B525" s="348" t="str">
        <f ca="1">IF(ADSI!$G$12="",ADSI!$H$16,ADSI!$H$14)</f>
        <v/>
      </c>
      <c r="C525" s="388">
        <f t="shared" si="56"/>
        <v>74</v>
      </c>
      <c r="D525" s="348">
        <f>ADSI!$K$12</f>
        <v>2021</v>
      </c>
      <c r="E525" s="346">
        <f t="shared" si="57"/>
        <v>16</v>
      </c>
      <c r="F525" s="346">
        <f t="shared" ref="F525:M525" si="81">F32</f>
        <v>0</v>
      </c>
      <c r="G525" s="346">
        <f t="shared" si="81"/>
        <v>0</v>
      </c>
      <c r="H525" s="346">
        <f t="shared" si="81"/>
        <v>0</v>
      </c>
      <c r="I525" s="346">
        <f t="shared" si="81"/>
        <v>0</v>
      </c>
      <c r="J525" s="346">
        <f t="shared" si="81"/>
        <v>13</v>
      </c>
      <c r="K525" s="346">
        <f t="shared" si="81"/>
        <v>3</v>
      </c>
      <c r="L525" s="346">
        <f t="shared" si="81"/>
        <v>0</v>
      </c>
      <c r="M525" s="346">
        <f t="shared" si="81"/>
        <v>16</v>
      </c>
    </row>
    <row r="526" spans="1:13" x14ac:dyDescent="0.25">
      <c r="A526" s="348">
        <f>IF(ADSI!$G$12="",ADSI!$H$16,ADSI!$H$12)</f>
        <v>6</v>
      </c>
      <c r="B526" s="348" t="str">
        <f ca="1">IF(ADSI!$G$12="",ADSI!$H$16,ADSI!$H$14)</f>
        <v/>
      </c>
      <c r="C526" s="388">
        <f t="shared" si="56"/>
        <v>75</v>
      </c>
      <c r="D526" s="348">
        <f>ADSI!$K$12</f>
        <v>2021</v>
      </c>
      <c r="E526" s="346">
        <f t="shared" si="57"/>
        <v>3</v>
      </c>
      <c r="F526" s="346">
        <f t="shared" ref="F526:M526" si="82">F33</f>
        <v>0</v>
      </c>
      <c r="G526" s="346">
        <f t="shared" si="82"/>
        <v>0</v>
      </c>
      <c r="H526" s="346">
        <f t="shared" si="82"/>
        <v>0</v>
      </c>
      <c r="I526" s="346">
        <f t="shared" si="82"/>
        <v>0</v>
      </c>
      <c r="J526" s="346">
        <f t="shared" si="82"/>
        <v>3</v>
      </c>
      <c r="K526" s="346">
        <f t="shared" si="82"/>
        <v>0</v>
      </c>
      <c r="L526" s="346">
        <f t="shared" si="82"/>
        <v>0</v>
      </c>
      <c r="M526" s="346">
        <f t="shared" si="82"/>
        <v>3</v>
      </c>
    </row>
    <row r="527" spans="1:13" x14ac:dyDescent="0.25">
      <c r="A527" s="348">
        <f>IF(ADSI!$G$12="",ADSI!$H$16,ADSI!$H$12)</f>
        <v>6</v>
      </c>
      <c r="B527" s="348" t="str">
        <f ca="1">IF(ADSI!$G$12="",ADSI!$H$16,ADSI!$H$14)</f>
        <v/>
      </c>
      <c r="C527" s="388">
        <f t="shared" si="56"/>
        <v>76</v>
      </c>
      <c r="D527" s="348">
        <f>ADSI!$K$12</f>
        <v>2021</v>
      </c>
      <c r="E527" s="346">
        <f t="shared" si="57"/>
        <v>45</v>
      </c>
      <c r="F527" s="346">
        <f t="shared" ref="F527:M527" si="83">F34</f>
        <v>1</v>
      </c>
      <c r="G527" s="346">
        <f t="shared" si="83"/>
        <v>0</v>
      </c>
      <c r="H527" s="346">
        <f t="shared" si="83"/>
        <v>0</v>
      </c>
      <c r="I527" s="346">
        <f t="shared" si="83"/>
        <v>1</v>
      </c>
      <c r="J527" s="346">
        <f t="shared" si="83"/>
        <v>3</v>
      </c>
      <c r="K527" s="346">
        <f t="shared" si="83"/>
        <v>6</v>
      </c>
      <c r="L527" s="346">
        <f t="shared" si="83"/>
        <v>0</v>
      </c>
      <c r="M527" s="346">
        <f t="shared" si="83"/>
        <v>9</v>
      </c>
    </row>
    <row r="528" spans="1:13" x14ac:dyDescent="0.25">
      <c r="A528" s="348">
        <f>IF(ADSI!$G$12="",ADSI!$H$16,ADSI!$H$12)</f>
        <v>6</v>
      </c>
      <c r="B528" s="348" t="str">
        <f ca="1">IF(ADSI!$G$12="",ADSI!$H$16,ADSI!$H$14)</f>
        <v/>
      </c>
      <c r="C528" s="388">
        <f t="shared" si="56"/>
        <v>77</v>
      </c>
      <c r="D528" s="348">
        <f>ADSI!$K$12</f>
        <v>2021</v>
      </c>
      <c r="E528" s="346">
        <f t="shared" si="57"/>
        <v>16</v>
      </c>
      <c r="F528" s="346">
        <f t="shared" ref="F528:M528" si="84">F35</f>
        <v>0</v>
      </c>
      <c r="G528" s="346">
        <f t="shared" si="84"/>
        <v>0</v>
      </c>
      <c r="H528" s="346">
        <f t="shared" si="84"/>
        <v>0</v>
      </c>
      <c r="I528" s="346">
        <f t="shared" si="84"/>
        <v>0</v>
      </c>
      <c r="J528" s="346">
        <f t="shared" si="84"/>
        <v>1</v>
      </c>
      <c r="K528" s="346">
        <f t="shared" si="84"/>
        <v>0</v>
      </c>
      <c r="L528" s="346">
        <f t="shared" si="84"/>
        <v>0</v>
      </c>
      <c r="M528" s="346">
        <f t="shared" si="84"/>
        <v>1</v>
      </c>
    </row>
    <row r="529" spans="1:13" x14ac:dyDescent="0.25">
      <c r="A529" s="348">
        <f>IF(ADSI!$G$12="",ADSI!$H$16,ADSI!$H$12)</f>
        <v>6</v>
      </c>
      <c r="B529" s="348" t="str">
        <f ca="1">IF(ADSI!$G$12="",ADSI!$H$16,ADSI!$H$14)</f>
        <v/>
      </c>
      <c r="C529" s="388">
        <f t="shared" si="56"/>
        <v>78</v>
      </c>
      <c r="D529" s="348">
        <f>ADSI!$K$12</f>
        <v>2021</v>
      </c>
      <c r="E529" s="346">
        <f t="shared" si="57"/>
        <v>0</v>
      </c>
      <c r="F529" s="346">
        <f t="shared" ref="F529:M529" si="85">F36</f>
        <v>0</v>
      </c>
      <c r="G529" s="346">
        <f t="shared" si="85"/>
        <v>0</v>
      </c>
      <c r="H529" s="346">
        <f t="shared" si="85"/>
        <v>0</v>
      </c>
      <c r="I529" s="346">
        <f t="shared" si="85"/>
        <v>0</v>
      </c>
      <c r="J529" s="346">
        <f t="shared" si="85"/>
        <v>0</v>
      </c>
      <c r="K529" s="346">
        <f t="shared" si="85"/>
        <v>0</v>
      </c>
      <c r="L529" s="346">
        <f t="shared" si="85"/>
        <v>0</v>
      </c>
      <c r="M529" s="346">
        <f t="shared" si="85"/>
        <v>0</v>
      </c>
    </row>
    <row r="530" spans="1:13" x14ac:dyDescent="0.25">
      <c r="A530" s="348">
        <f>IF(ADSI!$G$12="",ADSI!$H$16,ADSI!$H$12)</f>
        <v>6</v>
      </c>
      <c r="B530" s="348" t="str">
        <f ca="1">IF(ADSI!$G$12="",ADSI!$H$16,ADSI!$H$14)</f>
        <v/>
      </c>
      <c r="C530" s="388">
        <f t="shared" si="56"/>
        <v>79</v>
      </c>
      <c r="D530" s="348">
        <f>ADSI!$K$12</f>
        <v>2021</v>
      </c>
      <c r="E530" s="346">
        <f t="shared" si="57"/>
        <v>1</v>
      </c>
      <c r="F530" s="346">
        <f t="shared" ref="F530:M530" si="86">F37</f>
        <v>0</v>
      </c>
      <c r="G530" s="346">
        <f t="shared" si="86"/>
        <v>0</v>
      </c>
      <c r="H530" s="346">
        <f t="shared" si="86"/>
        <v>0</v>
      </c>
      <c r="I530" s="346">
        <f t="shared" si="86"/>
        <v>0</v>
      </c>
      <c r="J530" s="346">
        <f t="shared" si="86"/>
        <v>0</v>
      </c>
      <c r="K530" s="346">
        <f t="shared" si="86"/>
        <v>1</v>
      </c>
      <c r="L530" s="346">
        <f t="shared" si="86"/>
        <v>0</v>
      </c>
      <c r="M530" s="346">
        <f t="shared" si="86"/>
        <v>1</v>
      </c>
    </row>
    <row r="531" spans="1:13" x14ac:dyDescent="0.25">
      <c r="A531" s="348">
        <f>IF(ADSI!$G$12="",ADSI!$H$16,ADSI!$H$12)</f>
        <v>6</v>
      </c>
      <c r="B531" s="348" t="str">
        <f ca="1">IF(ADSI!$G$12="",ADSI!$H$16,ADSI!$H$14)</f>
        <v/>
      </c>
      <c r="C531" s="388">
        <f t="shared" si="56"/>
        <v>80</v>
      </c>
      <c r="D531" s="348">
        <f>ADSI!$K$12</f>
        <v>2021</v>
      </c>
      <c r="E531" s="346">
        <f t="shared" si="57"/>
        <v>5</v>
      </c>
      <c r="F531" s="346">
        <f t="shared" ref="F531:M531" si="87">F38</f>
        <v>0</v>
      </c>
      <c r="G531" s="346">
        <f t="shared" si="87"/>
        <v>0</v>
      </c>
      <c r="H531" s="346">
        <f t="shared" si="87"/>
        <v>0</v>
      </c>
      <c r="I531" s="346">
        <f t="shared" si="87"/>
        <v>0</v>
      </c>
      <c r="J531" s="346">
        <f t="shared" si="87"/>
        <v>2</v>
      </c>
      <c r="K531" s="346">
        <f t="shared" si="87"/>
        <v>1</v>
      </c>
      <c r="L531" s="346">
        <f t="shared" si="87"/>
        <v>0</v>
      </c>
      <c r="M531" s="346">
        <f t="shared" si="87"/>
        <v>3</v>
      </c>
    </row>
    <row r="532" spans="1:13" x14ac:dyDescent="0.25">
      <c r="A532" s="348">
        <f>IF(ADSI!$G$12="",ADSI!$H$16,ADSI!$H$12)</f>
        <v>6</v>
      </c>
      <c r="B532" s="348" t="str">
        <f ca="1">IF(ADSI!$G$12="",ADSI!$H$16,ADSI!$H$14)</f>
        <v/>
      </c>
      <c r="C532" s="388">
        <f t="shared" si="56"/>
        <v>81</v>
      </c>
      <c r="D532" s="348">
        <f>ADSI!$K$12</f>
        <v>2021</v>
      </c>
      <c r="E532" s="346">
        <f t="shared" si="57"/>
        <v>23</v>
      </c>
      <c r="F532" s="346">
        <f t="shared" ref="F532:M532" si="88">F39</f>
        <v>1</v>
      </c>
      <c r="G532" s="346">
        <f t="shared" si="88"/>
        <v>0</v>
      </c>
      <c r="H532" s="346">
        <f t="shared" si="88"/>
        <v>0</v>
      </c>
      <c r="I532" s="346">
        <f t="shared" si="88"/>
        <v>1</v>
      </c>
      <c r="J532" s="346">
        <f t="shared" si="88"/>
        <v>0</v>
      </c>
      <c r="K532" s="346">
        <f t="shared" si="88"/>
        <v>4</v>
      </c>
      <c r="L532" s="346">
        <f t="shared" si="88"/>
        <v>0</v>
      </c>
      <c r="M532" s="346">
        <f t="shared" si="88"/>
        <v>4</v>
      </c>
    </row>
    <row r="533" spans="1:13" x14ac:dyDescent="0.25">
      <c r="A533" s="348">
        <f>IF(ADSI!$G$12="",ADSI!$H$16,ADSI!$H$12)</f>
        <v>6</v>
      </c>
      <c r="B533" s="348" t="str">
        <f ca="1">IF(ADSI!$G$12="",ADSI!$H$16,ADSI!$H$14)</f>
        <v/>
      </c>
      <c r="C533" s="388">
        <f t="shared" si="56"/>
        <v>82</v>
      </c>
      <c r="D533" s="348">
        <f>ADSI!$K$12</f>
        <v>2021</v>
      </c>
      <c r="E533" s="346">
        <f t="shared" si="57"/>
        <v>3</v>
      </c>
      <c r="F533" s="346">
        <f t="shared" ref="F533:M533" si="89">F40</f>
        <v>1</v>
      </c>
      <c r="G533" s="346">
        <f t="shared" si="89"/>
        <v>1</v>
      </c>
      <c r="H533" s="346">
        <f t="shared" si="89"/>
        <v>0</v>
      </c>
      <c r="I533" s="346">
        <f t="shared" si="89"/>
        <v>2</v>
      </c>
      <c r="J533" s="346">
        <f t="shared" si="89"/>
        <v>1</v>
      </c>
      <c r="K533" s="346">
        <f t="shared" si="89"/>
        <v>0</v>
      </c>
      <c r="L533" s="346">
        <f t="shared" si="89"/>
        <v>0</v>
      </c>
      <c r="M533" s="346">
        <f t="shared" si="89"/>
        <v>1</v>
      </c>
    </row>
    <row r="534" spans="1:13" x14ac:dyDescent="0.25">
      <c r="A534" s="348">
        <f>IF(ADSI!$G$12="",ADSI!$H$16,ADSI!$H$12)</f>
        <v>6</v>
      </c>
      <c r="B534" s="348" t="str">
        <f ca="1">IF(ADSI!$G$12="",ADSI!$H$16,ADSI!$H$14)</f>
        <v/>
      </c>
      <c r="C534" s="388">
        <f t="shared" si="56"/>
        <v>83</v>
      </c>
      <c r="D534" s="348">
        <f>ADSI!$K$12</f>
        <v>2021</v>
      </c>
      <c r="E534" s="346">
        <f t="shared" si="57"/>
        <v>0</v>
      </c>
      <c r="F534" s="346">
        <f t="shared" ref="F534:M534" si="90">F41</f>
        <v>0</v>
      </c>
      <c r="G534" s="346">
        <f t="shared" si="90"/>
        <v>0</v>
      </c>
      <c r="H534" s="346">
        <f t="shared" si="90"/>
        <v>0</v>
      </c>
      <c r="I534" s="346">
        <f t="shared" si="90"/>
        <v>0</v>
      </c>
      <c r="J534" s="346">
        <f t="shared" si="90"/>
        <v>0</v>
      </c>
      <c r="K534" s="346">
        <f t="shared" si="90"/>
        <v>0</v>
      </c>
      <c r="L534" s="346">
        <f t="shared" si="90"/>
        <v>0</v>
      </c>
      <c r="M534" s="346">
        <f t="shared" si="90"/>
        <v>0</v>
      </c>
    </row>
    <row r="535" spans="1:13" x14ac:dyDescent="0.25">
      <c r="A535" s="348">
        <f>IF(ADSI!$G$12="",ADSI!$H$16,ADSI!$H$12)</f>
        <v>6</v>
      </c>
      <c r="B535" s="348" t="str">
        <f ca="1">IF(ADSI!$G$12="",ADSI!$H$16,ADSI!$H$14)</f>
        <v/>
      </c>
      <c r="C535" s="388">
        <f t="shared" si="56"/>
        <v>84</v>
      </c>
      <c r="D535" s="348">
        <f>ADSI!$K$12</f>
        <v>2021</v>
      </c>
      <c r="E535" s="346">
        <f t="shared" si="57"/>
        <v>2899</v>
      </c>
      <c r="F535" s="346">
        <f t="shared" ref="F535:M535" si="91">F42</f>
        <v>696</v>
      </c>
      <c r="G535" s="346">
        <f t="shared" si="91"/>
        <v>160</v>
      </c>
      <c r="H535" s="346">
        <f t="shared" si="91"/>
        <v>0</v>
      </c>
      <c r="I535" s="346">
        <f t="shared" si="91"/>
        <v>856</v>
      </c>
      <c r="J535" s="346">
        <f t="shared" si="91"/>
        <v>238</v>
      </c>
      <c r="K535" s="346">
        <f t="shared" si="91"/>
        <v>37</v>
      </c>
      <c r="L535" s="346">
        <f t="shared" si="91"/>
        <v>0</v>
      </c>
      <c r="M535" s="346">
        <f t="shared" si="91"/>
        <v>275</v>
      </c>
    </row>
    <row r="536" spans="1:13" x14ac:dyDescent="0.25">
      <c r="A536" s="348">
        <f>IF(ADSI!$G$12="",ADSI!$H$16,ADSI!$H$12)</f>
        <v>6</v>
      </c>
      <c r="B536" s="348" t="str">
        <f ca="1">IF(ADSI!$G$12="",ADSI!$H$16,ADSI!$H$14)</f>
        <v/>
      </c>
      <c r="C536" s="388">
        <f t="shared" si="56"/>
        <v>85</v>
      </c>
      <c r="D536" s="348">
        <f>ADSI!$K$12</f>
        <v>2021</v>
      </c>
      <c r="E536" s="346">
        <f t="shared" si="57"/>
        <v>2850</v>
      </c>
      <c r="F536" s="346">
        <f t="shared" ref="F536:M536" si="92">F43</f>
        <v>696</v>
      </c>
      <c r="G536" s="346">
        <f t="shared" si="92"/>
        <v>160</v>
      </c>
      <c r="H536" s="346">
        <f t="shared" si="92"/>
        <v>0</v>
      </c>
      <c r="I536" s="346">
        <f t="shared" si="92"/>
        <v>856</v>
      </c>
      <c r="J536" s="346">
        <f t="shared" si="92"/>
        <v>193</v>
      </c>
      <c r="K536" s="346">
        <f t="shared" si="92"/>
        <v>33</v>
      </c>
      <c r="L536" s="346">
        <f t="shared" si="92"/>
        <v>0</v>
      </c>
      <c r="M536" s="346">
        <f t="shared" si="92"/>
        <v>226</v>
      </c>
    </row>
    <row r="537" spans="1:13" x14ac:dyDescent="0.25">
      <c r="A537" s="348">
        <f>IF(ADSI!$G$12="",ADSI!$H$16,ADSI!$H$12)</f>
        <v>6</v>
      </c>
      <c r="B537" s="348" t="str">
        <f ca="1">IF(ADSI!$G$12="",ADSI!$H$16,ADSI!$H$14)</f>
        <v/>
      </c>
      <c r="C537" s="388">
        <f>A44</f>
        <v>86</v>
      </c>
      <c r="D537" s="348">
        <f>ADSI!$K$12</f>
        <v>2021</v>
      </c>
      <c r="E537" s="346">
        <f t="shared" si="57"/>
        <v>0</v>
      </c>
      <c r="F537" s="346">
        <f t="shared" ref="F537:M537" si="93">F44</f>
        <v>0</v>
      </c>
      <c r="G537" s="346">
        <f t="shared" si="93"/>
        <v>0</v>
      </c>
      <c r="H537" s="346">
        <f t="shared" si="93"/>
        <v>0</v>
      </c>
      <c r="I537" s="346">
        <f t="shared" si="93"/>
        <v>0</v>
      </c>
      <c r="J537" s="346">
        <f t="shared" si="93"/>
        <v>0</v>
      </c>
      <c r="K537" s="346">
        <f t="shared" si="93"/>
        <v>0</v>
      </c>
      <c r="L537" s="346">
        <f t="shared" si="93"/>
        <v>0</v>
      </c>
      <c r="M537" s="346">
        <f t="shared" si="93"/>
        <v>0</v>
      </c>
    </row>
    <row r="538" spans="1:13" x14ac:dyDescent="0.25">
      <c r="A538" s="348">
        <f>IF(ADSI!$G$12="",ADSI!$H$16,ADSI!$H$12)</f>
        <v>6</v>
      </c>
      <c r="B538" s="348" t="str">
        <f ca="1">IF(ADSI!$G$12="",ADSI!$H$16,ADSI!$H$14)</f>
        <v/>
      </c>
      <c r="C538" s="388">
        <f t="shared" si="56"/>
        <v>87</v>
      </c>
      <c r="D538" s="348">
        <f>ADSI!$K$12</f>
        <v>2021</v>
      </c>
      <c r="E538" s="346">
        <f t="shared" si="57"/>
        <v>2850</v>
      </c>
      <c r="F538" s="346">
        <f t="shared" ref="F538:M538" si="94">F45</f>
        <v>696</v>
      </c>
      <c r="G538" s="346">
        <f t="shared" si="94"/>
        <v>160</v>
      </c>
      <c r="H538" s="346">
        <f t="shared" si="94"/>
        <v>0</v>
      </c>
      <c r="I538" s="346">
        <f t="shared" si="94"/>
        <v>856</v>
      </c>
      <c r="J538" s="346">
        <f t="shared" si="94"/>
        <v>193</v>
      </c>
      <c r="K538" s="346">
        <f t="shared" si="94"/>
        <v>33</v>
      </c>
      <c r="L538" s="346">
        <f t="shared" si="94"/>
        <v>0</v>
      </c>
      <c r="M538" s="346">
        <f t="shared" si="94"/>
        <v>226</v>
      </c>
    </row>
    <row r="539" spans="1:13" x14ac:dyDescent="0.25">
      <c r="A539" s="348">
        <f>IF(ADSI!$G$12="",ADSI!$H$16,ADSI!$H$12)</f>
        <v>6</v>
      </c>
      <c r="B539" s="348" t="str">
        <f ca="1">IF(ADSI!$G$12="",ADSI!$H$16,ADSI!$H$14)</f>
        <v/>
      </c>
      <c r="C539" s="388">
        <f t="shared" si="56"/>
        <v>88</v>
      </c>
      <c r="D539" s="348">
        <f>ADSI!$K$12</f>
        <v>2021</v>
      </c>
      <c r="E539" s="346">
        <f t="shared" si="57"/>
        <v>0</v>
      </c>
      <c r="F539" s="346">
        <f t="shared" ref="F539:M539" si="95">F46</f>
        <v>0</v>
      </c>
      <c r="G539" s="346">
        <f t="shared" si="95"/>
        <v>0</v>
      </c>
      <c r="H539" s="346">
        <f t="shared" si="95"/>
        <v>0</v>
      </c>
      <c r="I539" s="346">
        <f t="shared" si="95"/>
        <v>0</v>
      </c>
      <c r="J539" s="346">
        <f t="shared" si="95"/>
        <v>0</v>
      </c>
      <c r="K539" s="346">
        <f t="shared" si="95"/>
        <v>0</v>
      </c>
      <c r="L539" s="346">
        <f t="shared" si="95"/>
        <v>0</v>
      </c>
      <c r="M539" s="346">
        <f t="shared" si="95"/>
        <v>0</v>
      </c>
    </row>
    <row r="540" spans="1:13" x14ac:dyDescent="0.25">
      <c r="A540" s="348">
        <f>IF(ADSI!$G$12="",ADSI!$H$16,ADSI!$H$12)</f>
        <v>6</v>
      </c>
      <c r="B540" s="348" t="str">
        <f ca="1">IF(ADSI!$G$12="",ADSI!$H$16,ADSI!$H$14)</f>
        <v/>
      </c>
      <c r="C540" s="388">
        <f t="shared" si="56"/>
        <v>89</v>
      </c>
      <c r="D540" s="348">
        <f>ADSI!$K$12</f>
        <v>2021</v>
      </c>
      <c r="E540" s="346">
        <f t="shared" si="57"/>
        <v>49</v>
      </c>
      <c r="F540" s="346">
        <f t="shared" ref="F540:M540" si="96">F47</f>
        <v>0</v>
      </c>
      <c r="G540" s="346">
        <f t="shared" si="96"/>
        <v>0</v>
      </c>
      <c r="H540" s="346">
        <f t="shared" si="96"/>
        <v>0</v>
      </c>
      <c r="I540" s="346">
        <f t="shared" si="96"/>
        <v>0</v>
      </c>
      <c r="J540" s="346">
        <f t="shared" si="96"/>
        <v>45</v>
      </c>
      <c r="K540" s="346">
        <f t="shared" si="96"/>
        <v>4</v>
      </c>
      <c r="L540" s="346">
        <f t="shared" si="96"/>
        <v>0</v>
      </c>
      <c r="M540" s="346">
        <f t="shared" si="96"/>
        <v>49</v>
      </c>
    </row>
    <row r="541" spans="1:13" x14ac:dyDescent="0.25">
      <c r="A541" s="348">
        <f>IF(ADSI!$G$12="",ADSI!$H$16,ADSI!$H$12)</f>
        <v>6</v>
      </c>
      <c r="B541" s="348" t="str">
        <f ca="1">IF(ADSI!$G$12="",ADSI!$H$16,ADSI!$H$14)</f>
        <v/>
      </c>
      <c r="C541" s="388">
        <f t="shared" si="56"/>
        <v>90</v>
      </c>
      <c r="D541" s="348">
        <f>ADSI!$K$12</f>
        <v>2021</v>
      </c>
      <c r="E541" s="346">
        <f t="shared" si="57"/>
        <v>0</v>
      </c>
      <c r="F541" s="346">
        <f t="shared" ref="F541:M541" si="97">F48</f>
        <v>0</v>
      </c>
      <c r="G541" s="346">
        <f t="shared" si="97"/>
        <v>0</v>
      </c>
      <c r="H541" s="346">
        <f t="shared" si="97"/>
        <v>0</v>
      </c>
      <c r="I541" s="346">
        <f t="shared" si="97"/>
        <v>0</v>
      </c>
      <c r="J541" s="346">
        <f t="shared" si="97"/>
        <v>0</v>
      </c>
      <c r="K541" s="346">
        <f t="shared" si="97"/>
        <v>0</v>
      </c>
      <c r="L541" s="346">
        <f t="shared" si="97"/>
        <v>0</v>
      </c>
      <c r="M541" s="346">
        <f t="shared" si="97"/>
        <v>0</v>
      </c>
    </row>
    <row r="542" spans="1:13" x14ac:dyDescent="0.25">
      <c r="A542" s="348">
        <f>IF(ADSI!$G$12="",ADSI!$H$16,ADSI!$H$12)</f>
        <v>6</v>
      </c>
      <c r="B542" s="348" t="str">
        <f ca="1">IF(ADSI!$G$12="",ADSI!$H$16,ADSI!$H$14)</f>
        <v/>
      </c>
      <c r="C542" s="388">
        <f t="shared" si="56"/>
        <v>91</v>
      </c>
      <c r="D542" s="348">
        <f>ADSI!$K$12</f>
        <v>2021</v>
      </c>
      <c r="E542" s="346">
        <f t="shared" si="57"/>
        <v>10</v>
      </c>
      <c r="F542" s="346">
        <f t="shared" ref="F542:M542" si="98">F49</f>
        <v>0</v>
      </c>
      <c r="G542" s="346">
        <f t="shared" si="98"/>
        <v>0</v>
      </c>
      <c r="H542" s="346">
        <f t="shared" si="98"/>
        <v>0</v>
      </c>
      <c r="I542" s="346">
        <f t="shared" si="98"/>
        <v>0</v>
      </c>
      <c r="J542" s="346">
        <f t="shared" si="98"/>
        <v>5</v>
      </c>
      <c r="K542" s="346">
        <f t="shared" si="98"/>
        <v>5</v>
      </c>
      <c r="L542" s="346">
        <f t="shared" si="98"/>
        <v>0</v>
      </c>
      <c r="M542" s="346">
        <f t="shared" si="98"/>
        <v>10</v>
      </c>
    </row>
    <row r="543" spans="1:13" x14ac:dyDescent="0.25">
      <c r="A543" s="348">
        <f>IF(ADSI!$G$12="",ADSI!$H$16,ADSI!$H$12)</f>
        <v>6</v>
      </c>
      <c r="B543" s="348" t="str">
        <f ca="1">IF(ADSI!$G$12="",ADSI!$H$16,ADSI!$H$14)</f>
        <v/>
      </c>
      <c r="C543" s="388">
        <f>A50</f>
        <v>92</v>
      </c>
      <c r="D543" s="348">
        <f>ADSI!$K$12</f>
        <v>2021</v>
      </c>
      <c r="E543" s="346">
        <f t="shared" si="57"/>
        <v>16</v>
      </c>
      <c r="F543" s="346">
        <f t="shared" ref="F543:M543" si="99">F50</f>
        <v>0</v>
      </c>
      <c r="G543" s="346">
        <f t="shared" si="99"/>
        <v>0</v>
      </c>
      <c r="H543" s="346">
        <f t="shared" si="99"/>
        <v>0</v>
      </c>
      <c r="I543" s="346">
        <f t="shared" si="99"/>
        <v>0</v>
      </c>
      <c r="J543" s="346">
        <f t="shared" si="99"/>
        <v>13</v>
      </c>
      <c r="K543" s="346">
        <f t="shared" si="99"/>
        <v>3</v>
      </c>
      <c r="L543" s="346">
        <f t="shared" si="99"/>
        <v>0</v>
      </c>
      <c r="M543" s="346">
        <f t="shared" si="99"/>
        <v>16</v>
      </c>
    </row>
    <row r="544" spans="1:13" x14ac:dyDescent="0.25">
      <c r="A544" s="348">
        <f>IF(ADSI!$G$12="",ADSI!$H$16,ADSI!$H$12)</f>
        <v>6</v>
      </c>
      <c r="B544" s="348" t="str">
        <f ca="1">IF(ADSI!$G$12="",ADSI!$H$16,ADSI!$H$14)</f>
        <v/>
      </c>
      <c r="C544" s="388">
        <f t="shared" si="56"/>
        <v>120</v>
      </c>
      <c r="D544" s="348">
        <f>ADSI!$K$12</f>
        <v>2021</v>
      </c>
      <c r="E544" s="346">
        <f t="shared" si="57"/>
        <v>3222</v>
      </c>
      <c r="F544" s="346">
        <f t="shared" ref="F544:M544" si="100">F51</f>
        <v>698</v>
      </c>
      <c r="G544" s="346">
        <f t="shared" si="100"/>
        <v>161</v>
      </c>
      <c r="H544" s="346">
        <f t="shared" si="100"/>
        <v>0</v>
      </c>
      <c r="I544" s="346">
        <f t="shared" si="100"/>
        <v>859</v>
      </c>
      <c r="J544" s="346">
        <f t="shared" si="100"/>
        <v>489</v>
      </c>
      <c r="K544" s="346">
        <f t="shared" si="100"/>
        <v>73</v>
      </c>
      <c r="L544" s="346">
        <f t="shared" si="100"/>
        <v>0</v>
      </c>
      <c r="M544" s="346">
        <f t="shared" si="100"/>
        <v>562</v>
      </c>
    </row>
    <row r="545" spans="3:3" x14ac:dyDescent="0.25">
      <c r="C545" s="345"/>
    </row>
  </sheetData>
  <sheetProtection password="C614" sheet="1" objects="1" scenarios="1" selectLockedCells="1"/>
  <mergeCells count="20">
    <mergeCell ref="BA251:BB251"/>
    <mergeCell ref="BA252:BB252"/>
    <mergeCell ref="BA253:BB253"/>
    <mergeCell ref="BI204:BL204"/>
    <mergeCell ref="BA204:BA205"/>
    <mergeCell ref="BB204:BB205"/>
    <mergeCell ref="BC204:BC205"/>
    <mergeCell ref="BE204:BH204"/>
    <mergeCell ref="N5:N7"/>
    <mergeCell ref="BD204:BD206"/>
    <mergeCell ref="A52:C52"/>
    <mergeCell ref="A53:C53"/>
    <mergeCell ref="A54:C54"/>
    <mergeCell ref="A5:A6"/>
    <mergeCell ref="C5:C6"/>
    <mergeCell ref="J5:M5"/>
    <mergeCell ref="B5:B6"/>
    <mergeCell ref="F5:I5"/>
    <mergeCell ref="D5:D6"/>
    <mergeCell ref="E5:E6"/>
  </mergeCells>
  <conditionalFormatting sqref="E8:E50">
    <cfRule type="cellIs" dxfId="142" priority="8" operator="equal">
      <formula>FALSE</formula>
    </cfRule>
  </conditionalFormatting>
  <conditionalFormatting sqref="E51">
    <cfRule type="cellIs" dxfId="141" priority="7" operator="equal">
      <formula>FALSE</formula>
    </cfRule>
  </conditionalFormatting>
  <conditionalFormatting sqref="D52 F52:M52">
    <cfRule type="cellIs" dxfId="140" priority="5" operator="equal">
      <formula>"ABVAR"</formula>
    </cfRule>
    <cfRule type="cellIs" dxfId="139" priority="6" operator="equal">
      <formula>FALSE</formula>
    </cfRule>
  </conditionalFormatting>
  <conditionalFormatting sqref="D53:D54 F53:M54">
    <cfRule type="cellIs" dxfId="138" priority="3" operator="equal">
      <formula>"ABVAR"</formula>
    </cfRule>
    <cfRule type="cellIs" dxfId="137" priority="4" operator="equal">
      <formula>FALSE</formula>
    </cfRule>
  </conditionalFormatting>
  <dataValidations count="1">
    <dataValidation type="whole" allowBlank="1" showInputMessage="1" showErrorMessage="1" sqref="J44:L50 J22:L25 F35:H41 J27:L33 F44:H50 J35:L41 F22:H25 F11:H15 J8:L9 F17:H20 J11:L15 F8:H9 J17:L20 D8:D9 D17:D20 D11:D15 D22:D25 D44:D50 D35:D41 D27:D33 F27:H33">
      <formula1>0</formula1>
      <formula2>999999999</formula2>
    </dataValidation>
  </dataValidations>
  <pageMargins left="1.1811023622047245" right="0.39370078740157483" top="0.74803149606299213" bottom="0.74803149606299213" header="0.39370078740157483" footer="0.19685039370078741"/>
  <pageSetup paperSize="5" orientation="landscape" r:id="rId1"/>
  <headerFooter>
    <oddFooter>&amp;L&amp;9ADSI - &amp;A&amp;C&amp;9&amp;D &amp;T&amp;R&amp;9Page &amp;P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P535"/>
  <sheetViews>
    <sheetView showGridLines="0" workbookViewId="0">
      <pane xSplit="3" ySplit="7" topLeftCell="D8" activePane="bottomRight" state="frozen"/>
      <selection activeCell="D9" sqref="D9"/>
      <selection pane="topRight" activeCell="D9" sqref="D9"/>
      <selection pane="bottomLeft" activeCell="D9" sqref="D9"/>
      <selection pane="bottomRight" activeCell="F13" sqref="F13:H13"/>
    </sheetView>
  </sheetViews>
  <sheetFormatPr defaultRowHeight="15" x14ac:dyDescent="0.25"/>
  <cols>
    <col min="1" max="2" width="6.7109375" style="40" customWidth="1"/>
    <col min="3" max="3" width="39.140625" style="40" bestFit="1" customWidth="1"/>
    <col min="4" max="5" width="15.7109375" style="40" customWidth="1"/>
    <col min="6" max="8" width="13.7109375" style="40" customWidth="1"/>
    <col min="9" max="9" width="15.7109375" style="40" customWidth="1"/>
    <col min="10" max="12" width="13.7109375" style="40" customWidth="1"/>
    <col min="13" max="13" width="15.7109375" style="40" customWidth="1"/>
    <col min="14" max="14" width="8.7109375" style="40" customWidth="1"/>
    <col min="15" max="52" width="9.140625" style="40"/>
    <col min="53" max="53" width="5" style="40" customWidth="1"/>
    <col min="54" max="54" width="54.42578125" style="40" customWidth="1"/>
    <col min="55" max="64" width="9.5703125" style="40" customWidth="1"/>
    <col min="65" max="16384" width="9.140625" style="40"/>
  </cols>
  <sheetData>
    <row r="1" spans="1:14" ht="15.75" x14ac:dyDescent="0.25">
      <c r="A1" s="285" t="str">
        <f>ADSI!$B$1</f>
        <v>Goa, , ADSI-2021</v>
      </c>
    </row>
    <row r="2" spans="1:14" ht="15.75" x14ac:dyDescent="0.25">
      <c r="A2" s="286" t="s">
        <v>657</v>
      </c>
      <c r="B2" s="288"/>
      <c r="C2" s="287">
        <f>COUNTIF(E8:E21,FALSE)+COUNTIF(D23:M23,FALSE)</f>
        <v>0</v>
      </c>
      <c r="E2" s="465" t="s">
        <v>1570</v>
      </c>
      <c r="F2" s="464">
        <f>COUNTIF(D24:M24,"ABVAR")</f>
        <v>3</v>
      </c>
    </row>
    <row r="3" spans="1:14" ht="15.75" x14ac:dyDescent="0.25">
      <c r="A3" s="289" t="s">
        <v>588</v>
      </c>
      <c r="C3" s="35"/>
      <c r="D3" s="35"/>
      <c r="E3" s="35"/>
      <c r="F3" s="35"/>
      <c r="H3" s="35"/>
      <c r="I3" s="35"/>
      <c r="K3" s="35"/>
      <c r="L3" s="35"/>
    </row>
    <row r="4" spans="1:14" ht="15.75" customHeight="1" x14ac:dyDescent="0.25">
      <c r="A4" s="289" t="s">
        <v>58</v>
      </c>
      <c r="C4" s="35"/>
      <c r="D4" s="35"/>
      <c r="E4" s="35"/>
      <c r="F4" s="35"/>
      <c r="K4" s="35"/>
    </row>
    <row r="5" spans="1:14" ht="21" customHeight="1" x14ac:dyDescent="0.25">
      <c r="A5" s="608" t="s">
        <v>249</v>
      </c>
      <c r="B5" s="608" t="s">
        <v>0</v>
      </c>
      <c r="C5" s="584" t="s">
        <v>50</v>
      </c>
      <c r="D5" s="608" t="s">
        <v>35</v>
      </c>
      <c r="E5" s="616" t="s">
        <v>589</v>
      </c>
      <c r="F5" s="590" t="s">
        <v>36</v>
      </c>
      <c r="G5" s="591"/>
      <c r="H5" s="591"/>
      <c r="I5" s="592"/>
      <c r="J5" s="587" t="s">
        <v>37</v>
      </c>
      <c r="K5" s="588"/>
      <c r="L5" s="588"/>
      <c r="M5" s="589"/>
    </row>
    <row r="6" spans="1:14" ht="30" x14ac:dyDescent="0.25">
      <c r="A6" s="609"/>
      <c r="B6" s="609"/>
      <c r="C6" s="586"/>
      <c r="D6" s="609"/>
      <c r="E6" s="617"/>
      <c r="F6" s="220" t="s">
        <v>38</v>
      </c>
      <c r="G6" s="220" t="s">
        <v>39</v>
      </c>
      <c r="H6" s="220" t="s">
        <v>240</v>
      </c>
      <c r="I6" s="220" t="s">
        <v>254</v>
      </c>
      <c r="J6" s="209" t="s">
        <v>38</v>
      </c>
      <c r="K6" s="209" t="s">
        <v>39</v>
      </c>
      <c r="L6" s="209" t="s">
        <v>240</v>
      </c>
      <c r="M6" s="209" t="s">
        <v>255</v>
      </c>
    </row>
    <row r="7" spans="1:14" ht="18" customHeight="1" x14ac:dyDescent="0.25">
      <c r="A7" s="27"/>
      <c r="B7" s="27" t="s">
        <v>181</v>
      </c>
      <c r="C7" s="221" t="s">
        <v>182</v>
      </c>
      <c r="D7" s="29" t="s">
        <v>183</v>
      </c>
      <c r="E7" s="315"/>
      <c r="F7" s="221" t="s">
        <v>184</v>
      </c>
      <c r="G7" s="221" t="s">
        <v>185</v>
      </c>
      <c r="H7" s="221" t="s">
        <v>186</v>
      </c>
      <c r="I7" s="222" t="s">
        <v>187</v>
      </c>
      <c r="J7" s="29" t="s">
        <v>188</v>
      </c>
      <c r="K7" s="29" t="s">
        <v>189</v>
      </c>
      <c r="L7" s="29" t="s">
        <v>190</v>
      </c>
      <c r="M7" s="29" t="s">
        <v>191</v>
      </c>
    </row>
    <row r="8" spans="1:14" ht="20.100000000000001" customHeight="1" x14ac:dyDescent="0.25">
      <c r="A8" s="33">
        <v>150</v>
      </c>
      <c r="B8" s="33">
        <v>1</v>
      </c>
      <c r="C8" s="30" t="s">
        <v>51</v>
      </c>
      <c r="D8" s="235">
        <v>0</v>
      </c>
      <c r="E8" s="409" t="str">
        <f>IF(AND(OR(I8&gt;0,M8&gt;0),D8=0),FALSE,"")</f>
        <v/>
      </c>
      <c r="F8" s="235">
        <v>0</v>
      </c>
      <c r="G8" s="235">
        <v>0</v>
      </c>
      <c r="H8" s="235">
        <v>0</v>
      </c>
      <c r="I8" s="432">
        <f>SUM(F8:H8)</f>
        <v>0</v>
      </c>
      <c r="J8" s="235">
        <v>0</v>
      </c>
      <c r="K8" s="235">
        <v>0</v>
      </c>
      <c r="L8" s="235">
        <v>0</v>
      </c>
      <c r="M8" s="432">
        <f>SUM(J8:L8)</f>
        <v>0</v>
      </c>
      <c r="N8" s="334"/>
    </row>
    <row r="9" spans="1:14" ht="20.100000000000001" customHeight="1" x14ac:dyDescent="0.25">
      <c r="A9" s="34">
        <v>151</v>
      </c>
      <c r="B9" s="34">
        <v>2</v>
      </c>
      <c r="C9" s="31" t="s">
        <v>52</v>
      </c>
      <c r="D9" s="235">
        <v>2</v>
      </c>
      <c r="E9" s="409" t="str">
        <f t="shared" ref="E9:E21" si="0">IF(AND(OR(I9&gt;0,M9&gt;0),D9=0),FALSE,"")</f>
        <v/>
      </c>
      <c r="F9" s="235">
        <v>0</v>
      </c>
      <c r="G9" s="235">
        <v>0</v>
      </c>
      <c r="H9" s="235">
        <v>0</v>
      </c>
      <c r="I9" s="432">
        <f t="shared" ref="I9:I20" si="1">SUM(F9:H9)</f>
        <v>0</v>
      </c>
      <c r="J9" s="235">
        <v>0</v>
      </c>
      <c r="K9" s="235">
        <v>1</v>
      </c>
      <c r="L9" s="235">
        <v>0</v>
      </c>
      <c r="M9" s="432">
        <f t="shared" ref="M9:M20" si="2">SUM(J9:L9)</f>
        <v>1</v>
      </c>
      <c r="N9" s="334"/>
    </row>
    <row r="10" spans="1:14" ht="20.100000000000001" customHeight="1" x14ac:dyDescent="0.25">
      <c r="A10" s="33">
        <v>152</v>
      </c>
      <c r="B10" s="34">
        <v>3</v>
      </c>
      <c r="C10" s="31" t="s">
        <v>53</v>
      </c>
      <c r="D10" s="235">
        <v>12</v>
      </c>
      <c r="E10" s="409" t="str">
        <f t="shared" si="0"/>
        <v/>
      </c>
      <c r="F10" s="235">
        <v>1</v>
      </c>
      <c r="G10" s="235">
        <v>0</v>
      </c>
      <c r="H10" s="235">
        <v>0</v>
      </c>
      <c r="I10" s="432">
        <f t="shared" si="1"/>
        <v>1</v>
      </c>
      <c r="J10" s="235">
        <v>2</v>
      </c>
      <c r="K10" s="235">
        <v>3</v>
      </c>
      <c r="L10" s="235">
        <v>0</v>
      </c>
      <c r="M10" s="432">
        <f t="shared" si="2"/>
        <v>5</v>
      </c>
      <c r="N10" s="334"/>
    </row>
    <row r="11" spans="1:14" ht="20.100000000000001" customHeight="1" x14ac:dyDescent="0.25">
      <c r="A11" s="34">
        <v>153</v>
      </c>
      <c r="B11" s="34">
        <v>4</v>
      </c>
      <c r="C11" s="31" t="s">
        <v>54</v>
      </c>
      <c r="D11" s="235">
        <v>0</v>
      </c>
      <c r="E11" s="409" t="str">
        <f t="shared" si="0"/>
        <v/>
      </c>
      <c r="F11" s="235">
        <v>0</v>
      </c>
      <c r="G11" s="235">
        <v>0</v>
      </c>
      <c r="H11" s="235">
        <v>0</v>
      </c>
      <c r="I11" s="432">
        <f t="shared" si="1"/>
        <v>0</v>
      </c>
      <c r="J11" s="235">
        <v>0</v>
      </c>
      <c r="K11" s="235">
        <v>0</v>
      </c>
      <c r="L11" s="235">
        <v>0</v>
      </c>
      <c r="M11" s="432">
        <f t="shared" si="2"/>
        <v>0</v>
      </c>
      <c r="N11" s="334"/>
    </row>
    <row r="12" spans="1:14" ht="20.100000000000001" customHeight="1" x14ac:dyDescent="0.25">
      <c r="A12" s="33">
        <v>154</v>
      </c>
      <c r="B12" s="34">
        <v>5</v>
      </c>
      <c r="C12" s="31" t="s">
        <v>55</v>
      </c>
      <c r="D12" s="235">
        <v>0</v>
      </c>
      <c r="E12" s="322" t="str">
        <f t="shared" si="0"/>
        <v/>
      </c>
      <c r="F12" s="235">
        <v>0</v>
      </c>
      <c r="G12" s="235">
        <v>0</v>
      </c>
      <c r="H12" s="235">
        <v>0</v>
      </c>
      <c r="I12" s="432">
        <f t="shared" si="1"/>
        <v>0</v>
      </c>
      <c r="J12" s="235">
        <v>0</v>
      </c>
      <c r="K12" s="235">
        <v>0</v>
      </c>
      <c r="L12" s="235">
        <v>0</v>
      </c>
      <c r="M12" s="432">
        <f t="shared" si="2"/>
        <v>0</v>
      </c>
      <c r="N12" s="334"/>
    </row>
    <row r="13" spans="1:14" ht="45" x14ac:dyDescent="0.25">
      <c r="A13" s="34">
        <v>155</v>
      </c>
      <c r="B13" s="34">
        <v>6</v>
      </c>
      <c r="C13" s="31" t="s">
        <v>56</v>
      </c>
      <c r="D13" s="235">
        <v>0</v>
      </c>
      <c r="E13" s="322" t="str">
        <f t="shared" si="0"/>
        <v/>
      </c>
      <c r="F13" s="235">
        <v>0</v>
      </c>
      <c r="G13" s="235">
        <v>0</v>
      </c>
      <c r="H13" s="235">
        <v>0</v>
      </c>
      <c r="I13" s="432">
        <f t="shared" si="1"/>
        <v>0</v>
      </c>
      <c r="J13" s="235">
        <v>0</v>
      </c>
      <c r="K13" s="235">
        <v>0</v>
      </c>
      <c r="L13" s="235">
        <v>0</v>
      </c>
      <c r="M13" s="432">
        <f t="shared" si="2"/>
        <v>0</v>
      </c>
      <c r="N13" s="334"/>
    </row>
    <row r="14" spans="1:14" ht="20.100000000000001" customHeight="1" x14ac:dyDescent="0.25">
      <c r="A14" s="33">
        <v>156</v>
      </c>
      <c r="B14" s="34">
        <v>7</v>
      </c>
      <c r="C14" s="31" t="s">
        <v>1616</v>
      </c>
      <c r="D14" s="235">
        <v>1</v>
      </c>
      <c r="E14" s="322" t="str">
        <f t="shared" si="0"/>
        <v/>
      </c>
      <c r="F14" s="235">
        <v>0</v>
      </c>
      <c r="G14" s="235">
        <v>0</v>
      </c>
      <c r="H14" s="235">
        <v>0</v>
      </c>
      <c r="I14" s="432">
        <f t="shared" si="1"/>
        <v>0</v>
      </c>
      <c r="J14" s="235">
        <v>0</v>
      </c>
      <c r="K14" s="235">
        <v>0</v>
      </c>
      <c r="L14" s="235">
        <v>0</v>
      </c>
      <c r="M14" s="432">
        <f t="shared" si="2"/>
        <v>0</v>
      </c>
      <c r="N14" s="334"/>
    </row>
    <row r="15" spans="1:14" ht="20.100000000000001" customHeight="1" x14ac:dyDescent="0.25">
      <c r="A15" s="34">
        <v>157</v>
      </c>
      <c r="B15" s="34">
        <v>8</v>
      </c>
      <c r="C15" s="31" t="s">
        <v>57</v>
      </c>
      <c r="D15" s="235">
        <v>0</v>
      </c>
      <c r="E15" s="322" t="str">
        <f t="shared" si="0"/>
        <v/>
      </c>
      <c r="F15" s="235">
        <v>0</v>
      </c>
      <c r="G15" s="235">
        <v>0</v>
      </c>
      <c r="H15" s="235">
        <v>0</v>
      </c>
      <c r="I15" s="432">
        <f t="shared" si="1"/>
        <v>0</v>
      </c>
      <c r="J15" s="235">
        <v>0</v>
      </c>
      <c r="K15" s="235">
        <v>0</v>
      </c>
      <c r="L15" s="235">
        <v>0</v>
      </c>
      <c r="M15" s="432">
        <f t="shared" si="2"/>
        <v>0</v>
      </c>
      <c r="N15" s="334"/>
    </row>
    <row r="16" spans="1:14" ht="30" x14ac:dyDescent="0.25">
      <c r="A16" s="33">
        <v>158</v>
      </c>
      <c r="B16" s="34">
        <v>9</v>
      </c>
      <c r="C16" s="411" t="s">
        <v>1468</v>
      </c>
      <c r="D16" s="413">
        <f>SUM(D17:D19)</f>
        <v>16</v>
      </c>
      <c r="E16" s="414" t="str">
        <f t="shared" si="0"/>
        <v/>
      </c>
      <c r="F16" s="413">
        <f t="shared" ref="F16:H16" si="3">SUM(F17:F19)</f>
        <v>0</v>
      </c>
      <c r="G16" s="413">
        <f t="shared" si="3"/>
        <v>0</v>
      </c>
      <c r="H16" s="413">
        <f t="shared" si="3"/>
        <v>0</v>
      </c>
      <c r="I16" s="415">
        <f t="shared" si="1"/>
        <v>0</v>
      </c>
      <c r="J16" s="413">
        <f t="shared" ref="J16:L16" si="4">SUM(J17:J19)</f>
        <v>1</v>
      </c>
      <c r="K16" s="413">
        <f t="shared" si="4"/>
        <v>0</v>
      </c>
      <c r="L16" s="413">
        <f t="shared" si="4"/>
        <v>0</v>
      </c>
      <c r="M16" s="415">
        <f t="shared" si="2"/>
        <v>1</v>
      </c>
      <c r="N16" s="334"/>
    </row>
    <row r="17" spans="1:14" ht="30" x14ac:dyDescent="0.25">
      <c r="A17" s="34">
        <v>159</v>
      </c>
      <c r="B17" s="34"/>
      <c r="C17" s="212" t="s">
        <v>1469</v>
      </c>
      <c r="D17" s="235">
        <v>0</v>
      </c>
      <c r="E17" s="322" t="str">
        <f t="shared" si="0"/>
        <v/>
      </c>
      <c r="F17" s="235">
        <v>0</v>
      </c>
      <c r="G17" s="235">
        <v>0</v>
      </c>
      <c r="H17" s="235">
        <v>0</v>
      </c>
      <c r="I17" s="432">
        <f t="shared" si="1"/>
        <v>0</v>
      </c>
      <c r="J17" s="235">
        <v>0</v>
      </c>
      <c r="K17" s="235">
        <v>0</v>
      </c>
      <c r="L17" s="235">
        <v>0</v>
      </c>
      <c r="M17" s="432">
        <f t="shared" si="2"/>
        <v>0</v>
      </c>
      <c r="N17" s="334"/>
    </row>
    <row r="18" spans="1:14" ht="20.100000000000001" customHeight="1" x14ac:dyDescent="0.25">
      <c r="A18" s="33">
        <v>160</v>
      </c>
      <c r="B18" s="34"/>
      <c r="C18" s="212" t="s">
        <v>1470</v>
      </c>
      <c r="D18" s="235">
        <v>15</v>
      </c>
      <c r="E18" s="322" t="str">
        <f t="shared" si="0"/>
        <v/>
      </c>
      <c r="F18" s="235">
        <v>0</v>
      </c>
      <c r="G18" s="235">
        <v>0</v>
      </c>
      <c r="H18" s="235">
        <v>0</v>
      </c>
      <c r="I18" s="432">
        <f t="shared" si="1"/>
        <v>0</v>
      </c>
      <c r="J18" s="235">
        <v>0</v>
      </c>
      <c r="K18" s="235">
        <v>0</v>
      </c>
      <c r="L18" s="235">
        <v>0</v>
      </c>
      <c r="M18" s="432">
        <f t="shared" si="2"/>
        <v>0</v>
      </c>
      <c r="N18" s="334"/>
    </row>
    <row r="19" spans="1:14" ht="20.100000000000001" customHeight="1" x14ac:dyDescent="0.25">
      <c r="A19" s="34">
        <v>161</v>
      </c>
      <c r="B19" s="34"/>
      <c r="C19" s="212" t="s">
        <v>1471</v>
      </c>
      <c r="D19" s="235">
        <v>1</v>
      </c>
      <c r="E19" s="322" t="str">
        <f t="shared" si="0"/>
        <v/>
      </c>
      <c r="F19" s="235">
        <v>0</v>
      </c>
      <c r="G19" s="235">
        <v>0</v>
      </c>
      <c r="H19" s="235">
        <v>0</v>
      </c>
      <c r="I19" s="432">
        <f t="shared" si="1"/>
        <v>0</v>
      </c>
      <c r="J19" s="235">
        <v>1</v>
      </c>
      <c r="K19" s="235">
        <v>0</v>
      </c>
      <c r="L19" s="235">
        <v>0</v>
      </c>
      <c r="M19" s="432">
        <f t="shared" si="2"/>
        <v>1</v>
      </c>
      <c r="N19" s="334"/>
    </row>
    <row r="20" spans="1:14" ht="20.100000000000001" customHeight="1" x14ac:dyDescent="0.25">
      <c r="A20" s="33">
        <v>162</v>
      </c>
      <c r="B20" s="34">
        <v>10</v>
      </c>
      <c r="C20" s="31" t="s">
        <v>9</v>
      </c>
      <c r="D20" s="235">
        <v>14</v>
      </c>
      <c r="E20" s="322" t="str">
        <f t="shared" si="0"/>
        <v/>
      </c>
      <c r="F20" s="235">
        <v>0</v>
      </c>
      <c r="G20" s="235">
        <v>0</v>
      </c>
      <c r="H20" s="235">
        <v>0</v>
      </c>
      <c r="I20" s="432">
        <f t="shared" si="1"/>
        <v>0</v>
      </c>
      <c r="J20" s="235">
        <v>0</v>
      </c>
      <c r="K20" s="235">
        <v>2</v>
      </c>
      <c r="L20" s="235">
        <v>0</v>
      </c>
      <c r="M20" s="432">
        <f t="shared" si="2"/>
        <v>2</v>
      </c>
      <c r="N20" s="334"/>
    </row>
    <row r="21" spans="1:14" ht="20.100000000000001" customHeight="1" x14ac:dyDescent="0.25">
      <c r="A21" s="34">
        <v>180</v>
      </c>
      <c r="B21" s="427">
        <v>11</v>
      </c>
      <c r="C21" s="425" t="s">
        <v>585</v>
      </c>
      <c r="D21" s="426">
        <f>SUM(D8:D16, (D20:D20))</f>
        <v>45</v>
      </c>
      <c r="E21" s="422" t="str">
        <f t="shared" si="0"/>
        <v/>
      </c>
      <c r="F21" s="426">
        <f t="shared" ref="F21:M21" si="5">SUM(F8:F16, (F20:F20))</f>
        <v>1</v>
      </c>
      <c r="G21" s="426">
        <f t="shared" si="5"/>
        <v>0</v>
      </c>
      <c r="H21" s="426">
        <f t="shared" si="5"/>
        <v>0</v>
      </c>
      <c r="I21" s="426">
        <f t="shared" si="5"/>
        <v>1</v>
      </c>
      <c r="J21" s="426">
        <f t="shared" si="5"/>
        <v>3</v>
      </c>
      <c r="K21" s="426">
        <f t="shared" si="5"/>
        <v>6</v>
      </c>
      <c r="L21" s="426">
        <f t="shared" si="5"/>
        <v>0</v>
      </c>
      <c r="M21" s="426">
        <f t="shared" si="5"/>
        <v>9</v>
      </c>
      <c r="N21" s="334"/>
    </row>
    <row r="22" spans="1:14" ht="32.1" customHeight="1" x14ac:dyDescent="0.25">
      <c r="A22" s="625" t="s">
        <v>587</v>
      </c>
      <c r="B22" s="625"/>
      <c r="C22" s="626"/>
      <c r="D22" s="392">
        <f>'P-II'!D34</f>
        <v>45</v>
      </c>
      <c r="E22" s="247"/>
      <c r="F22" s="392">
        <f>'P-II'!F34</f>
        <v>1</v>
      </c>
      <c r="G22" s="392">
        <f>'P-II'!G34</f>
        <v>0</v>
      </c>
      <c r="H22" s="392">
        <f>'P-II'!H34</f>
        <v>0</v>
      </c>
      <c r="I22" s="392">
        <f>'P-II'!I34</f>
        <v>1</v>
      </c>
      <c r="J22" s="392">
        <f>'P-II'!J34</f>
        <v>3</v>
      </c>
      <c r="K22" s="392">
        <f>'P-II'!K34</f>
        <v>6</v>
      </c>
      <c r="L22" s="392">
        <f>'P-II'!L34</f>
        <v>0</v>
      </c>
      <c r="M22" s="392">
        <f>'P-II'!M34</f>
        <v>9</v>
      </c>
    </row>
    <row r="23" spans="1:14" ht="32.1" customHeight="1" x14ac:dyDescent="0.25">
      <c r="A23" s="627" t="s">
        <v>586</v>
      </c>
      <c r="B23" s="627"/>
      <c r="C23" s="628"/>
      <c r="D23" s="408" t="str">
        <f>IF(D21='P-II'!D34, "", FALSE)</f>
        <v/>
      </c>
      <c r="E23" s="322"/>
      <c r="F23" s="408" t="str">
        <f>IF(F21='P-II'!F34, "", FALSE)</f>
        <v/>
      </c>
      <c r="G23" s="408" t="str">
        <f>IF(G21='P-II'!G34, "", FALSE)</f>
        <v/>
      </c>
      <c r="H23" s="408" t="str">
        <f>IF(H21='P-II'!H34, "", FALSE)</f>
        <v/>
      </c>
      <c r="I23" s="408" t="str">
        <f>IF(I21='P-II'!I34, "", FALSE)</f>
        <v/>
      </c>
      <c r="J23" s="408" t="str">
        <f>IF(J21='P-II'!J34, "", FALSE)</f>
        <v/>
      </c>
      <c r="K23" s="408" t="str">
        <f>IF(K21='P-II'!K34, "", FALSE)</f>
        <v/>
      </c>
      <c r="L23" s="408" t="str">
        <f>IF(L21='P-II'!L34, "", FALSE)</f>
        <v/>
      </c>
      <c r="M23" s="408" t="str">
        <f>IF(M21='P-II'!M34, "", FALSE)</f>
        <v/>
      </c>
    </row>
    <row r="24" spans="1:14" ht="24.95" customHeight="1" x14ac:dyDescent="0.25">
      <c r="A24" s="605" t="s">
        <v>1574</v>
      </c>
      <c r="B24" s="606"/>
      <c r="C24" s="607"/>
      <c r="D24" s="463" t="str">
        <f>IF(D21&gt;0,IF((D20/D21*100)&gt;20,"ABVAR",""),"")</f>
        <v>ABVAR</v>
      </c>
      <c r="E24" s="463"/>
      <c r="F24" s="463" t="str">
        <f t="shared" ref="F24:M24" si="6">IF(F21&gt;0,IF((F20/F21*100)&gt;20,"ABVAR",""),"")</f>
        <v/>
      </c>
      <c r="G24" s="463" t="str">
        <f t="shared" si="6"/>
        <v/>
      </c>
      <c r="H24" s="463" t="str">
        <f t="shared" si="6"/>
        <v/>
      </c>
      <c r="I24" s="463" t="str">
        <f t="shared" si="6"/>
        <v/>
      </c>
      <c r="J24" s="463" t="str">
        <f t="shared" si="6"/>
        <v/>
      </c>
      <c r="K24" s="463" t="str">
        <f t="shared" si="6"/>
        <v>ABVAR</v>
      </c>
      <c r="L24" s="463" t="str">
        <f t="shared" si="6"/>
        <v/>
      </c>
      <c r="M24" s="463" t="str">
        <f t="shared" si="6"/>
        <v>ABVAR</v>
      </c>
    </row>
    <row r="200" spans="53:68" x14ac:dyDescent="0.25">
      <c r="BA200" s="141" t="str">
        <f>A1</f>
        <v>Goa, , ADSI-2021</v>
      </c>
      <c r="BB200" s="141"/>
    </row>
    <row r="201" spans="53:68" x14ac:dyDescent="0.25">
      <c r="BA201" s="141" t="str">
        <f>A2</f>
        <v>Errors</v>
      </c>
      <c r="BB201" s="309">
        <f>C2</f>
        <v>0</v>
      </c>
      <c r="BD201" s="472" t="str">
        <f>E2</f>
        <v>Abnormal Variations</v>
      </c>
      <c r="BE201" s="141">
        <f>F2</f>
        <v>3</v>
      </c>
    </row>
    <row r="202" spans="53:68" x14ac:dyDescent="0.25">
      <c r="BA202" s="141" t="str">
        <f>A3</f>
        <v>Proforma–II(A)</v>
      </c>
      <c r="BB202" s="132"/>
      <c r="BC202" s="132"/>
      <c r="BD202" s="132"/>
      <c r="BE202" s="132"/>
      <c r="BF202" s="132"/>
      <c r="BG202" s="132"/>
      <c r="BH202" s="132"/>
      <c r="BI202" s="132"/>
      <c r="BJ202" s="132"/>
      <c r="BK202" s="134"/>
      <c r="BN202" s="132"/>
      <c r="BO202" s="132"/>
      <c r="BP202" s="132"/>
    </row>
    <row r="203" spans="53:68" x14ac:dyDescent="0.25">
      <c r="BA203" s="141" t="str">
        <f>A4</f>
        <v xml:space="preserve">Fire Accidents classified according to Place of Occurrence </v>
      </c>
      <c r="BB203" s="132"/>
      <c r="BC203" s="132"/>
      <c r="BD203" s="132"/>
      <c r="BE203" s="132"/>
      <c r="BF203" s="132"/>
      <c r="BG203" s="132"/>
      <c r="BH203" s="132"/>
      <c r="BI203" s="132"/>
      <c r="BJ203" s="132"/>
      <c r="BN203" s="132"/>
      <c r="BO203" s="132"/>
      <c r="BP203" s="132"/>
    </row>
    <row r="204" spans="53:68" ht="15" customHeight="1" x14ac:dyDescent="0.25">
      <c r="BA204" s="602" t="str">
        <f>B5</f>
        <v>Sl. No.</v>
      </c>
      <c r="BB204" s="602" t="str">
        <f>C5</f>
        <v>Place of occurrence</v>
      </c>
      <c r="BC204" s="602" t="str">
        <f>D5</f>
        <v>No. of Cases</v>
      </c>
      <c r="BD204" s="602" t="str">
        <f>E5</f>
        <v>VALIDATION WITH NUMBER OF CASES</v>
      </c>
      <c r="BE204" s="619" t="str">
        <f t="shared" ref="BE204:BE218" si="7">F5</f>
        <v>No. of Persons Injured</v>
      </c>
      <c r="BF204" s="620"/>
      <c r="BG204" s="620"/>
      <c r="BH204" s="621"/>
      <c r="BI204" s="619" t="str">
        <f t="shared" ref="BI204:BI218" si="8">J5</f>
        <v>No. of Persons Died</v>
      </c>
      <c r="BJ204" s="620"/>
      <c r="BK204" s="620"/>
      <c r="BL204" s="621"/>
      <c r="BM204" s="132"/>
      <c r="BN204" s="132"/>
      <c r="BO204" s="132"/>
    </row>
    <row r="205" spans="53:68" ht="25.5" x14ac:dyDescent="0.25">
      <c r="BA205" s="604"/>
      <c r="BB205" s="604"/>
      <c r="BC205" s="604"/>
      <c r="BD205" s="603"/>
      <c r="BE205" s="139" t="str">
        <f t="shared" si="7"/>
        <v>Male</v>
      </c>
      <c r="BF205" s="139" t="str">
        <f t="shared" ref="BF205:BF218" si="9">G6</f>
        <v>Female</v>
      </c>
      <c r="BG205" s="139" t="str">
        <f t="shared" ref="BG205:BG218" si="10">H6</f>
        <v>Transgender</v>
      </c>
      <c r="BH205" s="139" t="str">
        <f t="shared" ref="BH205:BH218" si="11">I6</f>
        <v>Total [sum of (4) to (6)]</v>
      </c>
      <c r="BI205" s="139" t="str">
        <f t="shared" si="8"/>
        <v>Male</v>
      </c>
      <c r="BJ205" s="139" t="str">
        <f t="shared" ref="BJ205:BJ218" si="12">K6</f>
        <v>Female</v>
      </c>
      <c r="BK205" s="139" t="str">
        <f t="shared" ref="BK205:BK218" si="13">L6</f>
        <v>Transgender</v>
      </c>
      <c r="BL205" s="139" t="str">
        <f t="shared" ref="BL205:BL218" si="14">M6</f>
        <v>Total [sum of (8) to (10)]</v>
      </c>
      <c r="BM205" s="132"/>
      <c r="BN205" s="132"/>
      <c r="BO205" s="132"/>
    </row>
    <row r="206" spans="53:68" x14ac:dyDescent="0.25">
      <c r="BA206" s="137" t="str">
        <f t="shared" ref="BA206:BA215" si="15">B7</f>
        <v>(1)</v>
      </c>
      <c r="BB206" s="137" t="str">
        <f t="shared" ref="BB206:BB215" si="16">C7</f>
        <v>(2)</v>
      </c>
      <c r="BC206" s="137" t="str">
        <f t="shared" ref="BC206:BC215" si="17">D7</f>
        <v>(3)</v>
      </c>
      <c r="BD206" s="604"/>
      <c r="BE206" s="137" t="str">
        <f t="shared" si="7"/>
        <v>(4)</v>
      </c>
      <c r="BF206" s="137" t="str">
        <f t="shared" si="9"/>
        <v>(5)</v>
      </c>
      <c r="BG206" s="137" t="str">
        <f t="shared" si="10"/>
        <v>(6)</v>
      </c>
      <c r="BH206" s="137" t="str">
        <f t="shared" si="11"/>
        <v>(7)</v>
      </c>
      <c r="BI206" s="137" t="str">
        <f t="shared" si="8"/>
        <v>(8)</v>
      </c>
      <c r="BJ206" s="137" t="str">
        <f t="shared" si="12"/>
        <v>(9)</v>
      </c>
      <c r="BK206" s="137" t="str">
        <f t="shared" si="13"/>
        <v>(10)</v>
      </c>
      <c r="BL206" s="137" t="str">
        <f t="shared" si="14"/>
        <v>(11)</v>
      </c>
      <c r="BM206" s="132"/>
      <c r="BN206" s="132"/>
      <c r="BO206" s="132"/>
    </row>
    <row r="207" spans="53:68" x14ac:dyDescent="0.25">
      <c r="BA207" s="138">
        <f t="shared" si="15"/>
        <v>1</v>
      </c>
      <c r="BB207" s="136" t="str">
        <f t="shared" si="16"/>
        <v>Fire in School Buildings</v>
      </c>
      <c r="BC207" s="136">
        <f t="shared" si="17"/>
        <v>0</v>
      </c>
      <c r="BD207" s="283" t="str">
        <f>E8</f>
        <v/>
      </c>
      <c r="BE207" s="136">
        <f t="shared" si="7"/>
        <v>0</v>
      </c>
      <c r="BF207" s="136">
        <f t="shared" si="9"/>
        <v>0</v>
      </c>
      <c r="BG207" s="136">
        <f t="shared" si="10"/>
        <v>0</v>
      </c>
      <c r="BH207" s="136">
        <f t="shared" si="11"/>
        <v>0</v>
      </c>
      <c r="BI207" s="136">
        <f t="shared" si="8"/>
        <v>0</v>
      </c>
      <c r="BJ207" s="136">
        <f t="shared" si="12"/>
        <v>0</v>
      </c>
      <c r="BK207" s="136">
        <f t="shared" si="13"/>
        <v>0</v>
      </c>
      <c r="BL207" s="136">
        <f t="shared" si="14"/>
        <v>0</v>
      </c>
      <c r="BM207" s="132"/>
      <c r="BN207" s="132"/>
      <c r="BO207" s="132"/>
    </row>
    <row r="208" spans="53:68" x14ac:dyDescent="0.25">
      <c r="BA208" s="138">
        <f t="shared" si="15"/>
        <v>2</v>
      </c>
      <c r="BB208" s="136" t="str">
        <f t="shared" si="16"/>
        <v>Fire in Commercial Buildings</v>
      </c>
      <c r="BC208" s="136">
        <f t="shared" si="17"/>
        <v>2</v>
      </c>
      <c r="BD208" s="283" t="str">
        <f t="shared" ref="BD208:BD220" si="18">E9</f>
        <v/>
      </c>
      <c r="BE208" s="136">
        <f t="shared" si="7"/>
        <v>0</v>
      </c>
      <c r="BF208" s="136">
        <f t="shared" si="9"/>
        <v>0</v>
      </c>
      <c r="BG208" s="136">
        <f t="shared" si="10"/>
        <v>0</v>
      </c>
      <c r="BH208" s="136">
        <f t="shared" si="11"/>
        <v>0</v>
      </c>
      <c r="BI208" s="136">
        <f t="shared" si="8"/>
        <v>0</v>
      </c>
      <c r="BJ208" s="136">
        <f t="shared" si="12"/>
        <v>1</v>
      </c>
      <c r="BK208" s="136">
        <f t="shared" si="13"/>
        <v>0</v>
      </c>
      <c r="BL208" s="136">
        <f t="shared" si="14"/>
        <v>1</v>
      </c>
      <c r="BM208" s="132"/>
      <c r="BN208" s="132"/>
      <c r="BO208" s="132"/>
    </row>
    <row r="209" spans="53:68" x14ac:dyDescent="0.25">
      <c r="BA209" s="138">
        <f t="shared" si="15"/>
        <v>3</v>
      </c>
      <c r="BB209" s="136" t="str">
        <f t="shared" si="16"/>
        <v>Fire in Residential/Dwelling Building</v>
      </c>
      <c r="BC209" s="136">
        <f t="shared" si="17"/>
        <v>12</v>
      </c>
      <c r="BD209" s="283" t="str">
        <f t="shared" si="18"/>
        <v/>
      </c>
      <c r="BE209" s="136">
        <f t="shared" si="7"/>
        <v>1</v>
      </c>
      <c r="BF209" s="136">
        <f t="shared" si="9"/>
        <v>0</v>
      </c>
      <c r="BG209" s="136">
        <f t="shared" si="10"/>
        <v>0</v>
      </c>
      <c r="BH209" s="136">
        <f t="shared" si="11"/>
        <v>1</v>
      </c>
      <c r="BI209" s="136">
        <f t="shared" si="8"/>
        <v>2</v>
      </c>
      <c r="BJ209" s="136">
        <f t="shared" si="12"/>
        <v>3</v>
      </c>
      <c r="BK209" s="136">
        <f t="shared" si="13"/>
        <v>0</v>
      </c>
      <c r="BL209" s="136">
        <f t="shared" si="14"/>
        <v>5</v>
      </c>
      <c r="BM209" s="132"/>
      <c r="BN209" s="132"/>
      <c r="BO209" s="132"/>
    </row>
    <row r="210" spans="53:68" x14ac:dyDescent="0.25">
      <c r="BA210" s="138">
        <f t="shared" si="15"/>
        <v>4</v>
      </c>
      <c r="BB210" s="136" t="str">
        <f t="shared" si="16"/>
        <v>Fire in Government Buildings</v>
      </c>
      <c r="BC210" s="136">
        <f t="shared" si="17"/>
        <v>0</v>
      </c>
      <c r="BD210" s="283" t="str">
        <f t="shared" si="18"/>
        <v/>
      </c>
      <c r="BE210" s="136">
        <f t="shared" si="7"/>
        <v>0</v>
      </c>
      <c r="BF210" s="136">
        <f t="shared" si="9"/>
        <v>0</v>
      </c>
      <c r="BG210" s="136">
        <f t="shared" si="10"/>
        <v>0</v>
      </c>
      <c r="BH210" s="136">
        <f t="shared" si="11"/>
        <v>0</v>
      </c>
      <c r="BI210" s="136">
        <f t="shared" si="8"/>
        <v>0</v>
      </c>
      <c r="BJ210" s="136">
        <f t="shared" si="12"/>
        <v>0</v>
      </c>
      <c r="BK210" s="136">
        <f t="shared" si="13"/>
        <v>0</v>
      </c>
      <c r="BL210" s="136">
        <f t="shared" si="14"/>
        <v>0</v>
      </c>
      <c r="BM210" s="132"/>
      <c r="BN210" s="132"/>
      <c r="BO210" s="132"/>
    </row>
    <row r="211" spans="53:68" x14ac:dyDescent="0.25">
      <c r="BA211" s="138">
        <f t="shared" si="15"/>
        <v>5</v>
      </c>
      <c r="BB211" s="136" t="str">
        <f t="shared" si="16"/>
        <v>Fire in the Mines</v>
      </c>
      <c r="BC211" s="136">
        <f t="shared" si="17"/>
        <v>0</v>
      </c>
      <c r="BD211" s="283" t="str">
        <f t="shared" si="18"/>
        <v/>
      </c>
      <c r="BE211" s="136">
        <f t="shared" si="7"/>
        <v>0</v>
      </c>
      <c r="BF211" s="136">
        <f t="shared" si="9"/>
        <v>0</v>
      </c>
      <c r="BG211" s="136">
        <f t="shared" si="10"/>
        <v>0</v>
      </c>
      <c r="BH211" s="136">
        <f t="shared" si="11"/>
        <v>0</v>
      </c>
      <c r="BI211" s="136">
        <f t="shared" si="8"/>
        <v>0</v>
      </c>
      <c r="BJ211" s="136">
        <f t="shared" si="12"/>
        <v>0</v>
      </c>
      <c r="BK211" s="136">
        <f t="shared" si="13"/>
        <v>0</v>
      </c>
      <c r="BL211" s="136">
        <f t="shared" si="14"/>
        <v>0</v>
      </c>
      <c r="BM211" s="132"/>
      <c r="BN211" s="132"/>
      <c r="BO211" s="132"/>
    </row>
    <row r="212" spans="53:68" x14ac:dyDescent="0.25">
      <c r="BA212" s="138">
        <f t="shared" si="15"/>
        <v>6</v>
      </c>
      <c r="BB212" s="136" t="str">
        <f t="shared" si="16"/>
        <v>Fire in Factory manufacturing combustible materials including Cracker/Match Box Factories</v>
      </c>
      <c r="BC212" s="136">
        <f t="shared" si="17"/>
        <v>0</v>
      </c>
      <c r="BD212" s="283" t="str">
        <f t="shared" si="18"/>
        <v/>
      </c>
      <c r="BE212" s="136">
        <f t="shared" si="7"/>
        <v>0</v>
      </c>
      <c r="BF212" s="136">
        <f t="shared" si="9"/>
        <v>0</v>
      </c>
      <c r="BG212" s="136">
        <f t="shared" si="10"/>
        <v>0</v>
      </c>
      <c r="BH212" s="136">
        <f t="shared" si="11"/>
        <v>0</v>
      </c>
      <c r="BI212" s="136">
        <f t="shared" si="8"/>
        <v>0</v>
      </c>
      <c r="BJ212" s="136">
        <f t="shared" si="12"/>
        <v>0</v>
      </c>
      <c r="BK212" s="136">
        <f t="shared" si="13"/>
        <v>0</v>
      </c>
      <c r="BL212" s="136">
        <f t="shared" si="14"/>
        <v>0</v>
      </c>
      <c r="BM212" s="132"/>
      <c r="BN212" s="132"/>
      <c r="BO212" s="132"/>
    </row>
    <row r="213" spans="53:68" x14ac:dyDescent="0.25">
      <c r="BA213" s="138">
        <f t="shared" si="15"/>
        <v>7</v>
      </c>
      <c r="BB213" s="136" t="str">
        <f t="shared" si="16"/>
        <v>Fire in the factories (other than Sl.-6)</v>
      </c>
      <c r="BC213" s="136">
        <f t="shared" si="17"/>
        <v>1</v>
      </c>
      <c r="BD213" s="283" t="str">
        <f t="shared" si="18"/>
        <v/>
      </c>
      <c r="BE213" s="136">
        <f t="shared" si="7"/>
        <v>0</v>
      </c>
      <c r="BF213" s="136">
        <f t="shared" si="9"/>
        <v>0</v>
      </c>
      <c r="BG213" s="136">
        <f t="shared" si="10"/>
        <v>0</v>
      </c>
      <c r="BH213" s="136">
        <f t="shared" si="11"/>
        <v>0</v>
      </c>
      <c r="BI213" s="136">
        <f t="shared" si="8"/>
        <v>0</v>
      </c>
      <c r="BJ213" s="136">
        <f t="shared" si="12"/>
        <v>0</v>
      </c>
      <c r="BK213" s="136">
        <f t="shared" si="13"/>
        <v>0</v>
      </c>
      <c r="BL213" s="136">
        <f t="shared" si="14"/>
        <v>0</v>
      </c>
      <c r="BM213" s="132"/>
      <c r="BN213" s="132"/>
      <c r="BO213" s="132"/>
    </row>
    <row r="214" spans="53:68" x14ac:dyDescent="0.25">
      <c r="BA214" s="138">
        <f t="shared" si="15"/>
        <v>8</v>
      </c>
      <c r="BB214" s="136" t="str">
        <f t="shared" si="16"/>
        <v>Accidental Fire in Train(s)</v>
      </c>
      <c r="BC214" s="136">
        <f t="shared" si="17"/>
        <v>0</v>
      </c>
      <c r="BD214" s="283" t="str">
        <f t="shared" si="18"/>
        <v/>
      </c>
      <c r="BE214" s="136">
        <f t="shared" si="7"/>
        <v>0</v>
      </c>
      <c r="BF214" s="136">
        <f t="shared" si="9"/>
        <v>0</v>
      </c>
      <c r="BG214" s="136">
        <f t="shared" si="10"/>
        <v>0</v>
      </c>
      <c r="BH214" s="136">
        <f t="shared" si="11"/>
        <v>0</v>
      </c>
      <c r="BI214" s="136">
        <f t="shared" si="8"/>
        <v>0</v>
      </c>
      <c r="BJ214" s="136">
        <f t="shared" si="12"/>
        <v>0</v>
      </c>
      <c r="BK214" s="136">
        <f t="shared" si="13"/>
        <v>0</v>
      </c>
      <c r="BL214" s="136">
        <f t="shared" si="14"/>
        <v>0</v>
      </c>
      <c r="BM214" s="132"/>
      <c r="BN214" s="132"/>
      <c r="BO214" s="132"/>
    </row>
    <row r="215" spans="53:68" x14ac:dyDescent="0.25">
      <c r="BA215" s="138">
        <f t="shared" si="15"/>
        <v>9</v>
      </c>
      <c r="BB215" s="136" t="str">
        <f t="shared" si="16"/>
        <v>Accidental Fire in Vehicles (Automobiles) (Total) (sum of 9.1 to 9.3)</v>
      </c>
      <c r="BC215" s="136">
        <f t="shared" si="17"/>
        <v>16</v>
      </c>
      <c r="BD215" s="283" t="str">
        <f t="shared" si="18"/>
        <v/>
      </c>
      <c r="BE215" s="136">
        <f t="shared" si="7"/>
        <v>0</v>
      </c>
      <c r="BF215" s="136">
        <f t="shared" si="9"/>
        <v>0</v>
      </c>
      <c r="BG215" s="136">
        <f t="shared" si="10"/>
        <v>0</v>
      </c>
      <c r="BH215" s="136">
        <f t="shared" si="11"/>
        <v>0</v>
      </c>
      <c r="BI215" s="136">
        <f t="shared" si="8"/>
        <v>1</v>
      </c>
      <c r="BJ215" s="136">
        <f t="shared" si="12"/>
        <v>0</v>
      </c>
      <c r="BK215" s="136">
        <f t="shared" si="13"/>
        <v>0</v>
      </c>
      <c r="BL215" s="136">
        <f t="shared" si="14"/>
        <v>1</v>
      </c>
      <c r="BM215" s="132"/>
      <c r="BN215" s="132"/>
      <c r="BO215" s="132"/>
    </row>
    <row r="216" spans="53:68" x14ac:dyDescent="0.25">
      <c r="BA216" s="138"/>
      <c r="BB216" s="154" t="str">
        <f t="shared" ref="BB216:BC218" si="19">C17</f>
        <v>9.1 Passenger Vehicle (e.g. Bus/Taxi/ Auto/etc.)</v>
      </c>
      <c r="BC216" s="136">
        <f t="shared" si="19"/>
        <v>0</v>
      </c>
      <c r="BD216" s="283" t="str">
        <f t="shared" si="18"/>
        <v/>
      </c>
      <c r="BE216" s="136">
        <f t="shared" si="7"/>
        <v>0</v>
      </c>
      <c r="BF216" s="136">
        <f t="shared" si="9"/>
        <v>0</v>
      </c>
      <c r="BG216" s="136">
        <f t="shared" si="10"/>
        <v>0</v>
      </c>
      <c r="BH216" s="136">
        <f t="shared" si="11"/>
        <v>0</v>
      </c>
      <c r="BI216" s="136">
        <f t="shared" si="8"/>
        <v>0</v>
      </c>
      <c r="BJ216" s="136">
        <f t="shared" si="12"/>
        <v>0</v>
      </c>
      <c r="BK216" s="136">
        <f t="shared" si="13"/>
        <v>0</v>
      </c>
      <c r="BL216" s="136">
        <f t="shared" si="14"/>
        <v>0</v>
      </c>
      <c r="BM216" s="132"/>
      <c r="BN216" s="132"/>
      <c r="BO216" s="132"/>
    </row>
    <row r="217" spans="53:68" x14ac:dyDescent="0.25">
      <c r="BA217" s="138"/>
      <c r="BB217" s="154" t="str">
        <f t="shared" si="19"/>
        <v>9.2 Private Vehicle</v>
      </c>
      <c r="BC217" s="136">
        <f t="shared" si="19"/>
        <v>15</v>
      </c>
      <c r="BD217" s="283" t="str">
        <f t="shared" si="18"/>
        <v/>
      </c>
      <c r="BE217" s="136">
        <f t="shared" si="7"/>
        <v>0</v>
      </c>
      <c r="BF217" s="136">
        <f t="shared" si="9"/>
        <v>0</v>
      </c>
      <c r="BG217" s="136">
        <f t="shared" si="10"/>
        <v>0</v>
      </c>
      <c r="BH217" s="136">
        <f t="shared" si="11"/>
        <v>0</v>
      </c>
      <c r="BI217" s="136">
        <f t="shared" si="8"/>
        <v>0</v>
      </c>
      <c r="BJ217" s="136">
        <f t="shared" si="12"/>
        <v>0</v>
      </c>
      <c r="BK217" s="136">
        <f t="shared" si="13"/>
        <v>0</v>
      </c>
      <c r="BL217" s="136">
        <f t="shared" si="14"/>
        <v>0</v>
      </c>
      <c r="BM217" s="132"/>
      <c r="BN217" s="132"/>
      <c r="BO217" s="132"/>
    </row>
    <row r="218" spans="53:68" x14ac:dyDescent="0.25">
      <c r="BA218" s="138"/>
      <c r="BB218" s="154" t="str">
        <f t="shared" si="19"/>
        <v>9.3 Goods Carriers</v>
      </c>
      <c r="BC218" s="136">
        <f t="shared" si="19"/>
        <v>1</v>
      </c>
      <c r="BD218" s="283" t="str">
        <f t="shared" si="18"/>
        <v/>
      </c>
      <c r="BE218" s="136">
        <f t="shared" si="7"/>
        <v>0</v>
      </c>
      <c r="BF218" s="136">
        <f t="shared" si="9"/>
        <v>0</v>
      </c>
      <c r="BG218" s="136">
        <f t="shared" si="10"/>
        <v>0</v>
      </c>
      <c r="BH218" s="136">
        <f t="shared" si="11"/>
        <v>0</v>
      </c>
      <c r="BI218" s="136">
        <f t="shared" si="8"/>
        <v>1</v>
      </c>
      <c r="BJ218" s="136">
        <f t="shared" si="12"/>
        <v>0</v>
      </c>
      <c r="BK218" s="136">
        <f t="shared" si="13"/>
        <v>0</v>
      </c>
      <c r="BL218" s="136">
        <f t="shared" si="14"/>
        <v>1</v>
      </c>
      <c r="BM218" s="132"/>
      <c r="BN218" s="132"/>
      <c r="BO218" s="132"/>
    </row>
    <row r="219" spans="53:68" x14ac:dyDescent="0.25">
      <c r="BA219" s="138">
        <f>B20</f>
        <v>10</v>
      </c>
      <c r="BB219" s="136" t="str">
        <f t="shared" ref="BB219:BB220" si="20">C20</f>
        <v>Others</v>
      </c>
      <c r="BC219" s="136">
        <f t="shared" ref="BC219:BC220" si="21">D20</f>
        <v>14</v>
      </c>
      <c r="BD219" s="283" t="str">
        <f t="shared" si="18"/>
        <v/>
      </c>
      <c r="BE219" s="136">
        <f t="shared" ref="BE219:BE223" si="22">F20</f>
        <v>0</v>
      </c>
      <c r="BF219" s="136">
        <f t="shared" ref="BF219:BF223" si="23">G20</f>
        <v>0</v>
      </c>
      <c r="BG219" s="136">
        <f t="shared" ref="BG219:BG223" si="24">H20</f>
        <v>0</v>
      </c>
      <c r="BH219" s="136">
        <f t="shared" ref="BH219:BH223" si="25">I20</f>
        <v>0</v>
      </c>
      <c r="BI219" s="136">
        <f t="shared" ref="BI219:BI223" si="26">J20</f>
        <v>0</v>
      </c>
      <c r="BJ219" s="136">
        <f t="shared" ref="BJ219:BJ223" si="27">K20</f>
        <v>2</v>
      </c>
      <c r="BK219" s="136">
        <f t="shared" ref="BK219:BK223" si="28">L20</f>
        <v>0</v>
      </c>
      <c r="BL219" s="136">
        <f t="shared" ref="BL219:BL223" si="29">M20</f>
        <v>2</v>
      </c>
      <c r="BM219" s="132"/>
      <c r="BN219" s="132"/>
      <c r="BO219" s="132"/>
    </row>
    <row r="220" spans="53:68" x14ac:dyDescent="0.25">
      <c r="BA220" s="138">
        <f>B21</f>
        <v>11</v>
      </c>
      <c r="BB220" s="136" t="str">
        <f t="shared" si="20"/>
        <v>Total (sum of Sl. 1 to 10)</v>
      </c>
      <c r="BC220" s="136">
        <f t="shared" si="21"/>
        <v>45</v>
      </c>
      <c r="BD220" s="283" t="str">
        <f t="shared" si="18"/>
        <v/>
      </c>
      <c r="BE220" s="136">
        <f t="shared" si="22"/>
        <v>1</v>
      </c>
      <c r="BF220" s="136">
        <f t="shared" si="23"/>
        <v>0</v>
      </c>
      <c r="BG220" s="136">
        <f t="shared" si="24"/>
        <v>0</v>
      </c>
      <c r="BH220" s="136">
        <f t="shared" si="25"/>
        <v>1</v>
      </c>
      <c r="BI220" s="136">
        <f t="shared" si="26"/>
        <v>3</v>
      </c>
      <c r="BJ220" s="136">
        <f t="shared" si="27"/>
        <v>6</v>
      </c>
      <c r="BK220" s="136">
        <f t="shared" si="28"/>
        <v>0</v>
      </c>
      <c r="BL220" s="136">
        <f t="shared" si="29"/>
        <v>9</v>
      </c>
      <c r="BM220" s="132"/>
      <c r="BN220" s="132"/>
      <c r="BO220" s="132"/>
    </row>
    <row r="221" spans="53:68" x14ac:dyDescent="0.25">
      <c r="BA221" s="623" t="str">
        <f>A22</f>
        <v xml:space="preserve"> PROFORMA–II VALUES [Sl.– 9 (Accidental Fire (Total))]</v>
      </c>
      <c r="BB221" s="624"/>
      <c r="BC221" s="136">
        <f>D22</f>
        <v>45</v>
      </c>
      <c r="BD221" s="136"/>
      <c r="BE221" s="136">
        <f t="shared" si="22"/>
        <v>1</v>
      </c>
      <c r="BF221" s="136">
        <f t="shared" si="23"/>
        <v>0</v>
      </c>
      <c r="BG221" s="136">
        <f t="shared" si="24"/>
        <v>0</v>
      </c>
      <c r="BH221" s="136">
        <f t="shared" si="25"/>
        <v>1</v>
      </c>
      <c r="BI221" s="136">
        <f t="shared" si="26"/>
        <v>3</v>
      </c>
      <c r="BJ221" s="136">
        <f t="shared" si="27"/>
        <v>6</v>
      </c>
      <c r="BK221" s="136">
        <f t="shared" si="28"/>
        <v>0</v>
      </c>
      <c r="BL221" s="136">
        <f t="shared" si="29"/>
        <v>9</v>
      </c>
      <c r="BM221" s="132"/>
      <c r="BN221" s="132"/>
      <c r="BO221" s="132"/>
    </row>
    <row r="222" spans="53:68" x14ac:dyDescent="0.25">
      <c r="BA222" s="623" t="str">
        <f>A23</f>
        <v>VALIDATION WITH PROFORMA–II [Sl.– 9 (Accidental Fire (Total))]</v>
      </c>
      <c r="BB222" s="624"/>
      <c r="BC222" s="136" t="str">
        <f>D23</f>
        <v/>
      </c>
      <c r="BD222" s="136"/>
      <c r="BE222" s="136" t="str">
        <f t="shared" si="22"/>
        <v/>
      </c>
      <c r="BF222" s="136" t="str">
        <f t="shared" si="23"/>
        <v/>
      </c>
      <c r="BG222" s="136" t="str">
        <f t="shared" si="24"/>
        <v/>
      </c>
      <c r="BH222" s="136" t="str">
        <f t="shared" si="25"/>
        <v/>
      </c>
      <c r="BI222" s="136" t="str">
        <f t="shared" si="26"/>
        <v/>
      </c>
      <c r="BJ222" s="136" t="str">
        <f t="shared" si="27"/>
        <v/>
      </c>
      <c r="BK222" s="136" t="str">
        <f t="shared" si="28"/>
        <v/>
      </c>
      <c r="BL222" s="136" t="str">
        <f t="shared" si="29"/>
        <v/>
      </c>
      <c r="BM222" s="132"/>
      <c r="BN222" s="132"/>
      <c r="BO222" s="132"/>
    </row>
    <row r="223" spans="53:68" x14ac:dyDescent="0.25">
      <c r="BA223" s="622" t="str">
        <f>A24</f>
        <v>SL-10 ABNORMAL VARIATION IN "OTHERS" DATA</v>
      </c>
      <c r="BB223" s="622"/>
      <c r="BC223" s="310" t="str">
        <f>D24</f>
        <v>ABVAR</v>
      </c>
      <c r="BD223" s="310"/>
      <c r="BE223" s="310" t="str">
        <f t="shared" si="22"/>
        <v/>
      </c>
      <c r="BF223" s="310" t="str">
        <f t="shared" si="23"/>
        <v/>
      </c>
      <c r="BG223" s="310" t="str">
        <f t="shared" si="24"/>
        <v/>
      </c>
      <c r="BH223" s="310" t="str">
        <f t="shared" si="25"/>
        <v/>
      </c>
      <c r="BI223" s="310" t="str">
        <f t="shared" si="26"/>
        <v/>
      </c>
      <c r="BJ223" s="310" t="str">
        <f t="shared" si="27"/>
        <v>ABVAR</v>
      </c>
      <c r="BK223" s="310" t="str">
        <f t="shared" si="28"/>
        <v/>
      </c>
      <c r="BL223" s="310" t="str">
        <f t="shared" si="29"/>
        <v>ABVAR</v>
      </c>
      <c r="BM223" s="132"/>
      <c r="BN223" s="132"/>
      <c r="BO223" s="132"/>
      <c r="BP223" s="132"/>
    </row>
    <row r="224" spans="53:68" x14ac:dyDescent="0.25">
      <c r="BA224" s="132"/>
      <c r="BB224" s="132"/>
      <c r="BC224" s="132"/>
      <c r="BD224" s="132"/>
      <c r="BE224" s="132"/>
      <c r="BF224" s="132"/>
      <c r="BG224" s="132"/>
      <c r="BH224" s="132"/>
      <c r="BI224" s="132"/>
      <c r="BJ224" s="132"/>
      <c r="BK224" s="132"/>
      <c r="BL224" s="132"/>
      <c r="BM224" s="132"/>
      <c r="BN224" s="132"/>
      <c r="BO224" s="132"/>
      <c r="BP224" s="132"/>
    </row>
    <row r="500" spans="1:14" x14ac:dyDescent="0.25">
      <c r="A500" s="347" t="s">
        <v>450</v>
      </c>
      <c r="B500" s="347" t="s">
        <v>451</v>
      </c>
      <c r="C500" s="347" t="s">
        <v>452</v>
      </c>
      <c r="D500" s="347" t="s">
        <v>453</v>
      </c>
      <c r="E500" s="347" t="s">
        <v>472</v>
      </c>
      <c r="F500" s="347" t="s">
        <v>473</v>
      </c>
      <c r="G500" s="347" t="s">
        <v>474</v>
      </c>
      <c r="H500" s="347" t="s">
        <v>475</v>
      </c>
      <c r="I500" s="347" t="s">
        <v>476</v>
      </c>
      <c r="J500" s="347" t="s">
        <v>477</v>
      </c>
      <c r="K500" s="347" t="s">
        <v>478</v>
      </c>
      <c r="L500" s="347" t="s">
        <v>479</v>
      </c>
      <c r="M500" s="347" t="s">
        <v>480</v>
      </c>
    </row>
    <row r="501" spans="1:14" x14ac:dyDescent="0.2">
      <c r="A501" s="348">
        <f>IF(ADSI!$G$12="",ADSI!$H$16,ADSI!$H$12)</f>
        <v>6</v>
      </c>
      <c r="B501" s="348" t="str">
        <f ca="1">IF(ADSI!$G$12="",ADSI!$H$16,ADSI!$H$14)</f>
        <v/>
      </c>
      <c r="C501" s="390">
        <f>A8</f>
        <v>150</v>
      </c>
      <c r="D501" s="348">
        <f>ADSI!$K$12</f>
        <v>2021</v>
      </c>
      <c r="E501" s="348">
        <f>D8</f>
        <v>0</v>
      </c>
      <c r="F501" s="349">
        <f>F8</f>
        <v>0</v>
      </c>
      <c r="G501" s="349">
        <f t="shared" ref="G501:M501" si="30">G8</f>
        <v>0</v>
      </c>
      <c r="H501" s="349">
        <f t="shared" si="30"/>
        <v>0</v>
      </c>
      <c r="I501" s="349">
        <f t="shared" si="30"/>
        <v>0</v>
      </c>
      <c r="J501" s="349">
        <f t="shared" si="30"/>
        <v>0</v>
      </c>
      <c r="K501" s="349">
        <f t="shared" si="30"/>
        <v>0</v>
      </c>
      <c r="L501" s="349">
        <f t="shared" si="30"/>
        <v>0</v>
      </c>
      <c r="M501" s="349">
        <f t="shared" si="30"/>
        <v>0</v>
      </c>
      <c r="N501" s="188"/>
    </row>
    <row r="502" spans="1:14" x14ac:dyDescent="0.2">
      <c r="A502" s="348">
        <f>IF(ADSI!$G$12="",ADSI!$H$16,ADSI!$H$12)</f>
        <v>6</v>
      </c>
      <c r="B502" s="348" t="str">
        <f ca="1">IF(ADSI!$G$12="",ADSI!$H$16,ADSI!$H$14)</f>
        <v/>
      </c>
      <c r="C502" s="390">
        <f t="shared" ref="C502:C514" si="31">A9</f>
        <v>151</v>
      </c>
      <c r="D502" s="348">
        <f>ADSI!$K$12</f>
        <v>2021</v>
      </c>
      <c r="E502" s="348">
        <f t="shared" ref="E502:E514" si="32">D9</f>
        <v>2</v>
      </c>
      <c r="F502" s="349">
        <f t="shared" ref="F502:M502" si="33">F9</f>
        <v>0</v>
      </c>
      <c r="G502" s="349">
        <f t="shared" si="33"/>
        <v>0</v>
      </c>
      <c r="H502" s="349">
        <f t="shared" si="33"/>
        <v>0</v>
      </c>
      <c r="I502" s="349">
        <f t="shared" si="33"/>
        <v>0</v>
      </c>
      <c r="J502" s="349">
        <f t="shared" si="33"/>
        <v>0</v>
      </c>
      <c r="K502" s="349">
        <f t="shared" si="33"/>
        <v>1</v>
      </c>
      <c r="L502" s="349">
        <f t="shared" si="33"/>
        <v>0</v>
      </c>
      <c r="M502" s="349">
        <f t="shared" si="33"/>
        <v>1</v>
      </c>
      <c r="N502" s="188"/>
    </row>
    <row r="503" spans="1:14" x14ac:dyDescent="0.2">
      <c r="A503" s="348">
        <f>IF(ADSI!$G$12="",ADSI!$H$16,ADSI!$H$12)</f>
        <v>6</v>
      </c>
      <c r="B503" s="348" t="str">
        <f ca="1">IF(ADSI!$G$12="",ADSI!$H$16,ADSI!$H$14)</f>
        <v/>
      </c>
      <c r="C503" s="390">
        <f t="shared" si="31"/>
        <v>152</v>
      </c>
      <c r="D503" s="348">
        <f>ADSI!$K$12</f>
        <v>2021</v>
      </c>
      <c r="E503" s="348">
        <f t="shared" si="32"/>
        <v>12</v>
      </c>
      <c r="F503" s="349">
        <f t="shared" ref="F503:M503" si="34">F10</f>
        <v>1</v>
      </c>
      <c r="G503" s="349">
        <f t="shared" si="34"/>
        <v>0</v>
      </c>
      <c r="H503" s="349">
        <f t="shared" si="34"/>
        <v>0</v>
      </c>
      <c r="I503" s="349">
        <f t="shared" si="34"/>
        <v>1</v>
      </c>
      <c r="J503" s="349">
        <f t="shared" si="34"/>
        <v>2</v>
      </c>
      <c r="K503" s="349">
        <f t="shared" si="34"/>
        <v>3</v>
      </c>
      <c r="L503" s="349">
        <f t="shared" si="34"/>
        <v>0</v>
      </c>
      <c r="M503" s="349">
        <f t="shared" si="34"/>
        <v>5</v>
      </c>
      <c r="N503" s="188"/>
    </row>
    <row r="504" spans="1:14" x14ac:dyDescent="0.2">
      <c r="A504" s="348">
        <f>IF(ADSI!$G$12="",ADSI!$H$16,ADSI!$H$12)</f>
        <v>6</v>
      </c>
      <c r="B504" s="348" t="str">
        <f ca="1">IF(ADSI!$G$12="",ADSI!$H$16,ADSI!$H$14)</f>
        <v/>
      </c>
      <c r="C504" s="390">
        <f t="shared" si="31"/>
        <v>153</v>
      </c>
      <c r="D504" s="348">
        <f>ADSI!$K$12</f>
        <v>2021</v>
      </c>
      <c r="E504" s="348">
        <f t="shared" si="32"/>
        <v>0</v>
      </c>
      <c r="F504" s="349">
        <f t="shared" ref="F504:M504" si="35">F11</f>
        <v>0</v>
      </c>
      <c r="G504" s="349">
        <f t="shared" si="35"/>
        <v>0</v>
      </c>
      <c r="H504" s="349">
        <f t="shared" si="35"/>
        <v>0</v>
      </c>
      <c r="I504" s="349">
        <f t="shared" si="35"/>
        <v>0</v>
      </c>
      <c r="J504" s="349">
        <f t="shared" si="35"/>
        <v>0</v>
      </c>
      <c r="K504" s="349">
        <f t="shared" si="35"/>
        <v>0</v>
      </c>
      <c r="L504" s="349">
        <f t="shared" si="35"/>
        <v>0</v>
      </c>
      <c r="M504" s="349">
        <f t="shared" si="35"/>
        <v>0</v>
      </c>
      <c r="N504" s="188"/>
    </row>
    <row r="505" spans="1:14" x14ac:dyDescent="0.2">
      <c r="A505" s="348">
        <f>IF(ADSI!$G$12="",ADSI!$H$16,ADSI!$H$12)</f>
        <v>6</v>
      </c>
      <c r="B505" s="348" t="str">
        <f ca="1">IF(ADSI!$G$12="",ADSI!$H$16,ADSI!$H$14)</f>
        <v/>
      </c>
      <c r="C505" s="390">
        <f t="shared" si="31"/>
        <v>154</v>
      </c>
      <c r="D505" s="348">
        <f>ADSI!$K$12</f>
        <v>2021</v>
      </c>
      <c r="E505" s="348">
        <f t="shared" si="32"/>
        <v>0</v>
      </c>
      <c r="F505" s="349">
        <f t="shared" ref="F505:M505" si="36">F12</f>
        <v>0</v>
      </c>
      <c r="G505" s="349">
        <f t="shared" si="36"/>
        <v>0</v>
      </c>
      <c r="H505" s="349">
        <f t="shared" si="36"/>
        <v>0</v>
      </c>
      <c r="I505" s="349">
        <f t="shared" si="36"/>
        <v>0</v>
      </c>
      <c r="J505" s="349">
        <f t="shared" si="36"/>
        <v>0</v>
      </c>
      <c r="K505" s="349">
        <f t="shared" si="36"/>
        <v>0</v>
      </c>
      <c r="L505" s="349">
        <f t="shared" si="36"/>
        <v>0</v>
      </c>
      <c r="M505" s="349">
        <f t="shared" si="36"/>
        <v>0</v>
      </c>
      <c r="N505" s="188"/>
    </row>
    <row r="506" spans="1:14" x14ac:dyDescent="0.2">
      <c r="A506" s="348">
        <f>IF(ADSI!$G$12="",ADSI!$H$16,ADSI!$H$12)</f>
        <v>6</v>
      </c>
      <c r="B506" s="348" t="str">
        <f ca="1">IF(ADSI!$G$12="",ADSI!$H$16,ADSI!$H$14)</f>
        <v/>
      </c>
      <c r="C506" s="390">
        <f t="shared" si="31"/>
        <v>155</v>
      </c>
      <c r="D506" s="348">
        <f>ADSI!$K$12</f>
        <v>2021</v>
      </c>
      <c r="E506" s="348">
        <f t="shared" si="32"/>
        <v>0</v>
      </c>
      <c r="F506" s="349">
        <f t="shared" ref="F506:M506" si="37">F13</f>
        <v>0</v>
      </c>
      <c r="G506" s="349">
        <f t="shared" si="37"/>
        <v>0</v>
      </c>
      <c r="H506" s="349">
        <f t="shared" si="37"/>
        <v>0</v>
      </c>
      <c r="I506" s="349">
        <f t="shared" si="37"/>
        <v>0</v>
      </c>
      <c r="J506" s="349">
        <f t="shared" si="37"/>
        <v>0</v>
      </c>
      <c r="K506" s="349">
        <f t="shared" si="37"/>
        <v>0</v>
      </c>
      <c r="L506" s="349">
        <f t="shared" si="37"/>
        <v>0</v>
      </c>
      <c r="M506" s="349">
        <f t="shared" si="37"/>
        <v>0</v>
      </c>
      <c r="N506" s="188"/>
    </row>
    <row r="507" spans="1:14" x14ac:dyDescent="0.2">
      <c r="A507" s="348">
        <f>IF(ADSI!$G$12="",ADSI!$H$16,ADSI!$H$12)</f>
        <v>6</v>
      </c>
      <c r="B507" s="348" t="str">
        <f ca="1">IF(ADSI!$G$12="",ADSI!$H$16,ADSI!$H$14)</f>
        <v/>
      </c>
      <c r="C507" s="390">
        <f t="shared" si="31"/>
        <v>156</v>
      </c>
      <c r="D507" s="348">
        <f>ADSI!$K$12</f>
        <v>2021</v>
      </c>
      <c r="E507" s="348">
        <f t="shared" si="32"/>
        <v>1</v>
      </c>
      <c r="F507" s="349">
        <f t="shared" ref="F507:M507" si="38">F14</f>
        <v>0</v>
      </c>
      <c r="G507" s="349">
        <f t="shared" si="38"/>
        <v>0</v>
      </c>
      <c r="H507" s="349">
        <f t="shared" si="38"/>
        <v>0</v>
      </c>
      <c r="I507" s="349">
        <f t="shared" si="38"/>
        <v>0</v>
      </c>
      <c r="J507" s="349">
        <f t="shared" si="38"/>
        <v>0</v>
      </c>
      <c r="K507" s="349">
        <f t="shared" si="38"/>
        <v>0</v>
      </c>
      <c r="L507" s="349">
        <f t="shared" si="38"/>
        <v>0</v>
      </c>
      <c r="M507" s="349">
        <f t="shared" si="38"/>
        <v>0</v>
      </c>
      <c r="N507" s="188"/>
    </row>
    <row r="508" spans="1:14" x14ac:dyDescent="0.2">
      <c r="A508" s="348">
        <f>IF(ADSI!$G$12="",ADSI!$H$16,ADSI!$H$12)</f>
        <v>6</v>
      </c>
      <c r="B508" s="348" t="str">
        <f ca="1">IF(ADSI!$G$12="",ADSI!$H$16,ADSI!$H$14)</f>
        <v/>
      </c>
      <c r="C508" s="390">
        <f t="shared" si="31"/>
        <v>157</v>
      </c>
      <c r="D508" s="348">
        <f>ADSI!$K$12</f>
        <v>2021</v>
      </c>
      <c r="E508" s="348">
        <f t="shared" si="32"/>
        <v>0</v>
      </c>
      <c r="F508" s="349">
        <f t="shared" ref="F508:M508" si="39">F15</f>
        <v>0</v>
      </c>
      <c r="G508" s="349">
        <f t="shared" si="39"/>
        <v>0</v>
      </c>
      <c r="H508" s="349">
        <f t="shared" si="39"/>
        <v>0</v>
      </c>
      <c r="I508" s="349">
        <f t="shared" si="39"/>
        <v>0</v>
      </c>
      <c r="J508" s="349">
        <f t="shared" si="39"/>
        <v>0</v>
      </c>
      <c r="K508" s="349">
        <f t="shared" si="39"/>
        <v>0</v>
      </c>
      <c r="L508" s="349">
        <f t="shared" si="39"/>
        <v>0</v>
      </c>
      <c r="M508" s="349">
        <f t="shared" si="39"/>
        <v>0</v>
      </c>
      <c r="N508" s="188"/>
    </row>
    <row r="509" spans="1:14" x14ac:dyDescent="0.2">
      <c r="A509" s="348">
        <f>IF(ADSI!$G$12="",ADSI!$H$16,ADSI!$H$12)</f>
        <v>6</v>
      </c>
      <c r="B509" s="348" t="str">
        <f ca="1">IF(ADSI!$G$12="",ADSI!$H$16,ADSI!$H$14)</f>
        <v/>
      </c>
      <c r="C509" s="390">
        <f t="shared" si="31"/>
        <v>158</v>
      </c>
      <c r="D509" s="348">
        <f>ADSI!$K$12</f>
        <v>2021</v>
      </c>
      <c r="E509" s="348">
        <f t="shared" si="32"/>
        <v>16</v>
      </c>
      <c r="F509" s="349">
        <f t="shared" ref="F509:M509" si="40">F16</f>
        <v>0</v>
      </c>
      <c r="G509" s="349">
        <f t="shared" si="40"/>
        <v>0</v>
      </c>
      <c r="H509" s="349">
        <f t="shared" si="40"/>
        <v>0</v>
      </c>
      <c r="I509" s="349">
        <f t="shared" si="40"/>
        <v>0</v>
      </c>
      <c r="J509" s="349">
        <f t="shared" si="40"/>
        <v>1</v>
      </c>
      <c r="K509" s="349">
        <f t="shared" si="40"/>
        <v>0</v>
      </c>
      <c r="L509" s="349">
        <f t="shared" si="40"/>
        <v>0</v>
      </c>
      <c r="M509" s="349">
        <f t="shared" si="40"/>
        <v>1</v>
      </c>
      <c r="N509" s="188"/>
    </row>
    <row r="510" spans="1:14" x14ac:dyDescent="0.2">
      <c r="A510" s="348">
        <f>IF(ADSI!$G$12="",ADSI!$H$16,ADSI!$H$12)</f>
        <v>6</v>
      </c>
      <c r="B510" s="348" t="str">
        <f ca="1">IF(ADSI!$G$12="",ADSI!$H$16,ADSI!$H$14)</f>
        <v/>
      </c>
      <c r="C510" s="390">
        <f t="shared" si="31"/>
        <v>159</v>
      </c>
      <c r="D510" s="348">
        <f>ADSI!$K$12</f>
        <v>2021</v>
      </c>
      <c r="E510" s="348">
        <f t="shared" si="32"/>
        <v>0</v>
      </c>
      <c r="F510" s="349">
        <f t="shared" ref="F510:M510" si="41">F17</f>
        <v>0</v>
      </c>
      <c r="G510" s="349">
        <f t="shared" si="41"/>
        <v>0</v>
      </c>
      <c r="H510" s="349">
        <f t="shared" si="41"/>
        <v>0</v>
      </c>
      <c r="I510" s="349">
        <f t="shared" si="41"/>
        <v>0</v>
      </c>
      <c r="J510" s="349">
        <f t="shared" si="41"/>
        <v>0</v>
      </c>
      <c r="K510" s="349">
        <f t="shared" si="41"/>
        <v>0</v>
      </c>
      <c r="L510" s="349">
        <f t="shared" si="41"/>
        <v>0</v>
      </c>
      <c r="M510" s="349">
        <f t="shared" si="41"/>
        <v>0</v>
      </c>
      <c r="N510" s="188"/>
    </row>
    <row r="511" spans="1:14" x14ac:dyDescent="0.2">
      <c r="A511" s="348">
        <f>IF(ADSI!$G$12="",ADSI!$H$16,ADSI!$H$12)</f>
        <v>6</v>
      </c>
      <c r="B511" s="348" t="str">
        <f ca="1">IF(ADSI!$G$12="",ADSI!$H$16,ADSI!$H$14)</f>
        <v/>
      </c>
      <c r="C511" s="390">
        <f t="shared" si="31"/>
        <v>160</v>
      </c>
      <c r="D511" s="348">
        <f>ADSI!$K$12</f>
        <v>2021</v>
      </c>
      <c r="E511" s="348">
        <f t="shared" si="32"/>
        <v>15</v>
      </c>
      <c r="F511" s="349">
        <f t="shared" ref="F511:M511" si="42">F18</f>
        <v>0</v>
      </c>
      <c r="G511" s="349">
        <f t="shared" si="42"/>
        <v>0</v>
      </c>
      <c r="H511" s="349">
        <f t="shared" si="42"/>
        <v>0</v>
      </c>
      <c r="I511" s="349">
        <f t="shared" si="42"/>
        <v>0</v>
      </c>
      <c r="J511" s="349">
        <f t="shared" si="42"/>
        <v>0</v>
      </c>
      <c r="K511" s="349">
        <f t="shared" si="42"/>
        <v>0</v>
      </c>
      <c r="L511" s="349">
        <f t="shared" si="42"/>
        <v>0</v>
      </c>
      <c r="M511" s="349">
        <f t="shared" si="42"/>
        <v>0</v>
      </c>
      <c r="N511" s="188"/>
    </row>
    <row r="512" spans="1:14" x14ac:dyDescent="0.2">
      <c r="A512" s="348">
        <f>IF(ADSI!$G$12="",ADSI!$H$16,ADSI!$H$12)</f>
        <v>6</v>
      </c>
      <c r="B512" s="348" t="str">
        <f ca="1">IF(ADSI!$G$12="",ADSI!$H$16,ADSI!$H$14)</f>
        <v/>
      </c>
      <c r="C512" s="390">
        <f t="shared" si="31"/>
        <v>161</v>
      </c>
      <c r="D512" s="348">
        <f>ADSI!$K$12</f>
        <v>2021</v>
      </c>
      <c r="E512" s="348">
        <f t="shared" si="32"/>
        <v>1</v>
      </c>
      <c r="F512" s="349">
        <f t="shared" ref="F512:M512" si="43">F19</f>
        <v>0</v>
      </c>
      <c r="G512" s="349">
        <f t="shared" si="43"/>
        <v>0</v>
      </c>
      <c r="H512" s="349">
        <f t="shared" si="43"/>
        <v>0</v>
      </c>
      <c r="I512" s="349">
        <f t="shared" si="43"/>
        <v>0</v>
      </c>
      <c r="J512" s="349">
        <f t="shared" si="43"/>
        <v>1</v>
      </c>
      <c r="K512" s="349">
        <f t="shared" si="43"/>
        <v>0</v>
      </c>
      <c r="L512" s="349">
        <f t="shared" si="43"/>
        <v>0</v>
      </c>
      <c r="M512" s="349">
        <f t="shared" si="43"/>
        <v>1</v>
      </c>
      <c r="N512" s="188"/>
    </row>
    <row r="513" spans="1:14" x14ac:dyDescent="0.2">
      <c r="A513" s="348">
        <f>IF(ADSI!$G$12="",ADSI!$H$16,ADSI!$H$12)</f>
        <v>6</v>
      </c>
      <c r="B513" s="348" t="str">
        <f ca="1">IF(ADSI!$G$12="",ADSI!$H$16,ADSI!$H$14)</f>
        <v/>
      </c>
      <c r="C513" s="390">
        <f t="shared" si="31"/>
        <v>162</v>
      </c>
      <c r="D513" s="348">
        <f>ADSI!$K$12</f>
        <v>2021</v>
      </c>
      <c r="E513" s="348">
        <f t="shared" si="32"/>
        <v>14</v>
      </c>
      <c r="F513" s="349">
        <f t="shared" ref="F513:M513" si="44">F20</f>
        <v>0</v>
      </c>
      <c r="G513" s="349">
        <f t="shared" si="44"/>
        <v>0</v>
      </c>
      <c r="H513" s="349">
        <f t="shared" si="44"/>
        <v>0</v>
      </c>
      <c r="I513" s="349">
        <f t="shared" si="44"/>
        <v>0</v>
      </c>
      <c r="J513" s="349">
        <f t="shared" si="44"/>
        <v>0</v>
      </c>
      <c r="K513" s="349">
        <f t="shared" si="44"/>
        <v>2</v>
      </c>
      <c r="L513" s="349">
        <f t="shared" si="44"/>
        <v>0</v>
      </c>
      <c r="M513" s="349">
        <f t="shared" si="44"/>
        <v>2</v>
      </c>
      <c r="N513" s="188"/>
    </row>
    <row r="514" spans="1:14" x14ac:dyDescent="0.2">
      <c r="A514" s="348">
        <f>IF(ADSI!$G$12="",ADSI!$H$16,ADSI!$H$12)</f>
        <v>6</v>
      </c>
      <c r="B514" s="348" t="str">
        <f ca="1">IF(ADSI!$G$12="",ADSI!$H$16,ADSI!$H$14)</f>
        <v/>
      </c>
      <c r="C514" s="390">
        <f t="shared" si="31"/>
        <v>180</v>
      </c>
      <c r="D514" s="348">
        <f>ADSI!$K$12</f>
        <v>2021</v>
      </c>
      <c r="E514" s="348">
        <f t="shared" si="32"/>
        <v>45</v>
      </c>
      <c r="F514" s="349">
        <f t="shared" ref="F514:M514" si="45">F21</f>
        <v>1</v>
      </c>
      <c r="G514" s="349">
        <f t="shared" si="45"/>
        <v>0</v>
      </c>
      <c r="H514" s="349">
        <f t="shared" si="45"/>
        <v>0</v>
      </c>
      <c r="I514" s="349">
        <f t="shared" si="45"/>
        <v>1</v>
      </c>
      <c r="J514" s="349">
        <f t="shared" si="45"/>
        <v>3</v>
      </c>
      <c r="K514" s="349">
        <f t="shared" si="45"/>
        <v>6</v>
      </c>
      <c r="L514" s="349">
        <f t="shared" si="45"/>
        <v>0</v>
      </c>
      <c r="M514" s="349">
        <f t="shared" si="45"/>
        <v>9</v>
      </c>
      <c r="N514" s="188"/>
    </row>
    <row r="515" spans="1:14" x14ac:dyDescent="0.2">
      <c r="A515" s="186"/>
      <c r="B515" s="186"/>
      <c r="C515" s="187"/>
      <c r="D515" s="186"/>
      <c r="E515" s="243"/>
      <c r="F515" s="188"/>
      <c r="G515" s="188"/>
      <c r="H515" s="188"/>
      <c r="I515" s="188"/>
      <c r="J515" s="188"/>
      <c r="K515" s="188"/>
      <c r="L515" s="188"/>
      <c r="M515" s="188"/>
      <c r="N515" s="188"/>
    </row>
    <row r="516" spans="1:14" x14ac:dyDescent="0.2">
      <c r="A516" s="186"/>
      <c r="B516" s="186"/>
      <c r="C516" s="187"/>
      <c r="D516" s="186"/>
      <c r="E516" s="243"/>
      <c r="F516" s="188"/>
      <c r="G516" s="188"/>
      <c r="H516" s="188"/>
      <c r="I516" s="188"/>
      <c r="J516" s="188"/>
      <c r="K516" s="188"/>
      <c r="L516" s="188"/>
      <c r="M516" s="188"/>
      <c r="N516" s="188"/>
    </row>
    <row r="517" spans="1:14" x14ac:dyDescent="0.2">
      <c r="A517" s="186"/>
      <c r="B517" s="186"/>
      <c r="C517" s="187"/>
      <c r="D517" s="186"/>
      <c r="E517" s="243"/>
      <c r="F517" s="188"/>
      <c r="G517" s="188"/>
      <c r="H517" s="188"/>
      <c r="I517" s="188"/>
      <c r="J517" s="188"/>
      <c r="K517" s="188"/>
      <c r="L517" s="188"/>
      <c r="M517" s="188"/>
      <c r="N517" s="188"/>
    </row>
    <row r="518" spans="1:14" x14ac:dyDescent="0.2">
      <c r="A518" s="186"/>
      <c r="B518" s="186"/>
      <c r="C518" s="187"/>
      <c r="D518" s="186"/>
      <c r="E518" s="243"/>
      <c r="F518" s="188"/>
      <c r="G518" s="188"/>
      <c r="H518" s="188"/>
      <c r="I518" s="188"/>
      <c r="J518" s="188"/>
      <c r="K518" s="188"/>
      <c r="L518" s="188"/>
      <c r="M518" s="188"/>
      <c r="N518" s="188"/>
    </row>
    <row r="519" spans="1:14" x14ac:dyDescent="0.2">
      <c r="A519" s="186"/>
      <c r="B519" s="186"/>
      <c r="C519" s="187"/>
      <c r="D519" s="186"/>
      <c r="E519" s="243"/>
      <c r="F519" s="188"/>
      <c r="G519" s="188"/>
      <c r="H519" s="188"/>
      <c r="I519" s="188"/>
      <c r="J519" s="188"/>
      <c r="K519" s="188"/>
      <c r="L519" s="188"/>
      <c r="M519" s="188"/>
      <c r="N519" s="188"/>
    </row>
    <row r="520" spans="1:14" x14ac:dyDescent="0.2">
      <c r="A520" s="186"/>
      <c r="B520" s="186"/>
      <c r="C520" s="187"/>
      <c r="D520" s="186"/>
      <c r="E520" s="243"/>
      <c r="F520" s="188"/>
      <c r="G520" s="188"/>
      <c r="H520" s="188"/>
      <c r="I520" s="188"/>
      <c r="J520" s="188"/>
      <c r="K520" s="188"/>
      <c r="L520" s="188"/>
      <c r="M520" s="188"/>
      <c r="N520" s="188"/>
    </row>
    <row r="521" spans="1:14" x14ac:dyDescent="0.2">
      <c r="A521" s="186"/>
      <c r="B521" s="186"/>
      <c r="C521" s="187"/>
      <c r="D521" s="186"/>
      <c r="E521" s="243"/>
      <c r="F521" s="188"/>
      <c r="G521" s="188"/>
      <c r="H521" s="188"/>
      <c r="I521" s="188"/>
      <c r="J521" s="188"/>
      <c r="K521" s="188"/>
      <c r="L521" s="188"/>
      <c r="M521" s="188"/>
      <c r="N521" s="188"/>
    </row>
    <row r="522" spans="1:14" x14ac:dyDescent="0.2">
      <c r="A522" s="186"/>
      <c r="B522" s="186"/>
      <c r="C522" s="187"/>
      <c r="D522" s="186"/>
      <c r="E522" s="243"/>
      <c r="F522" s="188"/>
      <c r="G522" s="188"/>
      <c r="H522" s="188"/>
      <c r="I522" s="188"/>
      <c r="J522" s="188"/>
      <c r="K522" s="188"/>
      <c r="L522" s="188"/>
      <c r="M522" s="188"/>
      <c r="N522" s="188"/>
    </row>
    <row r="523" spans="1:14" x14ac:dyDescent="0.2">
      <c r="A523" s="186"/>
      <c r="B523" s="186"/>
      <c r="C523" s="187"/>
      <c r="D523" s="186"/>
      <c r="E523" s="243"/>
      <c r="F523" s="188"/>
      <c r="G523" s="188"/>
      <c r="H523" s="188"/>
      <c r="I523" s="188"/>
      <c r="J523" s="188"/>
      <c r="K523" s="188"/>
      <c r="L523" s="188"/>
      <c r="M523" s="188"/>
      <c r="N523" s="188"/>
    </row>
    <row r="524" spans="1:14" x14ac:dyDescent="0.2">
      <c r="A524" s="186"/>
      <c r="B524" s="186"/>
      <c r="C524" s="187"/>
      <c r="D524" s="186"/>
      <c r="E524" s="243"/>
      <c r="F524" s="188"/>
      <c r="G524" s="188"/>
      <c r="H524" s="188"/>
      <c r="I524" s="188"/>
      <c r="J524" s="188"/>
      <c r="K524" s="188"/>
      <c r="L524" s="188"/>
      <c r="M524" s="188"/>
      <c r="N524" s="188"/>
    </row>
    <row r="525" spans="1:14" x14ac:dyDescent="0.2">
      <c r="A525" s="186"/>
      <c r="B525" s="186"/>
      <c r="C525" s="187"/>
      <c r="D525" s="186"/>
      <c r="E525" s="243"/>
      <c r="F525" s="188"/>
      <c r="G525" s="188"/>
      <c r="H525" s="188"/>
      <c r="I525" s="188"/>
      <c r="J525" s="188"/>
      <c r="K525" s="188"/>
      <c r="L525" s="188"/>
      <c r="M525" s="188"/>
      <c r="N525" s="188"/>
    </row>
    <row r="526" spans="1:14" x14ac:dyDescent="0.2">
      <c r="A526" s="186"/>
      <c r="B526" s="186"/>
      <c r="C526" s="187"/>
      <c r="D526" s="186"/>
      <c r="E526" s="243"/>
      <c r="F526" s="188"/>
      <c r="G526" s="188"/>
      <c r="H526" s="188"/>
      <c r="I526" s="188"/>
      <c r="J526" s="188"/>
      <c r="K526" s="188"/>
      <c r="L526" s="188"/>
      <c r="M526" s="188"/>
      <c r="N526" s="188"/>
    </row>
    <row r="527" spans="1:14" x14ac:dyDescent="0.2">
      <c r="A527" s="186"/>
      <c r="B527" s="186"/>
      <c r="C527" s="187"/>
      <c r="D527" s="186"/>
      <c r="E527" s="243"/>
      <c r="F527" s="188"/>
      <c r="G527" s="188"/>
      <c r="H527" s="188"/>
      <c r="I527" s="188"/>
      <c r="J527" s="188"/>
      <c r="K527" s="188"/>
      <c r="L527" s="188"/>
      <c r="M527" s="188"/>
      <c r="N527" s="188"/>
    </row>
    <row r="528" spans="1:14" x14ac:dyDescent="0.2">
      <c r="A528" s="186"/>
      <c r="B528" s="186"/>
      <c r="C528" s="187"/>
      <c r="D528" s="186"/>
      <c r="E528" s="243"/>
      <c r="F528" s="188"/>
      <c r="G528" s="188"/>
      <c r="H528" s="188"/>
      <c r="I528" s="188"/>
      <c r="J528" s="188"/>
      <c r="K528" s="188"/>
      <c r="L528" s="188"/>
      <c r="M528" s="188"/>
      <c r="N528" s="188"/>
    </row>
    <row r="529" spans="1:14" x14ac:dyDescent="0.2">
      <c r="A529" s="186"/>
      <c r="B529" s="186"/>
      <c r="C529" s="187"/>
      <c r="D529" s="186"/>
      <c r="E529" s="243"/>
      <c r="F529" s="188"/>
      <c r="G529" s="188"/>
      <c r="H529" s="188"/>
      <c r="I529" s="188"/>
      <c r="J529" s="188"/>
      <c r="K529" s="188"/>
      <c r="L529" s="188"/>
      <c r="M529" s="188"/>
      <c r="N529" s="188"/>
    </row>
    <row r="530" spans="1:14" x14ac:dyDescent="0.2">
      <c r="A530" s="186"/>
      <c r="B530" s="186"/>
      <c r="C530" s="187"/>
      <c r="D530" s="186"/>
      <c r="E530" s="243"/>
      <c r="F530" s="188"/>
      <c r="G530" s="188"/>
      <c r="H530" s="188"/>
      <c r="I530" s="188"/>
      <c r="J530" s="188"/>
      <c r="K530" s="188"/>
      <c r="L530" s="188"/>
      <c r="M530" s="188"/>
      <c r="N530" s="188"/>
    </row>
    <row r="531" spans="1:14" x14ac:dyDescent="0.2">
      <c r="A531" s="186"/>
      <c r="B531" s="186"/>
      <c r="C531" s="187"/>
      <c r="D531" s="186"/>
      <c r="E531" s="243"/>
      <c r="F531" s="188"/>
      <c r="G531" s="188"/>
      <c r="H531" s="188"/>
      <c r="I531" s="188"/>
      <c r="J531" s="188"/>
      <c r="K531" s="188"/>
      <c r="L531" s="188"/>
      <c r="M531" s="188"/>
      <c r="N531" s="188"/>
    </row>
    <row r="532" spans="1:14" x14ac:dyDescent="0.2">
      <c r="A532" s="186"/>
      <c r="B532" s="186"/>
      <c r="C532" s="187"/>
      <c r="D532" s="186"/>
      <c r="E532" s="243"/>
      <c r="F532" s="188"/>
      <c r="G532" s="188"/>
      <c r="H532" s="188"/>
      <c r="I532" s="188"/>
      <c r="J532" s="188"/>
      <c r="K532" s="188"/>
      <c r="L532" s="188"/>
      <c r="M532" s="188"/>
      <c r="N532" s="188"/>
    </row>
    <row r="533" spans="1:14" x14ac:dyDescent="0.2">
      <c r="A533" s="186"/>
      <c r="B533" s="186"/>
      <c r="C533" s="187"/>
      <c r="D533" s="186"/>
      <c r="E533" s="243"/>
      <c r="F533" s="188"/>
      <c r="G533" s="188"/>
      <c r="H533" s="188"/>
      <c r="I533" s="188"/>
      <c r="J533" s="188"/>
      <c r="K533" s="188"/>
      <c r="L533" s="188"/>
      <c r="M533" s="188"/>
      <c r="N533" s="188"/>
    </row>
    <row r="534" spans="1:14" x14ac:dyDescent="0.2">
      <c r="A534" s="186"/>
      <c r="B534" s="186"/>
      <c r="C534" s="187"/>
      <c r="D534" s="186"/>
      <c r="E534" s="243"/>
      <c r="F534" s="188"/>
      <c r="G534" s="188"/>
      <c r="H534" s="188"/>
      <c r="I534" s="188"/>
      <c r="J534" s="188"/>
      <c r="K534" s="188"/>
      <c r="L534" s="188"/>
      <c r="M534" s="188"/>
      <c r="N534" s="188"/>
    </row>
    <row r="535" spans="1:14" x14ac:dyDescent="0.2">
      <c r="A535" s="186"/>
      <c r="B535" s="186"/>
      <c r="C535" s="187"/>
      <c r="D535" s="186"/>
      <c r="E535" s="243"/>
      <c r="F535" s="188"/>
      <c r="G535" s="188"/>
      <c r="H535" s="188"/>
      <c r="I535" s="188"/>
      <c r="J535" s="188"/>
      <c r="K535" s="188"/>
      <c r="L535" s="188"/>
      <c r="M535" s="188"/>
      <c r="N535" s="188"/>
    </row>
  </sheetData>
  <sheetProtection password="C614" sheet="1" objects="1" scenarios="1" selectLockedCells="1"/>
  <mergeCells count="19">
    <mergeCell ref="BA223:BB223"/>
    <mergeCell ref="BA221:BB221"/>
    <mergeCell ref="BA222:BB222"/>
    <mergeCell ref="A22:C22"/>
    <mergeCell ref="A23:C23"/>
    <mergeCell ref="BB204:BB205"/>
    <mergeCell ref="A5:A6"/>
    <mergeCell ref="E5:E6"/>
    <mergeCell ref="BA204:BA205"/>
    <mergeCell ref="B5:B6"/>
    <mergeCell ref="C5:C6"/>
    <mergeCell ref="D5:D6"/>
    <mergeCell ref="A24:C24"/>
    <mergeCell ref="BC204:BC205"/>
    <mergeCell ref="BE204:BH204"/>
    <mergeCell ref="BI204:BL204"/>
    <mergeCell ref="F5:I5"/>
    <mergeCell ref="J5:M5"/>
    <mergeCell ref="BD204:BD206"/>
  </mergeCells>
  <conditionalFormatting sqref="D23 F23:M23">
    <cfRule type="cellIs" dxfId="136" priority="4" operator="equal">
      <formula>FALSE</formula>
    </cfRule>
  </conditionalFormatting>
  <conditionalFormatting sqref="E8:E21">
    <cfRule type="cellIs" dxfId="135" priority="3" operator="equal">
      <formula>FALSE</formula>
    </cfRule>
  </conditionalFormatting>
  <conditionalFormatting sqref="D24 F24:M24">
    <cfRule type="cellIs" dxfId="134" priority="1" operator="equal">
      <formula>"ABVAR"</formula>
    </cfRule>
    <cfRule type="cellIs" dxfId="133" priority="2" operator="equal">
      <formula>FALSE</formula>
    </cfRule>
  </conditionalFormatting>
  <dataValidations count="1">
    <dataValidation type="whole" allowBlank="1" showInputMessage="1" showErrorMessage="1" sqref="F17:H20 J8:L15 J17:L20 D17:D20 D8:D15 F8:H15">
      <formula1>0</formula1>
      <formula2>999999999</formula2>
    </dataValidation>
  </dataValidations>
  <pageMargins left="1.1811023622047245" right="0.39370078740157483" top="0.98425196850393704" bottom="0.74803149606299213" header="0.39370078740157483" footer="0.19685039370078741"/>
  <pageSetup paperSize="5" orientation="landscape" r:id="rId1"/>
  <headerFooter>
    <oddFooter>&amp;L&amp;9ADSI - &amp;A&amp;C&amp;9&amp;D &amp;T&amp;R&amp;9Page &amp;P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L545"/>
  <sheetViews>
    <sheetView showGridLines="0" workbookViewId="0">
      <pane xSplit="3" ySplit="8" topLeftCell="D27" activePane="bottomRight" state="frozen"/>
      <selection activeCell="D9" sqref="D9"/>
      <selection pane="topRight" activeCell="D9" sqref="D9"/>
      <selection pane="bottomLeft" activeCell="D9" sqref="D9"/>
      <selection pane="bottomRight" activeCell="D31" sqref="D31"/>
    </sheetView>
  </sheetViews>
  <sheetFormatPr defaultRowHeight="15" x14ac:dyDescent="0.25"/>
  <cols>
    <col min="1" max="2" width="6.7109375" style="38" customWidth="1"/>
    <col min="3" max="3" width="56.5703125" style="38" bestFit="1" customWidth="1"/>
    <col min="4" max="9" width="12.7109375" style="38" customWidth="1"/>
    <col min="10" max="12" width="15.7109375" style="38" customWidth="1"/>
    <col min="13" max="18" width="12.7109375" style="38" customWidth="1"/>
    <col min="19" max="21" width="15.7109375" style="38" customWidth="1"/>
    <col min="22" max="27" width="12.7109375" style="38" customWidth="1"/>
    <col min="28" max="33" width="15.7109375" style="38" customWidth="1"/>
    <col min="34" max="34" width="8.7109375" style="38" customWidth="1"/>
    <col min="35" max="52" width="9.140625" style="38"/>
    <col min="53" max="53" width="4.85546875" style="38" customWidth="1"/>
    <col min="54" max="54" width="25.7109375" style="38" customWidth="1"/>
    <col min="55" max="55" width="7.140625" style="38" customWidth="1"/>
    <col min="56" max="59" width="9.140625" style="38"/>
    <col min="60" max="60" width="7.7109375" style="38" customWidth="1"/>
    <col min="61" max="63" width="9.140625" style="38"/>
    <col min="64" max="64" width="7" style="38" customWidth="1"/>
    <col min="65" max="68" width="9.140625" style="38"/>
    <col min="69" max="69" width="7.7109375" style="38" customWidth="1"/>
    <col min="70" max="72" width="9.140625" style="38"/>
    <col min="73" max="73" width="7.7109375" style="38" customWidth="1"/>
    <col min="74" max="16384" width="9.140625" style="38"/>
  </cols>
  <sheetData>
    <row r="1" spans="1:34" ht="15.75" x14ac:dyDescent="0.25">
      <c r="A1" s="285" t="str">
        <f>ADSI!$B$1</f>
        <v>Goa, , ADSI-2021</v>
      </c>
    </row>
    <row r="2" spans="1:34" ht="15.75" x14ac:dyDescent="0.25">
      <c r="A2" s="286" t="s">
        <v>657</v>
      </c>
      <c r="B2" s="290"/>
      <c r="C2" s="291">
        <f>COUNTIF(L9:L52,FALSE)+COUNTIF(U9:U52,FALSE)+COUNTIF(AD9:AD52,FALSE)+COUNTIF(AG9:AG52,FALSE)</f>
        <v>0</v>
      </c>
      <c r="E2" s="465" t="s">
        <v>1570</v>
      </c>
      <c r="F2" s="464">
        <f>COUNTIF(D53:AG55,"ABVAR")</f>
        <v>0</v>
      </c>
    </row>
    <row r="3" spans="1:34" ht="15.75" x14ac:dyDescent="0.25">
      <c r="A3" s="289" t="s">
        <v>59</v>
      </c>
      <c r="C3" s="41"/>
      <c r="D3" s="35"/>
      <c r="E3" s="35"/>
      <c r="F3" s="35"/>
      <c r="G3" s="35"/>
      <c r="H3" s="35"/>
      <c r="I3" s="35"/>
      <c r="K3" s="35"/>
      <c r="L3" s="35"/>
      <c r="N3" s="35"/>
      <c r="O3" s="35"/>
      <c r="P3" s="35"/>
      <c r="Q3" s="35"/>
      <c r="R3" s="35"/>
      <c r="S3" s="35"/>
      <c r="T3" s="35"/>
      <c r="U3" s="35"/>
      <c r="V3" s="35"/>
      <c r="W3" s="35"/>
      <c r="X3" s="35"/>
      <c r="Y3" s="35"/>
      <c r="Z3" s="35"/>
      <c r="AA3" s="35"/>
      <c r="AB3" s="35"/>
      <c r="AC3" s="35"/>
      <c r="AD3" s="35"/>
      <c r="AE3" s="129"/>
    </row>
    <row r="4" spans="1:34" ht="15.75" customHeight="1" x14ac:dyDescent="0.25">
      <c r="A4" s="289" t="s">
        <v>251</v>
      </c>
      <c r="C4" s="37"/>
      <c r="D4" s="35"/>
      <c r="E4" s="35"/>
      <c r="F4" s="35"/>
      <c r="G4" s="35"/>
      <c r="H4" s="35"/>
      <c r="K4" s="35"/>
      <c r="N4" s="35"/>
      <c r="O4" s="35"/>
      <c r="P4" s="35"/>
      <c r="Q4" s="35"/>
      <c r="R4" s="35"/>
      <c r="S4" s="35"/>
      <c r="T4" s="35"/>
      <c r="U4" s="35"/>
      <c r="V4" s="35"/>
      <c r="W4" s="35"/>
      <c r="X4" s="35"/>
      <c r="Y4" s="35"/>
      <c r="Z4" s="35"/>
      <c r="AA4" s="35"/>
      <c r="AB4" s="35"/>
      <c r="AC4" s="35"/>
      <c r="AD4" s="130"/>
      <c r="AE4" s="131"/>
    </row>
    <row r="5" spans="1:34" s="25" customFormat="1" ht="20.100000000000001" customHeight="1" x14ac:dyDescent="0.25">
      <c r="A5" s="608" t="s">
        <v>249</v>
      </c>
      <c r="B5" s="632" t="s">
        <v>0</v>
      </c>
      <c r="C5" s="633" t="s">
        <v>34</v>
      </c>
      <c r="D5" s="587" t="s">
        <v>13</v>
      </c>
      <c r="E5" s="588"/>
      <c r="F5" s="588"/>
      <c r="G5" s="588"/>
      <c r="H5" s="588"/>
      <c r="I5" s="588"/>
      <c r="J5" s="588"/>
      <c r="K5" s="588"/>
      <c r="L5" s="588"/>
      <c r="M5" s="588"/>
      <c r="N5" s="588"/>
      <c r="O5" s="588"/>
      <c r="P5" s="588"/>
      <c r="Q5" s="588"/>
      <c r="R5" s="588"/>
      <c r="S5" s="588"/>
      <c r="T5" s="588"/>
      <c r="U5" s="588"/>
      <c r="V5" s="588"/>
      <c r="W5" s="588"/>
      <c r="X5" s="588"/>
      <c r="Y5" s="588"/>
      <c r="Z5" s="588"/>
      <c r="AA5" s="588"/>
      <c r="AB5" s="588"/>
      <c r="AC5" s="588"/>
      <c r="AD5" s="589"/>
      <c r="AE5" s="633" t="s">
        <v>242</v>
      </c>
      <c r="AF5" s="630" t="s">
        <v>596</v>
      </c>
      <c r="AG5" s="616" t="s">
        <v>597</v>
      </c>
    </row>
    <row r="6" spans="1:34" s="25" customFormat="1" ht="20.100000000000001" customHeight="1" x14ac:dyDescent="0.25">
      <c r="A6" s="629"/>
      <c r="B6" s="632"/>
      <c r="C6" s="633"/>
      <c r="D6" s="587" t="s">
        <v>172</v>
      </c>
      <c r="E6" s="588"/>
      <c r="F6" s="588"/>
      <c r="G6" s="588"/>
      <c r="H6" s="588"/>
      <c r="I6" s="588"/>
      <c r="J6" s="588"/>
      <c r="K6" s="588"/>
      <c r="L6" s="589"/>
      <c r="M6" s="590" t="s">
        <v>173</v>
      </c>
      <c r="N6" s="591"/>
      <c r="O6" s="591"/>
      <c r="P6" s="591"/>
      <c r="Q6" s="591"/>
      <c r="R6" s="591"/>
      <c r="S6" s="591"/>
      <c r="T6" s="591"/>
      <c r="U6" s="592"/>
      <c r="V6" s="587" t="s">
        <v>240</v>
      </c>
      <c r="W6" s="588"/>
      <c r="X6" s="588"/>
      <c r="Y6" s="588"/>
      <c r="Z6" s="588"/>
      <c r="AA6" s="588"/>
      <c r="AB6" s="588"/>
      <c r="AC6" s="588"/>
      <c r="AD6" s="589"/>
      <c r="AE6" s="633"/>
      <c r="AF6" s="630"/>
      <c r="AG6" s="617"/>
    </row>
    <row r="7" spans="1:34" s="25" customFormat="1" ht="90" x14ac:dyDescent="0.25">
      <c r="A7" s="609"/>
      <c r="B7" s="632"/>
      <c r="C7" s="633"/>
      <c r="D7" s="26" t="s">
        <v>169</v>
      </c>
      <c r="E7" s="26" t="s">
        <v>31</v>
      </c>
      <c r="F7" s="26" t="s">
        <v>171</v>
      </c>
      <c r="G7" s="26" t="s">
        <v>15</v>
      </c>
      <c r="H7" s="26" t="s">
        <v>178</v>
      </c>
      <c r="I7" s="26" t="s">
        <v>16</v>
      </c>
      <c r="J7" s="26" t="s">
        <v>198</v>
      </c>
      <c r="K7" s="125" t="s">
        <v>590</v>
      </c>
      <c r="L7" s="316" t="s">
        <v>591</v>
      </c>
      <c r="M7" s="220" t="s">
        <v>169</v>
      </c>
      <c r="N7" s="220" t="s">
        <v>31</v>
      </c>
      <c r="O7" s="220" t="s">
        <v>171</v>
      </c>
      <c r="P7" s="220" t="s">
        <v>15</v>
      </c>
      <c r="Q7" s="220" t="s">
        <v>178</v>
      </c>
      <c r="R7" s="220" t="s">
        <v>16</v>
      </c>
      <c r="S7" s="220" t="s">
        <v>202</v>
      </c>
      <c r="T7" s="125" t="s">
        <v>592</v>
      </c>
      <c r="U7" s="321" t="s">
        <v>593</v>
      </c>
      <c r="V7" s="26" t="s">
        <v>169</v>
      </c>
      <c r="W7" s="26" t="s">
        <v>31</v>
      </c>
      <c r="X7" s="26" t="s">
        <v>171</v>
      </c>
      <c r="Y7" s="26" t="s">
        <v>15</v>
      </c>
      <c r="Z7" s="26" t="s">
        <v>178</v>
      </c>
      <c r="AA7" s="26" t="s">
        <v>16</v>
      </c>
      <c r="AB7" s="26" t="s">
        <v>241</v>
      </c>
      <c r="AC7" s="125" t="s">
        <v>594</v>
      </c>
      <c r="AD7" s="316" t="s">
        <v>595</v>
      </c>
      <c r="AE7" s="633"/>
      <c r="AF7" s="630"/>
      <c r="AG7" s="631"/>
    </row>
    <row r="8" spans="1:34" s="25" customFormat="1" ht="20.100000000000001" customHeight="1" x14ac:dyDescent="0.25">
      <c r="A8" s="27"/>
      <c r="B8" s="27" t="s">
        <v>181</v>
      </c>
      <c r="C8" s="221" t="s">
        <v>182</v>
      </c>
      <c r="D8" s="29" t="s">
        <v>183</v>
      </c>
      <c r="E8" s="27" t="s">
        <v>184</v>
      </c>
      <c r="F8" s="27" t="s">
        <v>185</v>
      </c>
      <c r="G8" s="27" t="s">
        <v>186</v>
      </c>
      <c r="H8" s="29" t="s">
        <v>187</v>
      </c>
      <c r="I8" s="29" t="s">
        <v>188</v>
      </c>
      <c r="J8" s="29" t="s">
        <v>189</v>
      </c>
      <c r="K8" s="126"/>
      <c r="L8" s="312"/>
      <c r="M8" s="222" t="s">
        <v>190</v>
      </c>
      <c r="N8" s="222" t="s">
        <v>191</v>
      </c>
      <c r="O8" s="222" t="s">
        <v>192</v>
      </c>
      <c r="P8" s="222" t="s">
        <v>193</v>
      </c>
      <c r="Q8" s="222" t="s">
        <v>194</v>
      </c>
      <c r="R8" s="222" t="s">
        <v>195</v>
      </c>
      <c r="S8" s="222" t="s">
        <v>196</v>
      </c>
      <c r="T8" s="249"/>
      <c r="U8" s="317"/>
      <c r="V8" s="29" t="s">
        <v>197</v>
      </c>
      <c r="W8" s="29" t="s">
        <v>204</v>
      </c>
      <c r="X8" s="29" t="s">
        <v>205</v>
      </c>
      <c r="Y8" s="29" t="s">
        <v>206</v>
      </c>
      <c r="Z8" s="29" t="s">
        <v>207</v>
      </c>
      <c r="AA8" s="29" t="s">
        <v>208</v>
      </c>
      <c r="AB8" s="29" t="s">
        <v>209</v>
      </c>
      <c r="AC8" s="249"/>
      <c r="AD8" s="318"/>
      <c r="AE8" s="222" t="s">
        <v>210</v>
      </c>
      <c r="AF8" s="249"/>
      <c r="AG8" s="317"/>
    </row>
    <row r="9" spans="1:34" ht="20.100000000000001" customHeight="1" x14ac:dyDescent="0.25">
      <c r="A9" s="33">
        <v>200</v>
      </c>
      <c r="B9" s="33">
        <v>1</v>
      </c>
      <c r="C9" s="30" t="s">
        <v>40</v>
      </c>
      <c r="D9" s="250">
        <v>0</v>
      </c>
      <c r="E9" s="250">
        <v>0</v>
      </c>
      <c r="F9" s="250">
        <v>0</v>
      </c>
      <c r="G9" s="250">
        <v>0</v>
      </c>
      <c r="H9" s="251">
        <v>0</v>
      </c>
      <c r="I9" s="251">
        <v>0</v>
      </c>
      <c r="J9" s="431">
        <f t="shared" ref="J9:J51" si="0">SUM(D9:I9)</f>
        <v>0</v>
      </c>
      <c r="K9" s="391">
        <f>'P-II'!J8</f>
        <v>0</v>
      </c>
      <c r="L9" s="408" t="str">
        <f>IF(J9='P-II'!J8,"",FALSE)</f>
        <v/>
      </c>
      <c r="M9" s="252">
        <v>0</v>
      </c>
      <c r="N9" s="252">
        <v>0</v>
      </c>
      <c r="O9" s="252">
        <v>0</v>
      </c>
      <c r="P9" s="252">
        <v>0</v>
      </c>
      <c r="Q9" s="252">
        <v>0</v>
      </c>
      <c r="R9" s="252">
        <v>0</v>
      </c>
      <c r="S9" s="431">
        <f>SUM(M9:R9)</f>
        <v>0</v>
      </c>
      <c r="T9" s="391">
        <f>'P-II'!K8</f>
        <v>0</v>
      </c>
      <c r="U9" s="466" t="str">
        <f>IF(S9='P-II'!K8,"",FALSE)</f>
        <v/>
      </c>
      <c r="V9" s="253">
        <v>0</v>
      </c>
      <c r="W9" s="253">
        <v>0</v>
      </c>
      <c r="X9" s="253">
        <v>0</v>
      </c>
      <c r="Y9" s="253">
        <v>0</v>
      </c>
      <c r="Z9" s="253">
        <v>0</v>
      </c>
      <c r="AA9" s="253">
        <v>0</v>
      </c>
      <c r="AB9" s="431">
        <f>SUM(V9:AA9)</f>
        <v>0</v>
      </c>
      <c r="AC9" s="391">
        <f>'P-II'!L8</f>
        <v>0</v>
      </c>
      <c r="AD9" s="466" t="str">
        <f>IF(AB9='P-II'!L8,"",FALSE)</f>
        <v/>
      </c>
      <c r="AE9" s="431">
        <f>SUM(J9+S9+AB9)</f>
        <v>0</v>
      </c>
      <c r="AF9" s="391">
        <f>'P-II'!M8</f>
        <v>0</v>
      </c>
      <c r="AG9" s="466" t="str">
        <f>IF(AE9='P-II'!M8,"",FALSE)</f>
        <v/>
      </c>
      <c r="AH9" s="333"/>
    </row>
    <row r="10" spans="1:34" ht="20.100000000000001" customHeight="1" x14ac:dyDescent="0.25">
      <c r="A10" s="34">
        <v>201</v>
      </c>
      <c r="B10" s="34">
        <v>2</v>
      </c>
      <c r="C10" s="31" t="s">
        <v>41</v>
      </c>
      <c r="D10" s="250">
        <v>0</v>
      </c>
      <c r="E10" s="250">
        <v>0</v>
      </c>
      <c r="F10" s="250">
        <v>0</v>
      </c>
      <c r="G10" s="250">
        <v>0</v>
      </c>
      <c r="H10" s="251">
        <v>0</v>
      </c>
      <c r="I10" s="251">
        <v>0</v>
      </c>
      <c r="J10" s="431">
        <f t="shared" si="0"/>
        <v>0</v>
      </c>
      <c r="K10" s="391">
        <f>'P-II'!J9</f>
        <v>0</v>
      </c>
      <c r="L10" s="408" t="str">
        <f>IF(J10='P-II'!J9,"",FALSE)</f>
        <v/>
      </c>
      <c r="M10" s="252">
        <v>0</v>
      </c>
      <c r="N10" s="252">
        <v>0</v>
      </c>
      <c r="O10" s="252">
        <v>0</v>
      </c>
      <c r="P10" s="252">
        <v>0</v>
      </c>
      <c r="Q10" s="252">
        <v>0</v>
      </c>
      <c r="R10" s="252">
        <v>0</v>
      </c>
      <c r="S10" s="431">
        <f t="shared" ref="S10:S51" si="1">SUM(M10:R10)</f>
        <v>0</v>
      </c>
      <c r="T10" s="391">
        <f>'P-II'!K9</f>
        <v>0</v>
      </c>
      <c r="U10" s="466" t="str">
        <f>IF(S10='P-II'!K9,"",FALSE)</f>
        <v/>
      </c>
      <c r="V10" s="253">
        <v>0</v>
      </c>
      <c r="W10" s="253">
        <v>0</v>
      </c>
      <c r="X10" s="253">
        <v>0</v>
      </c>
      <c r="Y10" s="253">
        <v>0</v>
      </c>
      <c r="Z10" s="253">
        <v>0</v>
      </c>
      <c r="AA10" s="253">
        <v>0</v>
      </c>
      <c r="AB10" s="431">
        <f t="shared" ref="AB10:AB50" si="2">SUM(V10:AA10)</f>
        <v>0</v>
      </c>
      <c r="AC10" s="391">
        <f>'P-II'!L9</f>
        <v>0</v>
      </c>
      <c r="AD10" s="466" t="str">
        <f>IF(AB10='P-II'!L9,"",FALSE)</f>
        <v/>
      </c>
      <c r="AE10" s="431">
        <f t="shared" ref="AE10:AE51" si="3">SUM(J10+S10+AB10)</f>
        <v>0</v>
      </c>
      <c r="AF10" s="391">
        <f>'P-II'!M9</f>
        <v>0</v>
      </c>
      <c r="AG10" s="466" t="str">
        <f>IF(AE10='P-II'!M9,"",FALSE)</f>
        <v/>
      </c>
      <c r="AH10" s="333"/>
    </row>
    <row r="11" spans="1:34" ht="20.100000000000001" customHeight="1" x14ac:dyDescent="0.25">
      <c r="A11" s="33">
        <v>202</v>
      </c>
      <c r="B11" s="34">
        <v>3</v>
      </c>
      <c r="C11" s="411" t="s">
        <v>1436</v>
      </c>
      <c r="D11" s="429">
        <f>SUM(D12:D16)</f>
        <v>0</v>
      </c>
      <c r="E11" s="429">
        <f t="shared" ref="E11:G11" si="4">SUM(E12:E16)</f>
        <v>0</v>
      </c>
      <c r="F11" s="429">
        <f t="shared" si="4"/>
        <v>1</v>
      </c>
      <c r="G11" s="429">
        <f t="shared" si="4"/>
        <v>2</v>
      </c>
      <c r="H11" s="429">
        <f>SUM(H12:H16)</f>
        <v>2</v>
      </c>
      <c r="I11" s="429">
        <f t="shared" ref="I11:M11" si="5">SUM(I12:I16)</f>
        <v>0</v>
      </c>
      <c r="J11" s="415">
        <f t="shared" si="0"/>
        <v>5</v>
      </c>
      <c r="K11" s="391">
        <f>'P-II'!J10</f>
        <v>5</v>
      </c>
      <c r="L11" s="430" t="str">
        <f>IF(J11='P-II'!J10,"",FALSE)</f>
        <v/>
      </c>
      <c r="M11" s="429">
        <f t="shared" si="5"/>
        <v>0</v>
      </c>
      <c r="N11" s="429">
        <f t="shared" ref="N11" si="6">SUM(N12:N16)</f>
        <v>0</v>
      </c>
      <c r="O11" s="429">
        <f t="shared" ref="O11" si="7">SUM(O12:O16)</f>
        <v>0</v>
      </c>
      <c r="P11" s="429">
        <f t="shared" ref="P11" si="8">SUM(P12:P16)</f>
        <v>0</v>
      </c>
      <c r="Q11" s="429">
        <f t="shared" ref="Q11" si="9">SUM(Q12:Q16)</f>
        <v>0</v>
      </c>
      <c r="R11" s="429">
        <f t="shared" ref="R11:AA11" si="10">SUM(R12:R16)</f>
        <v>0</v>
      </c>
      <c r="S11" s="415">
        <f t="shared" si="1"/>
        <v>0</v>
      </c>
      <c r="T11" s="391">
        <f>'P-II'!K10</f>
        <v>0</v>
      </c>
      <c r="U11" s="430" t="str">
        <f>IF(S11='P-II'!K10,"",FALSE)</f>
        <v/>
      </c>
      <c r="V11" s="429">
        <f t="shared" si="10"/>
        <v>0</v>
      </c>
      <c r="W11" s="429">
        <f t="shared" si="10"/>
        <v>0</v>
      </c>
      <c r="X11" s="429">
        <f t="shared" si="10"/>
        <v>0</v>
      </c>
      <c r="Y11" s="429">
        <f t="shared" si="10"/>
        <v>0</v>
      </c>
      <c r="Z11" s="429">
        <f t="shared" si="10"/>
        <v>0</v>
      </c>
      <c r="AA11" s="429">
        <f t="shared" si="10"/>
        <v>0</v>
      </c>
      <c r="AB11" s="415">
        <f t="shared" si="2"/>
        <v>0</v>
      </c>
      <c r="AC11" s="391">
        <f>'P-II'!L10</f>
        <v>0</v>
      </c>
      <c r="AD11" s="430" t="str">
        <f>IF(AB11='P-II'!L10,"",FALSE)</f>
        <v/>
      </c>
      <c r="AE11" s="415">
        <f t="shared" si="3"/>
        <v>5</v>
      </c>
      <c r="AF11" s="391">
        <f>'P-II'!M10</f>
        <v>5</v>
      </c>
      <c r="AG11" s="430" t="str">
        <f>IF(AE11='P-II'!M10,"",FALSE)</f>
        <v/>
      </c>
      <c r="AH11" s="333"/>
    </row>
    <row r="12" spans="1:34" ht="20.100000000000001" customHeight="1" x14ac:dyDescent="0.25">
      <c r="A12" s="34">
        <v>203</v>
      </c>
      <c r="B12" s="34"/>
      <c r="C12" s="211" t="s">
        <v>1437</v>
      </c>
      <c r="D12" s="250">
        <v>0</v>
      </c>
      <c r="E12" s="250">
        <v>0</v>
      </c>
      <c r="F12" s="250">
        <v>1</v>
      </c>
      <c r="G12" s="250">
        <v>0</v>
      </c>
      <c r="H12" s="251">
        <v>0</v>
      </c>
      <c r="I12" s="251">
        <v>0</v>
      </c>
      <c r="J12" s="431">
        <f t="shared" si="0"/>
        <v>1</v>
      </c>
      <c r="K12" s="391">
        <f>'P-II'!J11</f>
        <v>1</v>
      </c>
      <c r="L12" s="408" t="str">
        <f>IF(J12='P-II'!J11,"",FALSE)</f>
        <v/>
      </c>
      <c r="M12" s="252">
        <v>0</v>
      </c>
      <c r="N12" s="252">
        <v>0</v>
      </c>
      <c r="O12" s="252">
        <v>0</v>
      </c>
      <c r="P12" s="252">
        <v>0</v>
      </c>
      <c r="Q12" s="252">
        <v>0</v>
      </c>
      <c r="R12" s="252">
        <v>0</v>
      </c>
      <c r="S12" s="431">
        <f t="shared" si="1"/>
        <v>0</v>
      </c>
      <c r="T12" s="391">
        <f>'P-II'!K11</f>
        <v>0</v>
      </c>
      <c r="U12" s="466" t="str">
        <f>IF(S12='P-II'!K11,"",FALSE)</f>
        <v/>
      </c>
      <c r="V12" s="253">
        <v>0</v>
      </c>
      <c r="W12" s="253">
        <v>0</v>
      </c>
      <c r="X12" s="253">
        <v>0</v>
      </c>
      <c r="Y12" s="253">
        <v>0</v>
      </c>
      <c r="Z12" s="253">
        <v>0</v>
      </c>
      <c r="AA12" s="253">
        <v>0</v>
      </c>
      <c r="AB12" s="431">
        <f t="shared" si="2"/>
        <v>0</v>
      </c>
      <c r="AC12" s="391">
        <f>'P-II'!L11</f>
        <v>0</v>
      </c>
      <c r="AD12" s="466" t="str">
        <f>IF(AB12='P-II'!L11,"",FALSE)</f>
        <v/>
      </c>
      <c r="AE12" s="431">
        <f t="shared" si="3"/>
        <v>1</v>
      </c>
      <c r="AF12" s="391">
        <f>'P-II'!M11</f>
        <v>1</v>
      </c>
      <c r="AG12" s="467" t="str">
        <f>IF(AE12='P-II'!M11,"",FALSE)</f>
        <v/>
      </c>
      <c r="AH12" s="333"/>
    </row>
    <row r="13" spans="1:34" ht="20.100000000000001" customHeight="1" x14ac:dyDescent="0.25">
      <c r="A13" s="33">
        <v>204</v>
      </c>
      <c r="B13" s="34"/>
      <c r="C13" s="212" t="s">
        <v>1438</v>
      </c>
      <c r="D13" s="250">
        <v>0</v>
      </c>
      <c r="E13" s="250">
        <v>0</v>
      </c>
      <c r="F13" s="250">
        <v>0</v>
      </c>
      <c r="G13" s="250">
        <v>0</v>
      </c>
      <c r="H13" s="251">
        <v>0</v>
      </c>
      <c r="I13" s="251">
        <v>0</v>
      </c>
      <c r="J13" s="431">
        <f t="shared" si="0"/>
        <v>0</v>
      </c>
      <c r="K13" s="391">
        <f>'P-II'!J12</f>
        <v>0</v>
      </c>
      <c r="L13" s="408" t="str">
        <f>IF(J13='P-II'!J12,"",FALSE)</f>
        <v/>
      </c>
      <c r="M13" s="252">
        <v>0</v>
      </c>
      <c r="N13" s="252">
        <v>0</v>
      </c>
      <c r="O13" s="252">
        <v>0</v>
      </c>
      <c r="P13" s="252">
        <v>0</v>
      </c>
      <c r="Q13" s="252">
        <v>0</v>
      </c>
      <c r="R13" s="252">
        <v>0</v>
      </c>
      <c r="S13" s="431">
        <f t="shared" si="1"/>
        <v>0</v>
      </c>
      <c r="T13" s="391">
        <f>'P-II'!K12</f>
        <v>0</v>
      </c>
      <c r="U13" s="466" t="str">
        <f>IF(S13='P-II'!K12,"",FALSE)</f>
        <v/>
      </c>
      <c r="V13" s="253">
        <v>0</v>
      </c>
      <c r="W13" s="253">
        <v>0</v>
      </c>
      <c r="X13" s="253">
        <v>0</v>
      </c>
      <c r="Y13" s="253">
        <v>0</v>
      </c>
      <c r="Z13" s="253">
        <v>0</v>
      </c>
      <c r="AA13" s="253">
        <v>0</v>
      </c>
      <c r="AB13" s="431">
        <f t="shared" si="2"/>
        <v>0</v>
      </c>
      <c r="AC13" s="391">
        <f>'P-II'!L12</f>
        <v>0</v>
      </c>
      <c r="AD13" s="466" t="str">
        <f>IF(AB13='P-II'!L12,"",FALSE)</f>
        <v/>
      </c>
      <c r="AE13" s="431">
        <f t="shared" si="3"/>
        <v>0</v>
      </c>
      <c r="AF13" s="391">
        <f>'P-II'!M12</f>
        <v>0</v>
      </c>
      <c r="AG13" s="466" t="str">
        <f>IF(AE13='P-II'!M12,"",FALSE)</f>
        <v/>
      </c>
      <c r="AH13" s="333"/>
    </row>
    <row r="14" spans="1:34" ht="20.100000000000001" customHeight="1" x14ac:dyDescent="0.25">
      <c r="A14" s="34">
        <v>205</v>
      </c>
      <c r="B14" s="34"/>
      <c r="C14" s="212" t="s">
        <v>1439</v>
      </c>
      <c r="D14" s="250">
        <v>0</v>
      </c>
      <c r="E14" s="250">
        <v>0</v>
      </c>
      <c r="F14" s="250">
        <v>0</v>
      </c>
      <c r="G14" s="250">
        <v>0</v>
      </c>
      <c r="H14" s="251">
        <v>0</v>
      </c>
      <c r="I14" s="251">
        <v>0</v>
      </c>
      <c r="J14" s="431">
        <f t="shared" si="0"/>
        <v>0</v>
      </c>
      <c r="K14" s="391">
        <f>'P-II'!J13</f>
        <v>0</v>
      </c>
      <c r="L14" s="408" t="str">
        <f>IF(J14='P-II'!J13,"",FALSE)</f>
        <v/>
      </c>
      <c r="M14" s="252">
        <v>0</v>
      </c>
      <c r="N14" s="252">
        <v>0</v>
      </c>
      <c r="O14" s="252">
        <v>0</v>
      </c>
      <c r="P14" s="252">
        <v>0</v>
      </c>
      <c r="Q14" s="252">
        <v>0</v>
      </c>
      <c r="R14" s="252">
        <v>0</v>
      </c>
      <c r="S14" s="431">
        <f t="shared" si="1"/>
        <v>0</v>
      </c>
      <c r="T14" s="391">
        <f>'P-II'!K13</f>
        <v>0</v>
      </c>
      <c r="U14" s="466" t="str">
        <f>IF(S14='P-II'!K13,"",FALSE)</f>
        <v/>
      </c>
      <c r="V14" s="253">
        <v>0</v>
      </c>
      <c r="W14" s="253">
        <v>0</v>
      </c>
      <c r="X14" s="253">
        <v>0</v>
      </c>
      <c r="Y14" s="253">
        <v>0</v>
      </c>
      <c r="Z14" s="253">
        <v>0</v>
      </c>
      <c r="AA14" s="253">
        <v>0</v>
      </c>
      <c r="AB14" s="431">
        <f t="shared" si="2"/>
        <v>0</v>
      </c>
      <c r="AC14" s="391">
        <f>'P-II'!L13</f>
        <v>0</v>
      </c>
      <c r="AD14" s="466" t="str">
        <f>IF(AB14='P-II'!L13,"",FALSE)</f>
        <v/>
      </c>
      <c r="AE14" s="431">
        <f t="shared" si="3"/>
        <v>0</v>
      </c>
      <c r="AF14" s="391">
        <f>'P-II'!M13</f>
        <v>0</v>
      </c>
      <c r="AG14" s="466" t="str">
        <f>IF(AE14='P-II'!M13,"",FALSE)</f>
        <v/>
      </c>
      <c r="AH14" s="333"/>
    </row>
    <row r="15" spans="1:34" ht="20.100000000000001" customHeight="1" x14ac:dyDescent="0.25">
      <c r="A15" s="33">
        <v>206</v>
      </c>
      <c r="B15" s="34"/>
      <c r="C15" s="212" t="s">
        <v>1440</v>
      </c>
      <c r="D15" s="250">
        <v>0</v>
      </c>
      <c r="E15" s="250">
        <v>0</v>
      </c>
      <c r="F15" s="250">
        <v>0</v>
      </c>
      <c r="G15" s="250">
        <v>0</v>
      </c>
      <c r="H15" s="251">
        <v>0</v>
      </c>
      <c r="I15" s="251">
        <v>0</v>
      </c>
      <c r="J15" s="431">
        <f t="shared" si="0"/>
        <v>0</v>
      </c>
      <c r="K15" s="391">
        <f>'P-II'!J14</f>
        <v>0</v>
      </c>
      <c r="L15" s="408" t="str">
        <f>IF(J15='P-II'!J14,"",FALSE)</f>
        <v/>
      </c>
      <c r="M15" s="252">
        <v>0</v>
      </c>
      <c r="N15" s="252">
        <v>0</v>
      </c>
      <c r="O15" s="252">
        <v>0</v>
      </c>
      <c r="P15" s="252">
        <v>0</v>
      </c>
      <c r="Q15" s="252">
        <v>0</v>
      </c>
      <c r="R15" s="252">
        <v>0</v>
      </c>
      <c r="S15" s="431">
        <f t="shared" si="1"/>
        <v>0</v>
      </c>
      <c r="T15" s="391">
        <f>'P-II'!K14</f>
        <v>0</v>
      </c>
      <c r="U15" s="466" t="str">
        <f>IF(S15='P-II'!K14,"",FALSE)</f>
        <v/>
      </c>
      <c r="V15" s="253">
        <v>0</v>
      </c>
      <c r="W15" s="253">
        <v>0</v>
      </c>
      <c r="X15" s="253">
        <v>0</v>
      </c>
      <c r="Y15" s="253">
        <v>0</v>
      </c>
      <c r="Z15" s="253">
        <v>0</v>
      </c>
      <c r="AA15" s="253">
        <v>0</v>
      </c>
      <c r="AB15" s="431">
        <f t="shared" si="2"/>
        <v>0</v>
      </c>
      <c r="AC15" s="391">
        <f>'P-II'!L14</f>
        <v>0</v>
      </c>
      <c r="AD15" s="466" t="str">
        <f>IF(AB15='P-II'!L14,"",FALSE)</f>
        <v/>
      </c>
      <c r="AE15" s="431">
        <f t="shared" si="3"/>
        <v>0</v>
      </c>
      <c r="AF15" s="391">
        <f>'P-II'!M14</f>
        <v>0</v>
      </c>
      <c r="AG15" s="466" t="str">
        <f>IF(AE15='P-II'!M14,"",FALSE)</f>
        <v/>
      </c>
      <c r="AH15" s="333"/>
    </row>
    <row r="16" spans="1:34" ht="20.100000000000001" customHeight="1" x14ac:dyDescent="0.25">
      <c r="A16" s="34">
        <v>207</v>
      </c>
      <c r="B16" s="34"/>
      <c r="C16" s="211" t="s">
        <v>1441</v>
      </c>
      <c r="D16" s="250">
        <v>0</v>
      </c>
      <c r="E16" s="250">
        <v>0</v>
      </c>
      <c r="F16" s="250">
        <v>0</v>
      </c>
      <c r="G16" s="250">
        <v>2</v>
      </c>
      <c r="H16" s="251">
        <v>2</v>
      </c>
      <c r="I16" s="251">
        <v>0</v>
      </c>
      <c r="J16" s="431">
        <f t="shared" si="0"/>
        <v>4</v>
      </c>
      <c r="K16" s="391">
        <f>'P-II'!J15</f>
        <v>4</v>
      </c>
      <c r="L16" s="408" t="str">
        <f>IF(J16='P-II'!J15,"",FALSE)</f>
        <v/>
      </c>
      <c r="M16" s="252">
        <v>0</v>
      </c>
      <c r="N16" s="252">
        <v>0</v>
      </c>
      <c r="O16" s="252">
        <v>0</v>
      </c>
      <c r="P16" s="252">
        <v>0</v>
      </c>
      <c r="Q16" s="252">
        <v>0</v>
      </c>
      <c r="R16" s="252">
        <v>0</v>
      </c>
      <c r="S16" s="431">
        <f t="shared" si="1"/>
        <v>0</v>
      </c>
      <c r="T16" s="391">
        <f>'P-II'!K15</f>
        <v>0</v>
      </c>
      <c r="U16" s="466" t="str">
        <f>IF(S16='P-II'!K15,"",FALSE)</f>
        <v/>
      </c>
      <c r="V16" s="253">
        <v>0</v>
      </c>
      <c r="W16" s="253">
        <v>0</v>
      </c>
      <c r="X16" s="253">
        <v>0</v>
      </c>
      <c r="Y16" s="253">
        <v>0</v>
      </c>
      <c r="Z16" s="253">
        <v>0</v>
      </c>
      <c r="AA16" s="253">
        <v>0</v>
      </c>
      <c r="AB16" s="431">
        <f t="shared" si="2"/>
        <v>0</v>
      </c>
      <c r="AC16" s="391">
        <f>'P-II'!L15</f>
        <v>0</v>
      </c>
      <c r="AD16" s="466" t="str">
        <f>IF(AB16='P-II'!L15,"",FALSE)</f>
        <v/>
      </c>
      <c r="AE16" s="431">
        <f t="shared" si="3"/>
        <v>4</v>
      </c>
      <c r="AF16" s="391">
        <f>'P-II'!M15</f>
        <v>4</v>
      </c>
      <c r="AG16" s="466" t="str">
        <f>IF(AE16='P-II'!M15,"",FALSE)</f>
        <v/>
      </c>
      <c r="AH16" s="333"/>
    </row>
    <row r="17" spans="1:34" ht="20.100000000000001" customHeight="1" x14ac:dyDescent="0.25">
      <c r="A17" s="33">
        <v>208</v>
      </c>
      <c r="B17" s="34">
        <v>4</v>
      </c>
      <c r="C17" s="411" t="s">
        <v>1442</v>
      </c>
      <c r="D17" s="429">
        <f>SUM(D18:D20)</f>
        <v>1</v>
      </c>
      <c r="E17" s="429">
        <f t="shared" ref="E17:M17" si="11">SUM(E18:E20)</f>
        <v>4</v>
      </c>
      <c r="F17" s="429">
        <f t="shared" si="11"/>
        <v>34</v>
      </c>
      <c r="G17" s="429">
        <f t="shared" si="11"/>
        <v>33</v>
      </c>
      <c r="H17" s="429">
        <f t="shared" si="11"/>
        <v>21</v>
      </c>
      <c r="I17" s="429">
        <f t="shared" si="11"/>
        <v>11</v>
      </c>
      <c r="J17" s="415">
        <f t="shared" si="0"/>
        <v>104</v>
      </c>
      <c r="K17" s="391">
        <f>'P-II'!J16</f>
        <v>104</v>
      </c>
      <c r="L17" s="430" t="str">
        <f>IF(J17='P-II'!J16,"",FALSE)</f>
        <v/>
      </c>
      <c r="M17" s="429">
        <f t="shared" si="11"/>
        <v>1</v>
      </c>
      <c r="N17" s="429">
        <f t="shared" ref="N17" si="12">SUM(N18:N20)</f>
        <v>2</v>
      </c>
      <c r="O17" s="429">
        <f t="shared" ref="O17" si="13">SUM(O18:O20)</f>
        <v>2</v>
      </c>
      <c r="P17" s="429">
        <f t="shared" ref="P17" si="14">SUM(P18:P20)</f>
        <v>1</v>
      </c>
      <c r="Q17" s="429">
        <f t="shared" ref="Q17" si="15">SUM(Q18:Q20)</f>
        <v>3</v>
      </c>
      <c r="R17" s="429">
        <f t="shared" ref="R17" si="16">SUM(R18:R20)</f>
        <v>2</v>
      </c>
      <c r="S17" s="415">
        <f t="shared" si="1"/>
        <v>11</v>
      </c>
      <c r="T17" s="391">
        <f>'P-II'!K16</f>
        <v>11</v>
      </c>
      <c r="U17" s="430" t="str">
        <f>IF(S17='P-II'!K16,"",FALSE)</f>
        <v/>
      </c>
      <c r="V17" s="429">
        <f>SUM(V18:V20)</f>
        <v>0</v>
      </c>
      <c r="W17" s="429">
        <f t="shared" ref="W17:AA17" si="17">SUM(W18:W20)</f>
        <v>0</v>
      </c>
      <c r="X17" s="429">
        <f t="shared" si="17"/>
        <v>0</v>
      </c>
      <c r="Y17" s="429">
        <f t="shared" si="17"/>
        <v>0</v>
      </c>
      <c r="Z17" s="429">
        <f t="shared" si="17"/>
        <v>0</v>
      </c>
      <c r="AA17" s="429">
        <f t="shared" si="17"/>
        <v>0</v>
      </c>
      <c r="AB17" s="415">
        <f t="shared" si="2"/>
        <v>0</v>
      </c>
      <c r="AC17" s="391">
        <f>'P-II'!L16</f>
        <v>0</v>
      </c>
      <c r="AD17" s="430" t="str">
        <f>IF(AB17='P-II'!L16,"",FALSE)</f>
        <v/>
      </c>
      <c r="AE17" s="415">
        <f t="shared" si="3"/>
        <v>115</v>
      </c>
      <c r="AF17" s="391">
        <f>'P-II'!M16</f>
        <v>115</v>
      </c>
      <c r="AG17" s="430" t="str">
        <f>IF(AE17='P-II'!M16,"",FALSE)</f>
        <v/>
      </c>
      <c r="AH17" s="333"/>
    </row>
    <row r="18" spans="1:34" ht="20.100000000000001" customHeight="1" x14ac:dyDescent="0.25">
      <c r="A18" s="34">
        <v>209</v>
      </c>
      <c r="B18" s="34"/>
      <c r="C18" s="211" t="s">
        <v>1443</v>
      </c>
      <c r="D18" s="250">
        <v>0</v>
      </c>
      <c r="E18" s="250">
        <v>0</v>
      </c>
      <c r="F18" s="250">
        <v>0</v>
      </c>
      <c r="G18" s="250">
        <v>0</v>
      </c>
      <c r="H18" s="250">
        <v>0</v>
      </c>
      <c r="I18" s="250">
        <v>0</v>
      </c>
      <c r="J18" s="431">
        <f t="shared" si="0"/>
        <v>0</v>
      </c>
      <c r="K18" s="391">
        <f>'P-II'!J17</f>
        <v>0</v>
      </c>
      <c r="L18" s="408" t="str">
        <f>IF(J18='P-II'!J17,"",FALSE)</f>
        <v/>
      </c>
      <c r="M18" s="252">
        <v>0</v>
      </c>
      <c r="N18" s="252">
        <v>0</v>
      </c>
      <c r="O18" s="252">
        <v>0</v>
      </c>
      <c r="P18" s="252">
        <v>0</v>
      </c>
      <c r="Q18" s="252">
        <v>0</v>
      </c>
      <c r="R18" s="252">
        <v>0</v>
      </c>
      <c r="S18" s="431">
        <f t="shared" si="1"/>
        <v>0</v>
      </c>
      <c r="T18" s="391">
        <f>'P-II'!K17</f>
        <v>0</v>
      </c>
      <c r="U18" s="466" t="str">
        <f>IF(S18='P-II'!K17,"",FALSE)</f>
        <v/>
      </c>
      <c r="V18" s="253">
        <v>0</v>
      </c>
      <c r="W18" s="253">
        <v>0</v>
      </c>
      <c r="X18" s="253">
        <v>0</v>
      </c>
      <c r="Y18" s="253">
        <v>0</v>
      </c>
      <c r="Z18" s="253">
        <v>0</v>
      </c>
      <c r="AA18" s="253">
        <v>0</v>
      </c>
      <c r="AB18" s="431">
        <f t="shared" si="2"/>
        <v>0</v>
      </c>
      <c r="AC18" s="391">
        <f>'P-II'!L17</f>
        <v>0</v>
      </c>
      <c r="AD18" s="466" t="str">
        <f>IF(AB18='P-II'!L17,"",FALSE)</f>
        <v/>
      </c>
      <c r="AE18" s="431">
        <f t="shared" si="3"/>
        <v>0</v>
      </c>
      <c r="AF18" s="391">
        <f>'P-II'!M17</f>
        <v>0</v>
      </c>
      <c r="AG18" s="466" t="str">
        <f>IF(AE18='P-II'!M17,"",FALSE)</f>
        <v/>
      </c>
      <c r="AH18" s="333"/>
    </row>
    <row r="19" spans="1:34" ht="20.100000000000001" customHeight="1" x14ac:dyDescent="0.25">
      <c r="A19" s="33">
        <v>210</v>
      </c>
      <c r="B19" s="34"/>
      <c r="C19" s="212" t="s">
        <v>1444</v>
      </c>
      <c r="D19" s="250">
        <v>1</v>
      </c>
      <c r="E19" s="250">
        <v>4</v>
      </c>
      <c r="F19" s="250">
        <v>26</v>
      </c>
      <c r="G19" s="250">
        <v>26</v>
      </c>
      <c r="H19" s="250">
        <v>20</v>
      </c>
      <c r="I19" s="250">
        <v>11</v>
      </c>
      <c r="J19" s="431">
        <f t="shared" si="0"/>
        <v>88</v>
      </c>
      <c r="K19" s="391">
        <f>'P-II'!J18</f>
        <v>88</v>
      </c>
      <c r="L19" s="408" t="str">
        <f>IF(J19='P-II'!J18,"",FALSE)</f>
        <v/>
      </c>
      <c r="M19" s="252">
        <v>1</v>
      </c>
      <c r="N19" s="252">
        <v>2</v>
      </c>
      <c r="O19" s="252">
        <v>1</v>
      </c>
      <c r="P19" s="252">
        <v>1</v>
      </c>
      <c r="Q19" s="252">
        <v>3</v>
      </c>
      <c r="R19" s="252">
        <v>2</v>
      </c>
      <c r="S19" s="431">
        <f t="shared" si="1"/>
        <v>10</v>
      </c>
      <c r="T19" s="391">
        <f>'P-II'!K18</f>
        <v>10</v>
      </c>
      <c r="U19" s="466" t="str">
        <f>IF(S19='P-II'!K18,"",FALSE)</f>
        <v/>
      </c>
      <c r="V19" s="253">
        <v>0</v>
      </c>
      <c r="W19" s="253">
        <v>0</v>
      </c>
      <c r="X19" s="253">
        <v>0</v>
      </c>
      <c r="Y19" s="253">
        <v>0</v>
      </c>
      <c r="Z19" s="253">
        <v>0</v>
      </c>
      <c r="AA19" s="253">
        <v>0</v>
      </c>
      <c r="AB19" s="431">
        <f t="shared" si="2"/>
        <v>0</v>
      </c>
      <c r="AC19" s="391">
        <f>'P-II'!L18</f>
        <v>0</v>
      </c>
      <c r="AD19" s="466" t="str">
        <f>IF(AB19='P-II'!L18,"",FALSE)</f>
        <v/>
      </c>
      <c r="AE19" s="431">
        <f t="shared" si="3"/>
        <v>98</v>
      </c>
      <c r="AF19" s="391">
        <f>'P-II'!M18</f>
        <v>98</v>
      </c>
      <c r="AG19" s="466" t="str">
        <f>IF(AE19='P-II'!M18,"",FALSE)</f>
        <v/>
      </c>
      <c r="AH19" s="333"/>
    </row>
    <row r="20" spans="1:34" ht="20.100000000000001" customHeight="1" x14ac:dyDescent="0.25">
      <c r="A20" s="34">
        <v>211</v>
      </c>
      <c r="B20" s="34"/>
      <c r="C20" s="211" t="s">
        <v>1445</v>
      </c>
      <c r="D20" s="250">
        <v>0</v>
      </c>
      <c r="E20" s="250">
        <v>0</v>
      </c>
      <c r="F20" s="250">
        <v>8</v>
      </c>
      <c r="G20" s="250">
        <v>7</v>
      </c>
      <c r="H20" s="250">
        <v>1</v>
      </c>
      <c r="I20" s="250">
        <v>0</v>
      </c>
      <c r="J20" s="431">
        <f t="shared" si="0"/>
        <v>16</v>
      </c>
      <c r="K20" s="391">
        <f>'P-II'!J19</f>
        <v>16</v>
      </c>
      <c r="L20" s="408" t="str">
        <f>IF(J20='P-II'!J19,"",FALSE)</f>
        <v/>
      </c>
      <c r="M20" s="252">
        <v>0</v>
      </c>
      <c r="N20" s="252">
        <v>0</v>
      </c>
      <c r="O20" s="252">
        <v>1</v>
      </c>
      <c r="P20" s="252">
        <v>0</v>
      </c>
      <c r="Q20" s="252">
        <v>0</v>
      </c>
      <c r="R20" s="252">
        <v>0</v>
      </c>
      <c r="S20" s="431">
        <f t="shared" si="1"/>
        <v>1</v>
      </c>
      <c r="T20" s="391">
        <f>'P-II'!K19</f>
        <v>1</v>
      </c>
      <c r="U20" s="466" t="str">
        <f>IF(S20='P-II'!K19,"",FALSE)</f>
        <v/>
      </c>
      <c r="V20" s="253">
        <v>0</v>
      </c>
      <c r="W20" s="253">
        <v>0</v>
      </c>
      <c r="X20" s="253">
        <v>0</v>
      </c>
      <c r="Y20" s="253">
        <v>0</v>
      </c>
      <c r="Z20" s="253">
        <v>0</v>
      </c>
      <c r="AA20" s="253">
        <v>0</v>
      </c>
      <c r="AB20" s="431">
        <f t="shared" si="2"/>
        <v>0</v>
      </c>
      <c r="AC20" s="391">
        <f>'P-II'!L19</f>
        <v>0</v>
      </c>
      <c r="AD20" s="466" t="str">
        <f>IF(AB20='P-II'!L19,"",FALSE)</f>
        <v/>
      </c>
      <c r="AE20" s="431">
        <f t="shared" si="3"/>
        <v>17</v>
      </c>
      <c r="AF20" s="391">
        <f>'P-II'!M19</f>
        <v>17</v>
      </c>
      <c r="AG20" s="466" t="str">
        <f>IF(AE20='P-II'!M19,"",FALSE)</f>
        <v/>
      </c>
      <c r="AH20" s="333"/>
    </row>
    <row r="21" spans="1:34" ht="20.100000000000001" customHeight="1" x14ac:dyDescent="0.25">
      <c r="A21" s="33">
        <v>212</v>
      </c>
      <c r="B21" s="34">
        <v>5</v>
      </c>
      <c r="C21" s="31" t="s">
        <v>42</v>
      </c>
      <c r="D21" s="250">
        <v>0</v>
      </c>
      <c r="E21" s="250">
        <v>0</v>
      </c>
      <c r="F21" s="250">
        <v>5</v>
      </c>
      <c r="G21" s="250">
        <v>10</v>
      </c>
      <c r="H21" s="250">
        <v>6</v>
      </c>
      <c r="I21" s="250">
        <v>2</v>
      </c>
      <c r="J21" s="431">
        <f t="shared" si="0"/>
        <v>23</v>
      </c>
      <c r="K21" s="391">
        <f>'P-II'!J20</f>
        <v>23</v>
      </c>
      <c r="L21" s="408" t="str">
        <f>IF(J21='P-II'!J20,"",FALSE)</f>
        <v/>
      </c>
      <c r="M21" s="252">
        <v>0</v>
      </c>
      <c r="N21" s="252">
        <v>0</v>
      </c>
      <c r="O21" s="252">
        <v>2</v>
      </c>
      <c r="P21" s="252">
        <v>0</v>
      </c>
      <c r="Q21" s="252">
        <v>0</v>
      </c>
      <c r="R21" s="252">
        <v>0</v>
      </c>
      <c r="S21" s="431">
        <f t="shared" si="1"/>
        <v>2</v>
      </c>
      <c r="T21" s="391">
        <f>'P-II'!K20</f>
        <v>2</v>
      </c>
      <c r="U21" s="466" t="str">
        <f>IF(S21='P-II'!K20,"",FALSE)</f>
        <v/>
      </c>
      <c r="V21" s="253">
        <v>0</v>
      </c>
      <c r="W21" s="253">
        <v>0</v>
      </c>
      <c r="X21" s="253">
        <v>0</v>
      </c>
      <c r="Y21" s="253">
        <v>0</v>
      </c>
      <c r="Z21" s="253">
        <v>0</v>
      </c>
      <c r="AA21" s="253">
        <v>0</v>
      </c>
      <c r="AB21" s="431">
        <f t="shared" si="2"/>
        <v>0</v>
      </c>
      <c r="AC21" s="391">
        <f>'P-II'!L20</f>
        <v>0</v>
      </c>
      <c r="AD21" s="466" t="str">
        <f>IF(AB21='P-II'!L20,"",FALSE)</f>
        <v/>
      </c>
      <c r="AE21" s="431">
        <f t="shared" si="3"/>
        <v>25</v>
      </c>
      <c r="AF21" s="391">
        <f>'P-II'!M20</f>
        <v>25</v>
      </c>
      <c r="AG21" s="466" t="str">
        <f>IF(AE21='P-II'!M20,"",FALSE)</f>
        <v/>
      </c>
      <c r="AH21" s="333"/>
    </row>
    <row r="22" spans="1:34" ht="20.100000000000001" customHeight="1" x14ac:dyDescent="0.25">
      <c r="A22" s="34">
        <v>213</v>
      </c>
      <c r="B22" s="34">
        <v>6</v>
      </c>
      <c r="C22" s="411" t="s">
        <v>1446</v>
      </c>
      <c r="D22" s="429">
        <f>SUM(D23:D26)</f>
        <v>0</v>
      </c>
      <c r="E22" s="429">
        <f t="shared" ref="E22:I22" si="18">SUM(E23:E26)</f>
        <v>0</v>
      </c>
      <c r="F22" s="429">
        <f t="shared" si="18"/>
        <v>1</v>
      </c>
      <c r="G22" s="429">
        <f t="shared" si="18"/>
        <v>0</v>
      </c>
      <c r="H22" s="429">
        <f t="shared" si="18"/>
        <v>0</v>
      </c>
      <c r="I22" s="429">
        <f t="shared" si="18"/>
        <v>0</v>
      </c>
      <c r="J22" s="415">
        <f t="shared" si="0"/>
        <v>1</v>
      </c>
      <c r="K22" s="391">
        <f>'P-II'!J21</f>
        <v>1</v>
      </c>
      <c r="L22" s="430" t="str">
        <f>IF(J22='P-II'!J21,"",FALSE)</f>
        <v/>
      </c>
      <c r="M22" s="429">
        <f>SUM(M23:M26)</f>
        <v>0</v>
      </c>
      <c r="N22" s="429">
        <f t="shared" ref="N22" si="19">SUM(N23:N26)</f>
        <v>0</v>
      </c>
      <c r="O22" s="429">
        <f t="shared" ref="O22" si="20">SUM(O23:O26)</f>
        <v>0</v>
      </c>
      <c r="P22" s="429">
        <f t="shared" ref="P22" si="21">SUM(P23:P26)</f>
        <v>0</v>
      </c>
      <c r="Q22" s="429">
        <f t="shared" ref="Q22" si="22">SUM(Q23:Q26)</f>
        <v>0</v>
      </c>
      <c r="R22" s="429">
        <f t="shared" ref="R22" si="23">SUM(R23:R26)</f>
        <v>0</v>
      </c>
      <c r="S22" s="415">
        <f t="shared" si="1"/>
        <v>0</v>
      </c>
      <c r="T22" s="391">
        <f>'P-II'!K21</f>
        <v>0</v>
      </c>
      <c r="U22" s="430" t="str">
        <f>IF(S22='P-II'!K21,"",FALSE)</f>
        <v/>
      </c>
      <c r="V22" s="429">
        <f>SUM(V23:V26)</f>
        <v>0</v>
      </c>
      <c r="W22" s="429">
        <f t="shared" ref="W22:AA22" si="24">SUM(W23:W26)</f>
        <v>0</v>
      </c>
      <c r="X22" s="429">
        <f t="shared" si="24"/>
        <v>0</v>
      </c>
      <c r="Y22" s="429">
        <f t="shared" si="24"/>
        <v>0</v>
      </c>
      <c r="Z22" s="429">
        <f t="shared" si="24"/>
        <v>0</v>
      </c>
      <c r="AA22" s="429">
        <f t="shared" si="24"/>
        <v>0</v>
      </c>
      <c r="AB22" s="415">
        <f t="shared" si="2"/>
        <v>0</v>
      </c>
      <c r="AC22" s="391">
        <f>'P-II'!L21</f>
        <v>0</v>
      </c>
      <c r="AD22" s="430" t="str">
        <f>IF(AB22='P-II'!L21,"",FALSE)</f>
        <v/>
      </c>
      <c r="AE22" s="415">
        <f t="shared" si="3"/>
        <v>1</v>
      </c>
      <c r="AF22" s="391">
        <f>'P-II'!M21</f>
        <v>1</v>
      </c>
      <c r="AG22" s="430" t="str">
        <f>IF(AE22='P-II'!M21,"",FALSE)</f>
        <v/>
      </c>
      <c r="AH22" s="333"/>
    </row>
    <row r="23" spans="1:34" ht="20.100000000000001" customHeight="1" x14ac:dyDescent="0.25">
      <c r="A23" s="33">
        <v>214</v>
      </c>
      <c r="B23" s="34"/>
      <c r="C23" s="211" t="s">
        <v>1447</v>
      </c>
      <c r="D23" s="250">
        <v>0</v>
      </c>
      <c r="E23" s="250">
        <v>0</v>
      </c>
      <c r="F23" s="250">
        <v>0</v>
      </c>
      <c r="G23" s="250">
        <v>0</v>
      </c>
      <c r="H23" s="251">
        <v>0</v>
      </c>
      <c r="I23" s="251">
        <v>0</v>
      </c>
      <c r="J23" s="431">
        <f t="shared" si="0"/>
        <v>0</v>
      </c>
      <c r="K23" s="391">
        <f>'P-II'!J22</f>
        <v>0</v>
      </c>
      <c r="L23" s="408" t="str">
        <f>IF(J23='P-II'!J22,"",FALSE)</f>
        <v/>
      </c>
      <c r="M23" s="252">
        <v>0</v>
      </c>
      <c r="N23" s="252">
        <v>0</v>
      </c>
      <c r="O23" s="252">
        <v>0</v>
      </c>
      <c r="P23" s="252">
        <v>0</v>
      </c>
      <c r="Q23" s="252">
        <v>0</v>
      </c>
      <c r="R23" s="252">
        <v>0</v>
      </c>
      <c r="S23" s="431">
        <f t="shared" si="1"/>
        <v>0</v>
      </c>
      <c r="T23" s="391">
        <f>'P-II'!K22</f>
        <v>0</v>
      </c>
      <c r="U23" s="466" t="str">
        <f>IF(S23='P-II'!K22,"",FALSE)</f>
        <v/>
      </c>
      <c r="V23" s="253">
        <v>0</v>
      </c>
      <c r="W23" s="253">
        <v>0</v>
      </c>
      <c r="X23" s="253">
        <v>0</v>
      </c>
      <c r="Y23" s="253">
        <v>0</v>
      </c>
      <c r="Z23" s="253">
        <v>0</v>
      </c>
      <c r="AA23" s="253">
        <v>0</v>
      </c>
      <c r="AB23" s="431">
        <f t="shared" si="2"/>
        <v>0</v>
      </c>
      <c r="AC23" s="391">
        <f>'P-II'!L22</f>
        <v>0</v>
      </c>
      <c r="AD23" s="466" t="str">
        <f>IF(AB23='P-II'!L22,"",FALSE)</f>
        <v/>
      </c>
      <c r="AE23" s="431">
        <f t="shared" si="3"/>
        <v>0</v>
      </c>
      <c r="AF23" s="391">
        <f>'P-II'!M22</f>
        <v>0</v>
      </c>
      <c r="AG23" s="466" t="str">
        <f>IF(AE23='P-II'!M22,"",FALSE)</f>
        <v/>
      </c>
      <c r="AH23" s="333"/>
    </row>
    <row r="24" spans="1:34" ht="20.100000000000001" customHeight="1" x14ac:dyDescent="0.25">
      <c r="A24" s="34">
        <v>215</v>
      </c>
      <c r="B24" s="34"/>
      <c r="C24" s="212" t="s">
        <v>1448</v>
      </c>
      <c r="D24" s="250">
        <v>0</v>
      </c>
      <c r="E24" s="250">
        <v>0</v>
      </c>
      <c r="F24" s="250">
        <v>1</v>
      </c>
      <c r="G24" s="250">
        <v>0</v>
      </c>
      <c r="H24" s="251">
        <v>0</v>
      </c>
      <c r="I24" s="251">
        <v>0</v>
      </c>
      <c r="J24" s="431">
        <f t="shared" si="0"/>
        <v>1</v>
      </c>
      <c r="K24" s="391">
        <f>'P-II'!J23</f>
        <v>1</v>
      </c>
      <c r="L24" s="408" t="str">
        <f>IF(J24='P-II'!J23,"",FALSE)</f>
        <v/>
      </c>
      <c r="M24" s="252">
        <v>0</v>
      </c>
      <c r="N24" s="252">
        <v>0</v>
      </c>
      <c r="O24" s="252">
        <v>0</v>
      </c>
      <c r="P24" s="252">
        <v>0</v>
      </c>
      <c r="Q24" s="252">
        <v>0</v>
      </c>
      <c r="R24" s="252">
        <v>0</v>
      </c>
      <c r="S24" s="431">
        <f t="shared" si="1"/>
        <v>0</v>
      </c>
      <c r="T24" s="391">
        <f>'P-II'!K23</f>
        <v>0</v>
      </c>
      <c r="U24" s="466" t="str">
        <f>IF(S24='P-II'!K23,"",FALSE)</f>
        <v/>
      </c>
      <c r="V24" s="253">
        <v>0</v>
      </c>
      <c r="W24" s="253">
        <v>0</v>
      </c>
      <c r="X24" s="253">
        <v>0</v>
      </c>
      <c r="Y24" s="253">
        <v>0</v>
      </c>
      <c r="Z24" s="253">
        <v>0</v>
      </c>
      <c r="AA24" s="253">
        <v>0</v>
      </c>
      <c r="AB24" s="431">
        <f t="shared" si="2"/>
        <v>0</v>
      </c>
      <c r="AC24" s="391">
        <f>'P-II'!L23</f>
        <v>0</v>
      </c>
      <c r="AD24" s="466" t="str">
        <f>IF(AB24='P-II'!L23,"",FALSE)</f>
        <v/>
      </c>
      <c r="AE24" s="431">
        <f t="shared" si="3"/>
        <v>1</v>
      </c>
      <c r="AF24" s="391">
        <f>'P-II'!M23</f>
        <v>1</v>
      </c>
      <c r="AG24" s="466" t="str">
        <f>IF(AE24='P-II'!M23,"",FALSE)</f>
        <v/>
      </c>
      <c r="AH24" s="333"/>
    </row>
    <row r="25" spans="1:34" ht="20.100000000000001" customHeight="1" x14ac:dyDescent="0.25">
      <c r="A25" s="33">
        <v>216</v>
      </c>
      <c r="B25" s="34"/>
      <c r="C25" s="212" t="s">
        <v>1449</v>
      </c>
      <c r="D25" s="250">
        <v>0</v>
      </c>
      <c r="E25" s="250">
        <v>0</v>
      </c>
      <c r="F25" s="250">
        <v>0</v>
      </c>
      <c r="G25" s="250">
        <v>0</v>
      </c>
      <c r="H25" s="251">
        <v>0</v>
      </c>
      <c r="I25" s="251">
        <v>0</v>
      </c>
      <c r="J25" s="431">
        <f t="shared" si="0"/>
        <v>0</v>
      </c>
      <c r="K25" s="391">
        <f>'P-II'!J24</f>
        <v>0</v>
      </c>
      <c r="L25" s="408" t="str">
        <f>IF(J25='P-II'!J24,"",FALSE)</f>
        <v/>
      </c>
      <c r="M25" s="252">
        <v>0</v>
      </c>
      <c r="N25" s="252">
        <v>0</v>
      </c>
      <c r="O25" s="252">
        <v>0</v>
      </c>
      <c r="P25" s="252">
        <v>0</v>
      </c>
      <c r="Q25" s="252">
        <v>0</v>
      </c>
      <c r="R25" s="252">
        <v>0</v>
      </c>
      <c r="S25" s="431">
        <f t="shared" si="1"/>
        <v>0</v>
      </c>
      <c r="T25" s="391">
        <f>'P-II'!K24</f>
        <v>0</v>
      </c>
      <c r="U25" s="466" t="str">
        <f>IF(S25='P-II'!K24,"",FALSE)</f>
        <v/>
      </c>
      <c r="V25" s="253">
        <v>0</v>
      </c>
      <c r="W25" s="253">
        <v>0</v>
      </c>
      <c r="X25" s="253">
        <v>0</v>
      </c>
      <c r="Y25" s="253">
        <v>0</v>
      </c>
      <c r="Z25" s="253">
        <v>0</v>
      </c>
      <c r="AA25" s="253">
        <v>0</v>
      </c>
      <c r="AB25" s="431">
        <f t="shared" si="2"/>
        <v>0</v>
      </c>
      <c r="AC25" s="391">
        <f>'P-II'!L24</f>
        <v>0</v>
      </c>
      <c r="AD25" s="466" t="str">
        <f>IF(AB25='P-II'!L24,"",FALSE)</f>
        <v/>
      </c>
      <c r="AE25" s="431">
        <f t="shared" si="3"/>
        <v>0</v>
      </c>
      <c r="AF25" s="391">
        <f>'P-II'!M24</f>
        <v>0</v>
      </c>
      <c r="AG25" s="466" t="str">
        <f>IF(AE25='P-II'!M24,"",FALSE)</f>
        <v/>
      </c>
      <c r="AH25" s="333"/>
    </row>
    <row r="26" spans="1:34" ht="20.100000000000001" customHeight="1" x14ac:dyDescent="0.25">
      <c r="A26" s="34">
        <v>217</v>
      </c>
      <c r="B26" s="34"/>
      <c r="C26" s="212" t="s">
        <v>1450</v>
      </c>
      <c r="D26" s="250">
        <v>0</v>
      </c>
      <c r="E26" s="250">
        <v>0</v>
      </c>
      <c r="F26" s="250">
        <v>0</v>
      </c>
      <c r="G26" s="250">
        <v>0</v>
      </c>
      <c r="H26" s="251">
        <v>0</v>
      </c>
      <c r="I26" s="251">
        <v>0</v>
      </c>
      <c r="J26" s="431">
        <f t="shared" si="0"/>
        <v>0</v>
      </c>
      <c r="K26" s="391">
        <f>'P-II'!J25</f>
        <v>0</v>
      </c>
      <c r="L26" s="408" t="str">
        <f>IF(J26='P-II'!J25,"",FALSE)</f>
        <v/>
      </c>
      <c r="M26" s="252">
        <v>0</v>
      </c>
      <c r="N26" s="252">
        <v>0</v>
      </c>
      <c r="O26" s="252">
        <v>0</v>
      </c>
      <c r="P26" s="252">
        <v>0</v>
      </c>
      <c r="Q26" s="252">
        <v>0</v>
      </c>
      <c r="R26" s="252">
        <v>0</v>
      </c>
      <c r="S26" s="431">
        <f t="shared" si="1"/>
        <v>0</v>
      </c>
      <c r="T26" s="391">
        <f>'P-II'!K25</f>
        <v>0</v>
      </c>
      <c r="U26" s="466" t="str">
        <f>IF(S26='P-II'!K25,"",FALSE)</f>
        <v/>
      </c>
      <c r="V26" s="253">
        <v>0</v>
      </c>
      <c r="W26" s="253">
        <v>0</v>
      </c>
      <c r="X26" s="253">
        <v>0</v>
      </c>
      <c r="Y26" s="253">
        <v>0</v>
      </c>
      <c r="Z26" s="253">
        <v>0</v>
      </c>
      <c r="AA26" s="253">
        <v>0</v>
      </c>
      <c r="AB26" s="431">
        <f t="shared" si="2"/>
        <v>0</v>
      </c>
      <c r="AC26" s="391">
        <f>'P-II'!L25</f>
        <v>0</v>
      </c>
      <c r="AD26" s="466" t="str">
        <f>IF(AB26='P-II'!L25,"",FALSE)</f>
        <v/>
      </c>
      <c r="AE26" s="431">
        <f>SUM(J26+S26+AB26)</f>
        <v>0</v>
      </c>
      <c r="AF26" s="391">
        <f>'P-II'!M25</f>
        <v>0</v>
      </c>
      <c r="AG26" s="466" t="str">
        <f>IF(AE26='P-II'!M25,"",FALSE)</f>
        <v/>
      </c>
      <c r="AH26" s="333"/>
    </row>
    <row r="27" spans="1:34" ht="20.100000000000001" customHeight="1" x14ac:dyDescent="0.25">
      <c r="A27" s="33">
        <v>218</v>
      </c>
      <c r="B27" s="34">
        <v>7</v>
      </c>
      <c r="C27" s="411" t="s">
        <v>1454</v>
      </c>
      <c r="D27" s="429">
        <f>SUM(D28:D33)</f>
        <v>0</v>
      </c>
      <c r="E27" s="429">
        <f t="shared" ref="E27:I27" si="25">SUM(E28:E33)</f>
        <v>2</v>
      </c>
      <c r="F27" s="429">
        <f t="shared" si="25"/>
        <v>19</v>
      </c>
      <c r="G27" s="429">
        <f t="shared" si="25"/>
        <v>28</v>
      </c>
      <c r="H27" s="429">
        <f t="shared" si="25"/>
        <v>20</v>
      </c>
      <c r="I27" s="429">
        <f t="shared" si="25"/>
        <v>24</v>
      </c>
      <c r="J27" s="415">
        <f t="shared" si="0"/>
        <v>93</v>
      </c>
      <c r="K27" s="391">
        <f>'P-II'!J26</f>
        <v>93</v>
      </c>
      <c r="L27" s="430" t="str">
        <f>IF(J27='P-II'!J26,"",FALSE)</f>
        <v/>
      </c>
      <c r="M27" s="429">
        <f>SUM(M28:M33)</f>
        <v>1</v>
      </c>
      <c r="N27" s="429">
        <f t="shared" ref="N27" si="26">SUM(N28:N33)</f>
        <v>0</v>
      </c>
      <c r="O27" s="429">
        <f t="shared" ref="O27" si="27">SUM(O28:O33)</f>
        <v>0</v>
      </c>
      <c r="P27" s="429">
        <f t="shared" ref="P27" si="28">SUM(P28:P33)</f>
        <v>1</v>
      </c>
      <c r="Q27" s="429">
        <f t="shared" ref="Q27" si="29">SUM(Q28:Q33)</f>
        <v>1</v>
      </c>
      <c r="R27" s="429">
        <f t="shared" ref="R27" si="30">SUM(R28:R33)</f>
        <v>6</v>
      </c>
      <c r="S27" s="415">
        <f t="shared" si="1"/>
        <v>9</v>
      </c>
      <c r="T27" s="391">
        <f>'P-II'!K26</f>
        <v>9</v>
      </c>
      <c r="U27" s="430" t="str">
        <f>IF(S27='P-II'!K26,"",FALSE)</f>
        <v/>
      </c>
      <c r="V27" s="429">
        <f>SUM(V28:V33)</f>
        <v>0</v>
      </c>
      <c r="W27" s="429">
        <f t="shared" ref="W27:AA27" si="31">SUM(W28:W33)</f>
        <v>0</v>
      </c>
      <c r="X27" s="429">
        <f t="shared" si="31"/>
        <v>0</v>
      </c>
      <c r="Y27" s="429">
        <f t="shared" si="31"/>
        <v>0</v>
      </c>
      <c r="Z27" s="429">
        <f t="shared" si="31"/>
        <v>0</v>
      </c>
      <c r="AA27" s="429">
        <f t="shared" si="31"/>
        <v>0</v>
      </c>
      <c r="AB27" s="415">
        <f t="shared" si="2"/>
        <v>0</v>
      </c>
      <c r="AC27" s="391">
        <f>'P-II'!L26</f>
        <v>0</v>
      </c>
      <c r="AD27" s="430" t="str">
        <f>IF(AB27='P-II'!L26,"",FALSE)</f>
        <v/>
      </c>
      <c r="AE27" s="415">
        <f t="shared" si="3"/>
        <v>102</v>
      </c>
      <c r="AF27" s="391">
        <f>'P-II'!M26</f>
        <v>102</v>
      </c>
      <c r="AG27" s="430" t="str">
        <f>IF(AE27='P-II'!M26,"",FALSE)</f>
        <v/>
      </c>
      <c r="AH27" s="333"/>
    </row>
    <row r="28" spans="1:34" ht="20.100000000000001" customHeight="1" x14ac:dyDescent="0.25">
      <c r="A28" s="34">
        <v>219</v>
      </c>
      <c r="B28" s="34"/>
      <c r="C28" s="212" t="s">
        <v>1451</v>
      </c>
      <c r="D28" s="250">
        <v>0</v>
      </c>
      <c r="E28" s="250">
        <v>1</v>
      </c>
      <c r="F28" s="250">
        <v>15</v>
      </c>
      <c r="G28" s="250">
        <v>19</v>
      </c>
      <c r="H28" s="251">
        <v>18</v>
      </c>
      <c r="I28" s="251">
        <v>19</v>
      </c>
      <c r="J28" s="431">
        <f t="shared" si="0"/>
        <v>72</v>
      </c>
      <c r="K28" s="391">
        <f>'P-II'!J27</f>
        <v>72</v>
      </c>
      <c r="L28" s="408" t="str">
        <f>IF(J28='P-II'!J27,"",FALSE)</f>
        <v/>
      </c>
      <c r="M28" s="252">
        <v>1</v>
      </c>
      <c r="N28" s="252">
        <v>0</v>
      </c>
      <c r="O28" s="252">
        <v>0</v>
      </c>
      <c r="P28" s="252">
        <v>1</v>
      </c>
      <c r="Q28" s="252">
        <v>1</v>
      </c>
      <c r="R28" s="252">
        <v>2</v>
      </c>
      <c r="S28" s="431">
        <f t="shared" si="1"/>
        <v>5</v>
      </c>
      <c r="T28" s="391">
        <f>'P-II'!K27</f>
        <v>5</v>
      </c>
      <c r="U28" s="466" t="str">
        <f>IF(S28='P-II'!K27,"",FALSE)</f>
        <v/>
      </c>
      <c r="V28" s="253">
        <v>0</v>
      </c>
      <c r="W28" s="253">
        <v>0</v>
      </c>
      <c r="X28" s="253">
        <v>0</v>
      </c>
      <c r="Y28" s="253">
        <v>0</v>
      </c>
      <c r="Z28" s="253">
        <v>0</v>
      </c>
      <c r="AA28" s="253">
        <v>0</v>
      </c>
      <c r="AB28" s="431">
        <f t="shared" si="2"/>
        <v>0</v>
      </c>
      <c r="AC28" s="391">
        <f>'P-II'!L27</f>
        <v>0</v>
      </c>
      <c r="AD28" s="466" t="str">
        <f>IF(AB28='P-II'!L27,"",FALSE)</f>
        <v/>
      </c>
      <c r="AE28" s="431">
        <f t="shared" si="3"/>
        <v>77</v>
      </c>
      <c r="AF28" s="391">
        <f>'P-II'!M27</f>
        <v>77</v>
      </c>
      <c r="AG28" s="466" t="str">
        <f>IF(AE28='P-II'!M27,"",FALSE)</f>
        <v/>
      </c>
      <c r="AH28" s="333"/>
    </row>
    <row r="29" spans="1:34" ht="20.100000000000001" customHeight="1" x14ac:dyDescent="0.25">
      <c r="A29" s="33">
        <v>220</v>
      </c>
      <c r="B29" s="34"/>
      <c r="C29" s="212" t="s">
        <v>1452</v>
      </c>
      <c r="D29" s="250">
        <v>0</v>
      </c>
      <c r="E29" s="250">
        <v>0</v>
      </c>
      <c r="F29" s="250">
        <v>3</v>
      </c>
      <c r="G29" s="250">
        <v>1</v>
      </c>
      <c r="H29" s="251">
        <v>1</v>
      </c>
      <c r="I29" s="251">
        <v>2</v>
      </c>
      <c r="J29" s="431">
        <f t="shared" si="0"/>
        <v>7</v>
      </c>
      <c r="K29" s="391">
        <f>'P-II'!J28</f>
        <v>7</v>
      </c>
      <c r="L29" s="408" t="str">
        <f>IF(J29='P-II'!J28,"",FALSE)</f>
        <v/>
      </c>
      <c r="M29" s="252">
        <v>0</v>
      </c>
      <c r="N29" s="252">
        <v>0</v>
      </c>
      <c r="O29" s="252">
        <v>0</v>
      </c>
      <c r="P29" s="252">
        <v>0</v>
      </c>
      <c r="Q29" s="252">
        <v>0</v>
      </c>
      <c r="R29" s="252">
        <v>1</v>
      </c>
      <c r="S29" s="431">
        <f t="shared" si="1"/>
        <v>1</v>
      </c>
      <c r="T29" s="391">
        <f>'P-II'!K28</f>
        <v>1</v>
      </c>
      <c r="U29" s="466" t="str">
        <f>IF(S29='P-II'!K28,"",FALSE)</f>
        <v/>
      </c>
      <c r="V29" s="253">
        <v>0</v>
      </c>
      <c r="W29" s="253">
        <v>0</v>
      </c>
      <c r="X29" s="253">
        <v>0</v>
      </c>
      <c r="Y29" s="253">
        <v>0</v>
      </c>
      <c r="Z29" s="253">
        <v>0</v>
      </c>
      <c r="AA29" s="253">
        <v>0</v>
      </c>
      <c r="AB29" s="431">
        <f t="shared" si="2"/>
        <v>0</v>
      </c>
      <c r="AC29" s="391">
        <f>'P-II'!L28</f>
        <v>0</v>
      </c>
      <c r="AD29" s="466" t="str">
        <f>IF(AB29='P-II'!L28,"",FALSE)</f>
        <v/>
      </c>
      <c r="AE29" s="431">
        <f t="shared" si="3"/>
        <v>8</v>
      </c>
      <c r="AF29" s="391">
        <f>'P-II'!M28</f>
        <v>8</v>
      </c>
      <c r="AG29" s="466" t="str">
        <f>IF(AE29='P-II'!M28,"",FALSE)</f>
        <v/>
      </c>
      <c r="AH29" s="333"/>
    </row>
    <row r="30" spans="1:34" ht="20.100000000000001" customHeight="1" x14ac:dyDescent="0.25">
      <c r="A30" s="34">
        <v>221</v>
      </c>
      <c r="B30" s="34"/>
      <c r="C30" s="212" t="s">
        <v>1770</v>
      </c>
      <c r="D30" s="250">
        <v>0</v>
      </c>
      <c r="E30" s="250">
        <v>1</v>
      </c>
      <c r="F30" s="250">
        <v>0</v>
      </c>
      <c r="G30" s="250">
        <v>0</v>
      </c>
      <c r="H30" s="251">
        <v>0</v>
      </c>
      <c r="I30" s="251">
        <v>0</v>
      </c>
      <c r="J30" s="431">
        <f t="shared" si="0"/>
        <v>1</v>
      </c>
      <c r="K30" s="391">
        <f>'P-II'!J29</f>
        <v>1</v>
      </c>
      <c r="L30" s="408" t="str">
        <f>IF(J30='P-II'!J29,"",FALSE)</f>
        <v/>
      </c>
      <c r="M30" s="252">
        <v>0</v>
      </c>
      <c r="N30" s="252">
        <v>0</v>
      </c>
      <c r="O30" s="252">
        <v>0</v>
      </c>
      <c r="P30" s="252">
        <v>0</v>
      </c>
      <c r="Q30" s="252">
        <v>0</v>
      </c>
      <c r="R30" s="252">
        <v>0</v>
      </c>
      <c r="S30" s="431">
        <f t="shared" si="1"/>
        <v>0</v>
      </c>
      <c r="T30" s="391">
        <f>'P-II'!K29</f>
        <v>0</v>
      </c>
      <c r="U30" s="466" t="str">
        <f>IF(S30='P-II'!K29,"",FALSE)</f>
        <v/>
      </c>
      <c r="V30" s="253">
        <v>0</v>
      </c>
      <c r="W30" s="253">
        <v>0</v>
      </c>
      <c r="X30" s="253">
        <v>0</v>
      </c>
      <c r="Y30" s="253">
        <v>0</v>
      </c>
      <c r="Z30" s="253">
        <v>0</v>
      </c>
      <c r="AA30" s="253">
        <v>0</v>
      </c>
      <c r="AB30" s="431">
        <f t="shared" si="2"/>
        <v>0</v>
      </c>
      <c r="AC30" s="391">
        <f>'P-II'!L29</f>
        <v>0</v>
      </c>
      <c r="AD30" s="466" t="str">
        <f>IF(AB30='P-II'!L29,"",FALSE)</f>
        <v/>
      </c>
      <c r="AE30" s="431">
        <f t="shared" si="3"/>
        <v>1</v>
      </c>
      <c r="AF30" s="391">
        <f>'P-II'!M29</f>
        <v>1</v>
      </c>
      <c r="AG30" s="466" t="str">
        <f>IF(AE30='P-II'!M29,"",FALSE)</f>
        <v/>
      </c>
      <c r="AH30" s="333"/>
    </row>
    <row r="31" spans="1:34" ht="20.100000000000001" customHeight="1" x14ac:dyDescent="0.25">
      <c r="A31" s="33">
        <v>222</v>
      </c>
      <c r="B31" s="34"/>
      <c r="C31" s="212" t="s">
        <v>1453</v>
      </c>
      <c r="D31" s="250">
        <v>0</v>
      </c>
      <c r="E31" s="250">
        <v>0</v>
      </c>
      <c r="F31" s="250">
        <v>0</v>
      </c>
      <c r="G31" s="250">
        <v>0</v>
      </c>
      <c r="H31" s="251">
        <v>0</v>
      </c>
      <c r="I31" s="251">
        <v>0</v>
      </c>
      <c r="J31" s="431">
        <f t="shared" si="0"/>
        <v>0</v>
      </c>
      <c r="K31" s="391">
        <f>'P-II'!J30</f>
        <v>0</v>
      </c>
      <c r="L31" s="408" t="str">
        <f>IF(J31='P-II'!J30,"",FALSE)</f>
        <v/>
      </c>
      <c r="M31" s="252">
        <v>0</v>
      </c>
      <c r="N31" s="252">
        <v>0</v>
      </c>
      <c r="O31" s="252">
        <v>0</v>
      </c>
      <c r="P31" s="252">
        <v>0</v>
      </c>
      <c r="Q31" s="252">
        <v>0</v>
      </c>
      <c r="R31" s="252">
        <v>0</v>
      </c>
      <c r="S31" s="431">
        <f t="shared" si="1"/>
        <v>0</v>
      </c>
      <c r="T31" s="391">
        <f>'P-II'!K30</f>
        <v>0</v>
      </c>
      <c r="U31" s="466" t="str">
        <f>IF(S31='P-II'!K30,"",FALSE)</f>
        <v/>
      </c>
      <c r="V31" s="253">
        <v>0</v>
      </c>
      <c r="W31" s="253">
        <v>0</v>
      </c>
      <c r="X31" s="253">
        <v>0</v>
      </c>
      <c r="Y31" s="253">
        <v>0</v>
      </c>
      <c r="Z31" s="253">
        <v>0</v>
      </c>
      <c r="AA31" s="253">
        <v>0</v>
      </c>
      <c r="AB31" s="431">
        <f t="shared" si="2"/>
        <v>0</v>
      </c>
      <c r="AC31" s="391">
        <f>'P-II'!L30</f>
        <v>0</v>
      </c>
      <c r="AD31" s="466" t="str">
        <f>IF(AB31='P-II'!L30,"",FALSE)</f>
        <v/>
      </c>
      <c r="AE31" s="431">
        <f>SUM(J31+S31+AB31)</f>
        <v>0</v>
      </c>
      <c r="AF31" s="391">
        <f>'P-II'!M30</f>
        <v>0</v>
      </c>
      <c r="AG31" s="466" t="str">
        <f>IF(AE31='P-II'!M30,"",FALSE)</f>
        <v/>
      </c>
      <c r="AH31" s="333"/>
    </row>
    <row r="32" spans="1:34" ht="20.100000000000001" customHeight="1" x14ac:dyDescent="0.25">
      <c r="A32" s="34">
        <v>223</v>
      </c>
      <c r="B32" s="34"/>
      <c r="C32" s="212" t="s">
        <v>1455</v>
      </c>
      <c r="D32" s="250">
        <v>0</v>
      </c>
      <c r="E32" s="250">
        <v>0</v>
      </c>
      <c r="F32" s="250">
        <v>0</v>
      </c>
      <c r="G32" s="250">
        <v>0</v>
      </c>
      <c r="H32" s="251">
        <v>0</v>
      </c>
      <c r="I32" s="251">
        <v>0</v>
      </c>
      <c r="J32" s="431">
        <f t="shared" si="0"/>
        <v>0</v>
      </c>
      <c r="K32" s="391">
        <f>'P-II'!J31</f>
        <v>0</v>
      </c>
      <c r="L32" s="408" t="str">
        <f>IF(J32='P-II'!J31,"",FALSE)</f>
        <v/>
      </c>
      <c r="M32" s="252">
        <v>0</v>
      </c>
      <c r="N32" s="252">
        <v>0</v>
      </c>
      <c r="O32" s="252">
        <v>0</v>
      </c>
      <c r="P32" s="252">
        <v>0</v>
      </c>
      <c r="Q32" s="252">
        <v>0</v>
      </c>
      <c r="R32" s="252">
        <v>0</v>
      </c>
      <c r="S32" s="431">
        <f t="shared" si="1"/>
        <v>0</v>
      </c>
      <c r="T32" s="391">
        <f>'P-II'!K31</f>
        <v>0</v>
      </c>
      <c r="U32" s="466" t="str">
        <f>IF(S32='P-II'!K31,"",FALSE)</f>
        <v/>
      </c>
      <c r="V32" s="253">
        <v>0</v>
      </c>
      <c r="W32" s="253">
        <v>0</v>
      </c>
      <c r="X32" s="253">
        <v>0</v>
      </c>
      <c r="Y32" s="253">
        <v>0</v>
      </c>
      <c r="Z32" s="253">
        <v>0</v>
      </c>
      <c r="AA32" s="253">
        <v>0</v>
      </c>
      <c r="AB32" s="431">
        <f t="shared" si="2"/>
        <v>0</v>
      </c>
      <c r="AC32" s="391">
        <f>'P-II'!L31</f>
        <v>0</v>
      </c>
      <c r="AD32" s="466" t="str">
        <f>IF(AB32='P-II'!L31,"",FALSE)</f>
        <v/>
      </c>
      <c r="AE32" s="431">
        <f>SUM(J32+S32+AB32)</f>
        <v>0</v>
      </c>
      <c r="AF32" s="391">
        <f>'P-II'!M31</f>
        <v>0</v>
      </c>
      <c r="AG32" s="466" t="str">
        <f>IF(AE32='P-II'!M31,"",FALSE)</f>
        <v/>
      </c>
      <c r="AH32" s="333"/>
    </row>
    <row r="33" spans="1:34" ht="20.100000000000001" customHeight="1" x14ac:dyDescent="0.25">
      <c r="A33" s="33">
        <v>224</v>
      </c>
      <c r="B33" s="34"/>
      <c r="C33" s="212" t="s">
        <v>1456</v>
      </c>
      <c r="D33" s="250">
        <v>0</v>
      </c>
      <c r="E33" s="250">
        <v>0</v>
      </c>
      <c r="F33" s="250">
        <v>1</v>
      </c>
      <c r="G33" s="250">
        <v>8</v>
      </c>
      <c r="H33" s="251">
        <v>1</v>
      </c>
      <c r="I33" s="251">
        <v>3</v>
      </c>
      <c r="J33" s="431">
        <f t="shared" si="0"/>
        <v>13</v>
      </c>
      <c r="K33" s="391">
        <f>'P-II'!J32</f>
        <v>13</v>
      </c>
      <c r="L33" s="408" t="str">
        <f>IF(J33='P-II'!J32,"",FALSE)</f>
        <v/>
      </c>
      <c r="M33" s="252">
        <v>0</v>
      </c>
      <c r="N33" s="252">
        <v>0</v>
      </c>
      <c r="O33" s="252">
        <v>0</v>
      </c>
      <c r="P33" s="252">
        <v>0</v>
      </c>
      <c r="Q33" s="252">
        <v>0</v>
      </c>
      <c r="R33" s="252">
        <v>3</v>
      </c>
      <c r="S33" s="431">
        <f t="shared" si="1"/>
        <v>3</v>
      </c>
      <c r="T33" s="391">
        <f>'P-II'!K32</f>
        <v>3</v>
      </c>
      <c r="U33" s="466" t="str">
        <f>IF(S33='P-II'!K32,"",FALSE)</f>
        <v/>
      </c>
      <c r="V33" s="253">
        <v>0</v>
      </c>
      <c r="W33" s="253">
        <v>0</v>
      </c>
      <c r="X33" s="253">
        <v>0</v>
      </c>
      <c r="Y33" s="253">
        <v>0</v>
      </c>
      <c r="Z33" s="253">
        <v>0</v>
      </c>
      <c r="AA33" s="253">
        <v>0</v>
      </c>
      <c r="AB33" s="431">
        <f t="shared" si="2"/>
        <v>0</v>
      </c>
      <c r="AC33" s="391">
        <f>'P-II'!L32</f>
        <v>0</v>
      </c>
      <c r="AD33" s="466" t="str">
        <f>IF(AB33='P-II'!L32,"",FALSE)</f>
        <v/>
      </c>
      <c r="AE33" s="431">
        <f t="shared" si="3"/>
        <v>16</v>
      </c>
      <c r="AF33" s="391">
        <f>'P-II'!M32</f>
        <v>16</v>
      </c>
      <c r="AG33" s="466" t="str">
        <f>IF(AE33='P-II'!M32,"",FALSE)</f>
        <v/>
      </c>
      <c r="AH33" s="333"/>
    </row>
    <row r="34" spans="1:34" ht="20.100000000000001" customHeight="1" x14ac:dyDescent="0.25">
      <c r="A34" s="34">
        <v>225</v>
      </c>
      <c r="B34" s="34">
        <v>8</v>
      </c>
      <c r="C34" s="31" t="s">
        <v>43</v>
      </c>
      <c r="D34" s="250">
        <v>0</v>
      </c>
      <c r="E34" s="250">
        <v>0</v>
      </c>
      <c r="F34" s="250">
        <v>3</v>
      </c>
      <c r="G34" s="250">
        <v>0</v>
      </c>
      <c r="H34" s="251">
        <v>0</v>
      </c>
      <c r="I34" s="251">
        <v>0</v>
      </c>
      <c r="J34" s="431">
        <f t="shared" si="0"/>
        <v>3</v>
      </c>
      <c r="K34" s="391">
        <f>'P-II'!J33</f>
        <v>3</v>
      </c>
      <c r="L34" s="408" t="str">
        <f>IF(J34='P-II'!J33,"",FALSE)</f>
        <v/>
      </c>
      <c r="M34" s="252">
        <v>0</v>
      </c>
      <c r="N34" s="252">
        <v>0</v>
      </c>
      <c r="O34" s="252">
        <v>0</v>
      </c>
      <c r="P34" s="252">
        <v>0</v>
      </c>
      <c r="Q34" s="252">
        <v>0</v>
      </c>
      <c r="R34" s="252">
        <v>0</v>
      </c>
      <c r="S34" s="431">
        <f t="shared" si="1"/>
        <v>0</v>
      </c>
      <c r="T34" s="391">
        <f>'P-II'!K33</f>
        <v>0</v>
      </c>
      <c r="U34" s="466" t="str">
        <f>IF(S34='P-II'!K33,"",FALSE)</f>
        <v/>
      </c>
      <c r="V34" s="253">
        <v>0</v>
      </c>
      <c r="W34" s="253">
        <v>0</v>
      </c>
      <c r="X34" s="253">
        <v>0</v>
      </c>
      <c r="Y34" s="253">
        <v>0</v>
      </c>
      <c r="Z34" s="253">
        <v>0</v>
      </c>
      <c r="AA34" s="253">
        <v>0</v>
      </c>
      <c r="AB34" s="431">
        <f t="shared" si="2"/>
        <v>0</v>
      </c>
      <c r="AC34" s="391">
        <f>'P-II'!L33</f>
        <v>0</v>
      </c>
      <c r="AD34" s="466" t="str">
        <f>IF(AB34='P-II'!L33,"",FALSE)</f>
        <v/>
      </c>
      <c r="AE34" s="431">
        <f t="shared" si="3"/>
        <v>3</v>
      </c>
      <c r="AF34" s="391">
        <f>'P-II'!M33</f>
        <v>3</v>
      </c>
      <c r="AG34" s="466" t="str">
        <f>IF(AE34='P-II'!M33,"",FALSE)</f>
        <v/>
      </c>
      <c r="AH34" s="333"/>
    </row>
    <row r="35" spans="1:34" ht="20.100000000000001" customHeight="1" x14ac:dyDescent="0.25">
      <c r="A35" s="33">
        <v>226</v>
      </c>
      <c r="B35" s="34">
        <v>9</v>
      </c>
      <c r="C35" s="411" t="s">
        <v>1457</v>
      </c>
      <c r="D35" s="429">
        <f>SUM(D36:D40)</f>
        <v>0</v>
      </c>
      <c r="E35" s="429">
        <f t="shared" ref="E35:H35" si="32">SUM(E36:E40)</f>
        <v>0</v>
      </c>
      <c r="F35" s="429">
        <f t="shared" si="32"/>
        <v>0</v>
      </c>
      <c r="G35" s="429">
        <f t="shared" si="32"/>
        <v>0</v>
      </c>
      <c r="H35" s="429">
        <f t="shared" si="32"/>
        <v>0</v>
      </c>
      <c r="I35" s="429">
        <f>SUM(I36:I40)</f>
        <v>3</v>
      </c>
      <c r="J35" s="415">
        <f t="shared" si="0"/>
        <v>3</v>
      </c>
      <c r="K35" s="391">
        <f>'P-II'!J34</f>
        <v>3</v>
      </c>
      <c r="L35" s="430" t="str">
        <f>IF(J35='P-II'!J34,"",FALSE)</f>
        <v/>
      </c>
      <c r="M35" s="429">
        <f>SUM(M36:M40)</f>
        <v>0</v>
      </c>
      <c r="N35" s="429">
        <f t="shared" ref="N35" si="33">SUM(N36:N40)</f>
        <v>0</v>
      </c>
      <c r="O35" s="429">
        <f t="shared" ref="O35" si="34">SUM(O36:O40)</f>
        <v>1</v>
      </c>
      <c r="P35" s="429">
        <f t="shared" ref="P35" si="35">SUM(P36:P40)</f>
        <v>1</v>
      </c>
      <c r="Q35" s="429">
        <f t="shared" ref="Q35" si="36">SUM(Q36:Q40)</f>
        <v>1</v>
      </c>
      <c r="R35" s="429">
        <f>SUM(R36:R40)</f>
        <v>3</v>
      </c>
      <c r="S35" s="415">
        <f t="shared" si="1"/>
        <v>6</v>
      </c>
      <c r="T35" s="391">
        <f>'P-II'!K34</f>
        <v>6</v>
      </c>
      <c r="U35" s="430" t="str">
        <f>IF(S35='P-II'!K34,"",FALSE)</f>
        <v/>
      </c>
      <c r="V35" s="429">
        <f t="shared" ref="V35:AA35" si="37">SUM(V36:V40)</f>
        <v>0</v>
      </c>
      <c r="W35" s="429">
        <f t="shared" si="37"/>
        <v>0</v>
      </c>
      <c r="X35" s="429">
        <f t="shared" si="37"/>
        <v>0</v>
      </c>
      <c r="Y35" s="429">
        <f t="shared" si="37"/>
        <v>0</v>
      </c>
      <c r="Z35" s="429">
        <f t="shared" si="37"/>
        <v>0</v>
      </c>
      <c r="AA35" s="429">
        <f t="shared" si="37"/>
        <v>0</v>
      </c>
      <c r="AB35" s="415">
        <f t="shared" si="2"/>
        <v>0</v>
      </c>
      <c r="AC35" s="391">
        <f>'P-II'!L34</f>
        <v>0</v>
      </c>
      <c r="AD35" s="430" t="str">
        <f>IF(AB35='P-II'!L34,"",FALSE)</f>
        <v/>
      </c>
      <c r="AE35" s="415">
        <f t="shared" si="3"/>
        <v>9</v>
      </c>
      <c r="AF35" s="391">
        <f>'P-II'!M34</f>
        <v>9</v>
      </c>
      <c r="AG35" s="430" t="str">
        <f>IF(AE35='P-II'!M34,"",FALSE)</f>
        <v/>
      </c>
      <c r="AH35" s="333"/>
    </row>
    <row r="36" spans="1:34" ht="20.100000000000001" customHeight="1" x14ac:dyDescent="0.25">
      <c r="A36" s="34">
        <v>227</v>
      </c>
      <c r="B36" s="34"/>
      <c r="C36" s="211" t="s">
        <v>1458</v>
      </c>
      <c r="D36" s="250">
        <v>0</v>
      </c>
      <c r="E36" s="250">
        <v>0</v>
      </c>
      <c r="F36" s="250">
        <v>0</v>
      </c>
      <c r="G36" s="250">
        <v>0</v>
      </c>
      <c r="H36" s="251">
        <v>0</v>
      </c>
      <c r="I36" s="251">
        <v>1</v>
      </c>
      <c r="J36" s="431">
        <f t="shared" si="0"/>
        <v>1</v>
      </c>
      <c r="K36" s="391">
        <f>'P-II'!J35</f>
        <v>1</v>
      </c>
      <c r="L36" s="408" t="str">
        <f>IF(J36='P-II'!J35,"",FALSE)</f>
        <v/>
      </c>
      <c r="M36" s="252">
        <v>0</v>
      </c>
      <c r="N36" s="252">
        <v>0</v>
      </c>
      <c r="O36" s="252">
        <v>0</v>
      </c>
      <c r="P36" s="252">
        <v>0</v>
      </c>
      <c r="Q36" s="252">
        <v>0</v>
      </c>
      <c r="R36" s="252">
        <v>0</v>
      </c>
      <c r="S36" s="431">
        <f t="shared" si="1"/>
        <v>0</v>
      </c>
      <c r="T36" s="391">
        <f>'P-II'!K35</f>
        <v>0</v>
      </c>
      <c r="U36" s="466" t="str">
        <f>IF(S36='P-II'!K35,"",FALSE)</f>
        <v/>
      </c>
      <c r="V36" s="253">
        <v>0</v>
      </c>
      <c r="W36" s="253">
        <v>0</v>
      </c>
      <c r="X36" s="253">
        <v>0</v>
      </c>
      <c r="Y36" s="253">
        <v>0</v>
      </c>
      <c r="Z36" s="253">
        <v>0</v>
      </c>
      <c r="AA36" s="253">
        <v>0</v>
      </c>
      <c r="AB36" s="431">
        <f t="shared" si="2"/>
        <v>0</v>
      </c>
      <c r="AC36" s="391">
        <f>'P-II'!L35</f>
        <v>0</v>
      </c>
      <c r="AD36" s="466" t="str">
        <f>IF(AB36='P-II'!L35,"",FALSE)</f>
        <v/>
      </c>
      <c r="AE36" s="431">
        <f t="shared" si="3"/>
        <v>1</v>
      </c>
      <c r="AF36" s="391">
        <f>'P-II'!M35</f>
        <v>1</v>
      </c>
      <c r="AG36" s="466" t="str">
        <f>IF(AE36='P-II'!M35,"",FALSE)</f>
        <v/>
      </c>
      <c r="AH36" s="333"/>
    </row>
    <row r="37" spans="1:34" ht="20.100000000000001" customHeight="1" x14ac:dyDescent="0.25">
      <c r="A37" s="33">
        <v>228</v>
      </c>
      <c r="B37" s="34"/>
      <c r="C37" s="212" t="s">
        <v>1459</v>
      </c>
      <c r="D37" s="250">
        <v>0</v>
      </c>
      <c r="E37" s="250">
        <v>0</v>
      </c>
      <c r="F37" s="250">
        <v>0</v>
      </c>
      <c r="G37" s="250">
        <v>0</v>
      </c>
      <c r="H37" s="251">
        <v>0</v>
      </c>
      <c r="I37" s="251">
        <v>0</v>
      </c>
      <c r="J37" s="431">
        <f t="shared" si="0"/>
        <v>0</v>
      </c>
      <c r="K37" s="391">
        <f>'P-II'!J36</f>
        <v>0</v>
      </c>
      <c r="L37" s="408" t="str">
        <f>IF(J37='P-II'!J36,"",FALSE)</f>
        <v/>
      </c>
      <c r="M37" s="252">
        <v>0</v>
      </c>
      <c r="N37" s="252">
        <v>0</v>
      </c>
      <c r="O37" s="252">
        <v>0</v>
      </c>
      <c r="P37" s="252">
        <v>0</v>
      </c>
      <c r="Q37" s="252">
        <v>0</v>
      </c>
      <c r="R37" s="252">
        <v>0</v>
      </c>
      <c r="S37" s="431">
        <f t="shared" si="1"/>
        <v>0</v>
      </c>
      <c r="T37" s="391">
        <f>'P-II'!K36</f>
        <v>0</v>
      </c>
      <c r="U37" s="466" t="str">
        <f>IF(S37='P-II'!K36,"",FALSE)</f>
        <v/>
      </c>
      <c r="V37" s="253">
        <v>0</v>
      </c>
      <c r="W37" s="253">
        <v>0</v>
      </c>
      <c r="X37" s="253">
        <v>0</v>
      </c>
      <c r="Y37" s="253">
        <v>0</v>
      </c>
      <c r="Z37" s="253">
        <v>0</v>
      </c>
      <c r="AA37" s="253">
        <v>0</v>
      </c>
      <c r="AB37" s="431">
        <f t="shared" si="2"/>
        <v>0</v>
      </c>
      <c r="AC37" s="391">
        <f>'P-II'!L36</f>
        <v>0</v>
      </c>
      <c r="AD37" s="466" t="str">
        <f>IF(AB37='P-II'!L36,"",FALSE)</f>
        <v/>
      </c>
      <c r="AE37" s="431">
        <f t="shared" si="3"/>
        <v>0</v>
      </c>
      <c r="AF37" s="391">
        <f>'P-II'!M36</f>
        <v>0</v>
      </c>
      <c r="AG37" s="466" t="str">
        <f>IF(AE37='P-II'!M36,"",FALSE)</f>
        <v/>
      </c>
      <c r="AH37" s="333"/>
    </row>
    <row r="38" spans="1:34" ht="20.100000000000001" customHeight="1" x14ac:dyDescent="0.25">
      <c r="A38" s="34">
        <v>229</v>
      </c>
      <c r="B38" s="34"/>
      <c r="C38" s="213" t="s">
        <v>1460</v>
      </c>
      <c r="D38" s="250">
        <v>0</v>
      </c>
      <c r="E38" s="252">
        <v>0</v>
      </c>
      <c r="F38" s="252">
        <v>0</v>
      </c>
      <c r="G38" s="252">
        <v>0</v>
      </c>
      <c r="H38" s="252">
        <v>0</v>
      </c>
      <c r="I38" s="252">
        <v>0</v>
      </c>
      <c r="J38" s="431">
        <f t="shared" si="0"/>
        <v>0</v>
      </c>
      <c r="K38" s="391">
        <f>'P-II'!J37</f>
        <v>0</v>
      </c>
      <c r="L38" s="408" t="str">
        <f>IF(J38='P-II'!J37,"",FALSE)</f>
        <v/>
      </c>
      <c r="M38" s="252">
        <v>0</v>
      </c>
      <c r="N38" s="252">
        <v>0</v>
      </c>
      <c r="O38" s="252">
        <v>0</v>
      </c>
      <c r="P38" s="252">
        <v>1</v>
      </c>
      <c r="Q38" s="252">
        <v>0</v>
      </c>
      <c r="R38" s="252">
        <v>0</v>
      </c>
      <c r="S38" s="431">
        <f t="shared" si="1"/>
        <v>1</v>
      </c>
      <c r="T38" s="391">
        <f>'P-II'!K37</f>
        <v>1</v>
      </c>
      <c r="U38" s="466" t="str">
        <f>IF(S38='P-II'!K37,"",FALSE)</f>
        <v/>
      </c>
      <c r="V38" s="253">
        <v>0</v>
      </c>
      <c r="W38" s="253">
        <v>0</v>
      </c>
      <c r="X38" s="253">
        <v>0</v>
      </c>
      <c r="Y38" s="253">
        <v>0</v>
      </c>
      <c r="Z38" s="253">
        <v>0</v>
      </c>
      <c r="AA38" s="253">
        <v>0</v>
      </c>
      <c r="AB38" s="431">
        <f t="shared" si="2"/>
        <v>0</v>
      </c>
      <c r="AC38" s="391">
        <f>'P-II'!L37</f>
        <v>0</v>
      </c>
      <c r="AD38" s="466" t="str">
        <f>IF(AB38='P-II'!L37,"",FALSE)</f>
        <v/>
      </c>
      <c r="AE38" s="431">
        <f t="shared" si="3"/>
        <v>1</v>
      </c>
      <c r="AF38" s="391">
        <f>'P-II'!M37</f>
        <v>1</v>
      </c>
      <c r="AG38" s="466" t="str">
        <f>IF(AE38='P-II'!M37,"",FALSE)</f>
        <v/>
      </c>
      <c r="AH38" s="333"/>
    </row>
    <row r="39" spans="1:34" ht="20.100000000000001" customHeight="1" x14ac:dyDescent="0.25">
      <c r="A39" s="33">
        <v>230</v>
      </c>
      <c r="B39" s="34"/>
      <c r="C39" s="214" t="s">
        <v>1461</v>
      </c>
      <c r="D39" s="250">
        <v>0</v>
      </c>
      <c r="E39" s="252">
        <v>0</v>
      </c>
      <c r="F39" s="252">
        <v>0</v>
      </c>
      <c r="G39" s="252">
        <v>0</v>
      </c>
      <c r="H39" s="252">
        <v>0</v>
      </c>
      <c r="I39" s="252">
        <v>2</v>
      </c>
      <c r="J39" s="431">
        <f t="shared" si="0"/>
        <v>2</v>
      </c>
      <c r="K39" s="391">
        <f>'P-II'!J38</f>
        <v>2</v>
      </c>
      <c r="L39" s="408" t="str">
        <f>IF(J39='P-II'!J38,"",FALSE)</f>
        <v/>
      </c>
      <c r="M39" s="252">
        <v>0</v>
      </c>
      <c r="N39" s="252">
        <v>0</v>
      </c>
      <c r="O39" s="252">
        <v>1</v>
      </c>
      <c r="P39" s="252">
        <v>0</v>
      </c>
      <c r="Q39" s="252">
        <v>0</v>
      </c>
      <c r="R39" s="252">
        <v>0</v>
      </c>
      <c r="S39" s="431">
        <f t="shared" si="1"/>
        <v>1</v>
      </c>
      <c r="T39" s="391">
        <f>'P-II'!K38</f>
        <v>1</v>
      </c>
      <c r="U39" s="466" t="str">
        <f>IF(S39='P-II'!K38,"",FALSE)</f>
        <v/>
      </c>
      <c r="V39" s="253">
        <v>0</v>
      </c>
      <c r="W39" s="253">
        <v>0</v>
      </c>
      <c r="X39" s="253">
        <v>0</v>
      </c>
      <c r="Y39" s="253">
        <v>0</v>
      </c>
      <c r="Z39" s="253">
        <v>0</v>
      </c>
      <c r="AA39" s="253">
        <v>0</v>
      </c>
      <c r="AB39" s="431">
        <f t="shared" si="2"/>
        <v>0</v>
      </c>
      <c r="AC39" s="391">
        <f>'P-II'!L38</f>
        <v>0</v>
      </c>
      <c r="AD39" s="466" t="str">
        <f>IF(AB39='P-II'!L38,"",FALSE)</f>
        <v/>
      </c>
      <c r="AE39" s="431">
        <f t="shared" si="3"/>
        <v>3</v>
      </c>
      <c r="AF39" s="391">
        <f>'P-II'!M38</f>
        <v>3</v>
      </c>
      <c r="AG39" s="466" t="str">
        <f>IF(AE39='P-II'!M38,"",FALSE)</f>
        <v/>
      </c>
      <c r="AH39" s="333"/>
    </row>
    <row r="40" spans="1:34" ht="20.100000000000001" customHeight="1" x14ac:dyDescent="0.25">
      <c r="A40" s="34">
        <v>231</v>
      </c>
      <c r="B40" s="34"/>
      <c r="C40" s="213" t="s">
        <v>1462</v>
      </c>
      <c r="D40" s="250">
        <v>0</v>
      </c>
      <c r="E40" s="252">
        <v>0</v>
      </c>
      <c r="F40" s="252">
        <v>0</v>
      </c>
      <c r="G40" s="252">
        <v>0</v>
      </c>
      <c r="H40" s="252">
        <v>0</v>
      </c>
      <c r="I40" s="252">
        <v>0</v>
      </c>
      <c r="J40" s="431">
        <f t="shared" si="0"/>
        <v>0</v>
      </c>
      <c r="K40" s="391">
        <f>'P-II'!J39</f>
        <v>0</v>
      </c>
      <c r="L40" s="408" t="str">
        <f>IF(J40='P-II'!J39,"",FALSE)</f>
        <v/>
      </c>
      <c r="M40" s="252">
        <v>0</v>
      </c>
      <c r="N40" s="252">
        <v>0</v>
      </c>
      <c r="O40" s="252">
        <v>0</v>
      </c>
      <c r="P40" s="252">
        <v>0</v>
      </c>
      <c r="Q40" s="252">
        <v>1</v>
      </c>
      <c r="R40" s="252">
        <v>3</v>
      </c>
      <c r="S40" s="431">
        <f t="shared" si="1"/>
        <v>4</v>
      </c>
      <c r="T40" s="391">
        <f>'P-II'!K39</f>
        <v>4</v>
      </c>
      <c r="U40" s="466" t="str">
        <f>IF(S40='P-II'!K39,"",FALSE)</f>
        <v/>
      </c>
      <c r="V40" s="253">
        <v>0</v>
      </c>
      <c r="W40" s="253">
        <v>0</v>
      </c>
      <c r="X40" s="253">
        <v>0</v>
      </c>
      <c r="Y40" s="253">
        <v>0</v>
      </c>
      <c r="Z40" s="253">
        <v>0</v>
      </c>
      <c r="AA40" s="253">
        <v>0</v>
      </c>
      <c r="AB40" s="431">
        <f t="shared" si="2"/>
        <v>0</v>
      </c>
      <c r="AC40" s="391">
        <f>'P-II'!L39</f>
        <v>0</v>
      </c>
      <c r="AD40" s="466" t="str">
        <f>IF(AB40='P-II'!L39,"",FALSE)</f>
        <v/>
      </c>
      <c r="AE40" s="431">
        <f t="shared" si="3"/>
        <v>4</v>
      </c>
      <c r="AF40" s="391">
        <f>'P-II'!M39</f>
        <v>4</v>
      </c>
      <c r="AG40" s="466" t="str">
        <f>IF(AE40='P-II'!M39,"",FALSE)</f>
        <v/>
      </c>
      <c r="AH40" s="333"/>
    </row>
    <row r="41" spans="1:34" ht="20.100000000000001" customHeight="1" x14ac:dyDescent="0.25">
      <c r="A41" s="33">
        <v>232</v>
      </c>
      <c r="B41" s="34">
        <v>10</v>
      </c>
      <c r="C41" s="39" t="s">
        <v>252</v>
      </c>
      <c r="D41" s="250">
        <v>1</v>
      </c>
      <c r="E41" s="252">
        <v>0</v>
      </c>
      <c r="F41" s="252">
        <v>0</v>
      </c>
      <c r="G41" s="252">
        <v>0</v>
      </c>
      <c r="H41" s="252">
        <v>0</v>
      </c>
      <c r="I41" s="252">
        <v>0</v>
      </c>
      <c r="J41" s="431">
        <f t="shared" si="0"/>
        <v>1</v>
      </c>
      <c r="K41" s="391">
        <f>'P-II'!J40</f>
        <v>1</v>
      </c>
      <c r="L41" s="408" t="str">
        <f>IF(J41='P-II'!J40,"",FALSE)</f>
        <v/>
      </c>
      <c r="M41" s="252">
        <v>0</v>
      </c>
      <c r="N41" s="252">
        <v>0</v>
      </c>
      <c r="O41" s="252">
        <v>0</v>
      </c>
      <c r="P41" s="252">
        <v>0</v>
      </c>
      <c r="Q41" s="252">
        <v>0</v>
      </c>
      <c r="R41" s="252">
        <v>0</v>
      </c>
      <c r="S41" s="431">
        <f t="shared" si="1"/>
        <v>0</v>
      </c>
      <c r="T41" s="391">
        <f>'P-II'!K40</f>
        <v>0</v>
      </c>
      <c r="U41" s="466" t="str">
        <f>IF(S41='P-II'!K40,"",FALSE)</f>
        <v/>
      </c>
      <c r="V41" s="253">
        <v>0</v>
      </c>
      <c r="W41" s="253">
        <v>0</v>
      </c>
      <c r="X41" s="253">
        <v>0</v>
      </c>
      <c r="Y41" s="253">
        <v>0</v>
      </c>
      <c r="Z41" s="253">
        <v>0</v>
      </c>
      <c r="AA41" s="253">
        <v>0</v>
      </c>
      <c r="AB41" s="431">
        <f t="shared" si="2"/>
        <v>0</v>
      </c>
      <c r="AC41" s="391">
        <f>'P-II'!L40</f>
        <v>0</v>
      </c>
      <c r="AD41" s="466" t="str">
        <f>IF(AB41='P-II'!L40,"",FALSE)</f>
        <v/>
      </c>
      <c r="AE41" s="431">
        <f t="shared" si="3"/>
        <v>1</v>
      </c>
      <c r="AF41" s="391">
        <f>'P-II'!M40</f>
        <v>1</v>
      </c>
      <c r="AG41" s="466" t="str">
        <f>IF(AE41='P-II'!M40,"",FALSE)</f>
        <v/>
      </c>
      <c r="AH41" s="333"/>
    </row>
    <row r="42" spans="1:34" ht="20.100000000000001" customHeight="1" x14ac:dyDescent="0.25">
      <c r="A42" s="34">
        <v>233</v>
      </c>
      <c r="B42" s="34">
        <v>11</v>
      </c>
      <c r="C42" s="39" t="s">
        <v>45</v>
      </c>
      <c r="D42" s="250">
        <v>0</v>
      </c>
      <c r="E42" s="252">
        <v>0</v>
      </c>
      <c r="F42" s="252">
        <v>0</v>
      </c>
      <c r="G42" s="252">
        <v>0</v>
      </c>
      <c r="H42" s="252">
        <v>0</v>
      </c>
      <c r="I42" s="252">
        <v>0</v>
      </c>
      <c r="J42" s="431">
        <f t="shared" si="0"/>
        <v>0</v>
      </c>
      <c r="K42" s="391">
        <f>'P-II'!J41</f>
        <v>0</v>
      </c>
      <c r="L42" s="408" t="str">
        <f>IF(J42='P-II'!J41,"",FALSE)</f>
        <v/>
      </c>
      <c r="M42" s="252">
        <v>0</v>
      </c>
      <c r="N42" s="252">
        <v>0</v>
      </c>
      <c r="O42" s="252">
        <v>0</v>
      </c>
      <c r="P42" s="252">
        <v>0</v>
      </c>
      <c r="Q42" s="252">
        <v>0</v>
      </c>
      <c r="R42" s="252">
        <v>0</v>
      </c>
      <c r="S42" s="431">
        <f t="shared" si="1"/>
        <v>0</v>
      </c>
      <c r="T42" s="391">
        <f>'P-II'!K41</f>
        <v>0</v>
      </c>
      <c r="U42" s="466" t="str">
        <f>IF(S42='P-II'!K41,"",FALSE)</f>
        <v/>
      </c>
      <c r="V42" s="253">
        <v>0</v>
      </c>
      <c r="W42" s="253">
        <v>0</v>
      </c>
      <c r="X42" s="253">
        <v>0</v>
      </c>
      <c r="Y42" s="253">
        <v>0</v>
      </c>
      <c r="Z42" s="253">
        <v>0</v>
      </c>
      <c r="AA42" s="253">
        <v>0</v>
      </c>
      <c r="AB42" s="431">
        <f t="shared" si="2"/>
        <v>0</v>
      </c>
      <c r="AC42" s="391">
        <f>'P-II'!L41</f>
        <v>0</v>
      </c>
      <c r="AD42" s="466" t="str">
        <f>IF(AB42='P-II'!L41,"",FALSE)</f>
        <v/>
      </c>
      <c r="AE42" s="431">
        <f t="shared" si="3"/>
        <v>0</v>
      </c>
      <c r="AF42" s="391">
        <f>'P-II'!M41</f>
        <v>0</v>
      </c>
      <c r="AG42" s="466" t="str">
        <f>IF(AE42='P-II'!M41,"",FALSE)</f>
        <v/>
      </c>
      <c r="AH42" s="333"/>
    </row>
    <row r="43" spans="1:34" ht="20.100000000000001" customHeight="1" x14ac:dyDescent="0.25">
      <c r="A43" s="33">
        <v>234</v>
      </c>
      <c r="B43" s="34">
        <v>12</v>
      </c>
      <c r="C43" s="411" t="s">
        <v>1463</v>
      </c>
      <c r="D43" s="429">
        <f>SUM(D44,D47,D48)</f>
        <v>1</v>
      </c>
      <c r="E43" s="429">
        <f t="shared" ref="E43:I43" si="38">SUM(E44,E47,E48)</f>
        <v>0</v>
      </c>
      <c r="F43" s="429">
        <f t="shared" si="38"/>
        <v>87</v>
      </c>
      <c r="G43" s="429">
        <f t="shared" si="38"/>
        <v>74</v>
      </c>
      <c r="H43" s="429">
        <f t="shared" si="38"/>
        <v>47</v>
      </c>
      <c r="I43" s="429">
        <f t="shared" si="38"/>
        <v>29</v>
      </c>
      <c r="J43" s="415">
        <f t="shared" si="0"/>
        <v>238</v>
      </c>
      <c r="K43" s="391">
        <f>'P-II'!J42</f>
        <v>238</v>
      </c>
      <c r="L43" s="430" t="str">
        <f>IF(J43='P-II'!J42,"",FALSE)</f>
        <v/>
      </c>
      <c r="M43" s="429">
        <f>SUM(M44,M47,M48)</f>
        <v>0</v>
      </c>
      <c r="N43" s="429">
        <f t="shared" ref="N43" si="39">SUM(N44,N47,N48)</f>
        <v>0</v>
      </c>
      <c r="O43" s="429">
        <f t="shared" ref="O43" si="40">SUM(O44,O47,O48)</f>
        <v>7</v>
      </c>
      <c r="P43" s="429">
        <f t="shared" ref="P43" si="41">SUM(P44,P47,P48)</f>
        <v>10</v>
      </c>
      <c r="Q43" s="429">
        <f t="shared" ref="Q43" si="42">SUM(Q44,Q47,Q48)</f>
        <v>9</v>
      </c>
      <c r="R43" s="429">
        <f t="shared" ref="R43:AA43" si="43">SUM(R44,R47,R48)</f>
        <v>11</v>
      </c>
      <c r="S43" s="415">
        <f t="shared" si="1"/>
        <v>37</v>
      </c>
      <c r="T43" s="391">
        <f>'P-II'!K42</f>
        <v>37</v>
      </c>
      <c r="U43" s="430" t="str">
        <f>IF(S43='P-II'!K42,"",FALSE)</f>
        <v/>
      </c>
      <c r="V43" s="429">
        <f t="shared" si="43"/>
        <v>0</v>
      </c>
      <c r="W43" s="429">
        <f t="shared" si="43"/>
        <v>0</v>
      </c>
      <c r="X43" s="429">
        <f t="shared" si="43"/>
        <v>0</v>
      </c>
      <c r="Y43" s="429">
        <f t="shared" si="43"/>
        <v>0</v>
      </c>
      <c r="Z43" s="429">
        <f t="shared" si="43"/>
        <v>0</v>
      </c>
      <c r="AA43" s="429">
        <f t="shared" si="43"/>
        <v>0</v>
      </c>
      <c r="AB43" s="415">
        <f t="shared" si="2"/>
        <v>0</v>
      </c>
      <c r="AC43" s="391">
        <f>'P-II'!L42</f>
        <v>0</v>
      </c>
      <c r="AD43" s="430" t="str">
        <f>IF(AB43='P-II'!L42,"",FALSE)</f>
        <v/>
      </c>
      <c r="AE43" s="415">
        <f t="shared" si="3"/>
        <v>275</v>
      </c>
      <c r="AF43" s="391">
        <f>'P-II'!M42</f>
        <v>275</v>
      </c>
      <c r="AG43" s="430" t="str">
        <f>IF(AE43='P-II'!M42,"",FALSE)</f>
        <v/>
      </c>
      <c r="AH43" s="333"/>
    </row>
    <row r="44" spans="1:34" ht="20.100000000000001" customHeight="1" x14ac:dyDescent="0.25">
      <c r="A44" s="34">
        <v>235</v>
      </c>
      <c r="B44" s="34"/>
      <c r="C44" s="412" t="s">
        <v>1464</v>
      </c>
      <c r="D44" s="433">
        <f>SUM(D45:D46)</f>
        <v>1</v>
      </c>
      <c r="E44" s="433">
        <f t="shared" ref="E44:I44" si="44">SUM(E45:E46)</f>
        <v>0</v>
      </c>
      <c r="F44" s="433">
        <f t="shared" si="44"/>
        <v>72</v>
      </c>
      <c r="G44" s="433">
        <f t="shared" si="44"/>
        <v>55</v>
      </c>
      <c r="H44" s="433">
        <f t="shared" si="44"/>
        <v>38</v>
      </c>
      <c r="I44" s="433">
        <f t="shared" si="44"/>
        <v>27</v>
      </c>
      <c r="J44" s="415">
        <f t="shared" si="0"/>
        <v>193</v>
      </c>
      <c r="K44" s="391">
        <f>'P-II'!J43</f>
        <v>193</v>
      </c>
      <c r="L44" s="430" t="str">
        <f>IF(J44='P-II'!J43,"",FALSE)</f>
        <v/>
      </c>
      <c r="M44" s="433">
        <f>SUM(M45:M46)</f>
        <v>0</v>
      </c>
      <c r="N44" s="433">
        <f t="shared" ref="N44" si="45">SUM(N45:N46)</f>
        <v>0</v>
      </c>
      <c r="O44" s="433">
        <f t="shared" ref="O44" si="46">SUM(O45:O46)</f>
        <v>6</v>
      </c>
      <c r="P44" s="433">
        <f t="shared" ref="P44" si="47">SUM(P45:P46)</f>
        <v>9</v>
      </c>
      <c r="Q44" s="433">
        <f t="shared" ref="Q44" si="48">SUM(Q45:Q46)</f>
        <v>8</v>
      </c>
      <c r="R44" s="433">
        <f t="shared" ref="R44:AA44" si="49">SUM(R45:R46)</f>
        <v>10</v>
      </c>
      <c r="S44" s="415">
        <f t="shared" si="1"/>
        <v>33</v>
      </c>
      <c r="T44" s="391">
        <f>'P-II'!K43</f>
        <v>33</v>
      </c>
      <c r="U44" s="430" t="str">
        <f>IF(S44='P-II'!K43,"",FALSE)</f>
        <v/>
      </c>
      <c r="V44" s="433">
        <f t="shared" si="49"/>
        <v>0</v>
      </c>
      <c r="W44" s="433">
        <f t="shared" si="49"/>
        <v>0</v>
      </c>
      <c r="X44" s="433">
        <f t="shared" si="49"/>
        <v>0</v>
      </c>
      <c r="Y44" s="433">
        <f t="shared" si="49"/>
        <v>0</v>
      </c>
      <c r="Z44" s="433">
        <f t="shared" si="49"/>
        <v>0</v>
      </c>
      <c r="AA44" s="433">
        <f t="shared" si="49"/>
        <v>0</v>
      </c>
      <c r="AB44" s="415">
        <f t="shared" si="2"/>
        <v>0</v>
      </c>
      <c r="AC44" s="391">
        <f>'P-II'!L43</f>
        <v>0</v>
      </c>
      <c r="AD44" s="430" t="str">
        <f>IF(AB44='P-II'!L43,"",FALSE)</f>
        <v/>
      </c>
      <c r="AE44" s="415">
        <f t="shared" si="3"/>
        <v>226</v>
      </c>
      <c r="AF44" s="391">
        <f>'P-II'!M43</f>
        <v>226</v>
      </c>
      <c r="AG44" s="430" t="str">
        <f>IF(AE44='P-II'!M43,"",FALSE)</f>
        <v/>
      </c>
      <c r="AH44" s="333"/>
    </row>
    <row r="45" spans="1:34" ht="20.100000000000001" customHeight="1" x14ac:dyDescent="0.25">
      <c r="A45" s="33">
        <v>236</v>
      </c>
      <c r="B45" s="34"/>
      <c r="C45" s="530" t="s">
        <v>1465</v>
      </c>
      <c r="D45" s="252">
        <v>0</v>
      </c>
      <c r="E45" s="252">
        <v>0</v>
      </c>
      <c r="F45" s="252">
        <v>0</v>
      </c>
      <c r="G45" s="252">
        <v>0</v>
      </c>
      <c r="H45" s="252">
        <v>0</v>
      </c>
      <c r="I45" s="252">
        <v>0</v>
      </c>
      <c r="J45" s="431">
        <f t="shared" si="0"/>
        <v>0</v>
      </c>
      <c r="K45" s="391">
        <f>'P-II'!J44</f>
        <v>0</v>
      </c>
      <c r="L45" s="408" t="str">
        <f>IF(J45='P-II'!J44,"",FALSE)</f>
        <v/>
      </c>
      <c r="M45" s="252">
        <v>0</v>
      </c>
      <c r="N45" s="252">
        <v>0</v>
      </c>
      <c r="O45" s="252">
        <v>0</v>
      </c>
      <c r="P45" s="252">
        <v>0</v>
      </c>
      <c r="Q45" s="252">
        <v>0</v>
      </c>
      <c r="R45" s="252">
        <v>0</v>
      </c>
      <c r="S45" s="431">
        <f t="shared" si="1"/>
        <v>0</v>
      </c>
      <c r="T45" s="391">
        <f>'P-II'!K44</f>
        <v>0</v>
      </c>
      <c r="U45" s="466" t="str">
        <f>IF(S45='P-II'!K44,"",FALSE)</f>
        <v/>
      </c>
      <c r="V45" s="253">
        <v>0</v>
      </c>
      <c r="W45" s="253">
        <v>0</v>
      </c>
      <c r="X45" s="253">
        <v>0</v>
      </c>
      <c r="Y45" s="253">
        <v>0</v>
      </c>
      <c r="Z45" s="253">
        <v>0</v>
      </c>
      <c r="AA45" s="253">
        <v>0</v>
      </c>
      <c r="AB45" s="431">
        <f t="shared" si="2"/>
        <v>0</v>
      </c>
      <c r="AC45" s="391">
        <f>'P-II'!L44</f>
        <v>0</v>
      </c>
      <c r="AD45" s="466" t="str">
        <f>IF(AB45='P-II'!L44,"",FALSE)</f>
        <v/>
      </c>
      <c r="AE45" s="431">
        <f t="shared" si="3"/>
        <v>0</v>
      </c>
      <c r="AF45" s="391">
        <f>'P-II'!M44</f>
        <v>0</v>
      </c>
      <c r="AG45" s="466" t="str">
        <f>IF(AE45='P-II'!M44,"",FALSE)</f>
        <v/>
      </c>
      <c r="AH45" s="333"/>
    </row>
    <row r="46" spans="1:34" ht="20.100000000000001" customHeight="1" x14ac:dyDescent="0.25">
      <c r="A46" s="34">
        <v>237</v>
      </c>
      <c r="B46" s="34"/>
      <c r="C46" s="244" t="s">
        <v>1528</v>
      </c>
      <c r="D46" s="252">
        <v>1</v>
      </c>
      <c r="E46" s="252">
        <v>0</v>
      </c>
      <c r="F46" s="252">
        <v>72</v>
      </c>
      <c r="G46" s="252">
        <v>55</v>
      </c>
      <c r="H46" s="252">
        <v>38</v>
      </c>
      <c r="I46" s="252">
        <v>27</v>
      </c>
      <c r="J46" s="431">
        <f t="shared" si="0"/>
        <v>193</v>
      </c>
      <c r="K46" s="391">
        <f>'P-II'!J45</f>
        <v>193</v>
      </c>
      <c r="L46" s="408" t="str">
        <f>IF(J46='P-II'!J45,"",FALSE)</f>
        <v/>
      </c>
      <c r="M46" s="252">
        <v>0</v>
      </c>
      <c r="N46" s="252">
        <v>0</v>
      </c>
      <c r="O46" s="252">
        <v>6</v>
      </c>
      <c r="P46" s="252">
        <v>9</v>
      </c>
      <c r="Q46" s="252">
        <v>8</v>
      </c>
      <c r="R46" s="252">
        <v>10</v>
      </c>
      <c r="S46" s="431">
        <f t="shared" si="1"/>
        <v>33</v>
      </c>
      <c r="T46" s="391">
        <f>'P-II'!K45</f>
        <v>33</v>
      </c>
      <c r="U46" s="466" t="str">
        <f>IF(S46='P-II'!K45,"",FALSE)</f>
        <v/>
      </c>
      <c r="V46" s="253">
        <v>0</v>
      </c>
      <c r="W46" s="253">
        <v>0</v>
      </c>
      <c r="X46" s="253">
        <v>0</v>
      </c>
      <c r="Y46" s="253">
        <v>0</v>
      </c>
      <c r="Z46" s="253">
        <v>0</v>
      </c>
      <c r="AA46" s="253">
        <v>0</v>
      </c>
      <c r="AB46" s="431">
        <f t="shared" si="2"/>
        <v>0</v>
      </c>
      <c r="AC46" s="391">
        <f>'P-II'!L45</f>
        <v>0</v>
      </c>
      <c r="AD46" s="466" t="str">
        <f>IF(AB46='P-II'!L45,"",FALSE)</f>
        <v/>
      </c>
      <c r="AE46" s="431">
        <f t="shared" si="3"/>
        <v>226</v>
      </c>
      <c r="AF46" s="391">
        <f>'P-II'!M45</f>
        <v>226</v>
      </c>
      <c r="AG46" s="466" t="str">
        <f>IF(AE46='P-II'!M45,"",FALSE)</f>
        <v/>
      </c>
      <c r="AH46" s="333"/>
    </row>
    <row r="47" spans="1:34" ht="20.100000000000001" customHeight="1" x14ac:dyDescent="0.25">
      <c r="A47" s="33">
        <v>238</v>
      </c>
      <c r="B47" s="34"/>
      <c r="C47" s="531" t="s">
        <v>1466</v>
      </c>
      <c r="D47" s="250">
        <v>0</v>
      </c>
      <c r="E47" s="252">
        <v>0</v>
      </c>
      <c r="F47" s="252">
        <v>0</v>
      </c>
      <c r="G47" s="252">
        <v>0</v>
      </c>
      <c r="H47" s="252">
        <v>0</v>
      </c>
      <c r="I47" s="252">
        <v>0</v>
      </c>
      <c r="J47" s="431">
        <f t="shared" si="0"/>
        <v>0</v>
      </c>
      <c r="K47" s="391">
        <f>'P-II'!J46</f>
        <v>0</v>
      </c>
      <c r="L47" s="408" t="str">
        <f>IF(J47='P-II'!J46,"",FALSE)</f>
        <v/>
      </c>
      <c r="M47" s="252">
        <v>0</v>
      </c>
      <c r="N47" s="252">
        <v>0</v>
      </c>
      <c r="O47" s="252">
        <v>0</v>
      </c>
      <c r="P47" s="252">
        <v>0</v>
      </c>
      <c r="Q47" s="252">
        <v>0</v>
      </c>
      <c r="R47" s="252">
        <v>0</v>
      </c>
      <c r="S47" s="431">
        <f t="shared" si="1"/>
        <v>0</v>
      </c>
      <c r="T47" s="391">
        <f>'P-II'!K46</f>
        <v>0</v>
      </c>
      <c r="U47" s="466" t="str">
        <f>IF(S47='P-II'!K46,"",FALSE)</f>
        <v/>
      </c>
      <c r="V47" s="253">
        <v>0</v>
      </c>
      <c r="W47" s="253">
        <v>0</v>
      </c>
      <c r="X47" s="253">
        <v>0</v>
      </c>
      <c r="Y47" s="253">
        <v>0</v>
      </c>
      <c r="Z47" s="253">
        <v>0</v>
      </c>
      <c r="AA47" s="253">
        <v>0</v>
      </c>
      <c r="AB47" s="431">
        <f t="shared" si="2"/>
        <v>0</v>
      </c>
      <c r="AC47" s="391">
        <f>'P-II'!L46</f>
        <v>0</v>
      </c>
      <c r="AD47" s="466" t="str">
        <f>IF(AB47='P-II'!L46,"",FALSE)</f>
        <v/>
      </c>
      <c r="AE47" s="431">
        <f>SUM(J47+S47+AB47)</f>
        <v>0</v>
      </c>
      <c r="AF47" s="391">
        <f>'P-II'!M46</f>
        <v>0</v>
      </c>
      <c r="AG47" s="466" t="str">
        <f>IF(AE47='P-II'!M46,"",FALSE)</f>
        <v/>
      </c>
      <c r="AH47" s="333"/>
    </row>
    <row r="48" spans="1:34" ht="20.100000000000001" customHeight="1" x14ac:dyDescent="0.25">
      <c r="A48" s="34">
        <v>239</v>
      </c>
      <c r="B48" s="34"/>
      <c r="C48" s="213" t="s">
        <v>1467</v>
      </c>
      <c r="D48" s="250">
        <v>0</v>
      </c>
      <c r="E48" s="252">
        <v>0</v>
      </c>
      <c r="F48" s="252">
        <v>15</v>
      </c>
      <c r="G48" s="252">
        <v>19</v>
      </c>
      <c r="H48" s="252">
        <v>9</v>
      </c>
      <c r="I48" s="252">
        <v>2</v>
      </c>
      <c r="J48" s="431">
        <f t="shared" si="0"/>
        <v>45</v>
      </c>
      <c r="K48" s="391">
        <f>'P-II'!J47</f>
        <v>45</v>
      </c>
      <c r="L48" s="408" t="str">
        <f>IF(J48='P-II'!J47,"",FALSE)</f>
        <v/>
      </c>
      <c r="M48" s="252">
        <v>0</v>
      </c>
      <c r="N48" s="252">
        <v>0</v>
      </c>
      <c r="O48" s="252">
        <v>1</v>
      </c>
      <c r="P48" s="252">
        <v>1</v>
      </c>
      <c r="Q48" s="252">
        <v>1</v>
      </c>
      <c r="R48" s="252">
        <v>1</v>
      </c>
      <c r="S48" s="431">
        <f t="shared" si="1"/>
        <v>4</v>
      </c>
      <c r="T48" s="391">
        <f>'P-II'!K47</f>
        <v>4</v>
      </c>
      <c r="U48" s="466" t="str">
        <f>IF(S48='P-II'!K47,"",FALSE)</f>
        <v/>
      </c>
      <c r="V48" s="253">
        <v>0</v>
      </c>
      <c r="W48" s="253">
        <v>0</v>
      </c>
      <c r="X48" s="253">
        <v>0</v>
      </c>
      <c r="Y48" s="253">
        <v>0</v>
      </c>
      <c r="Z48" s="253">
        <v>0</v>
      </c>
      <c r="AA48" s="253">
        <v>0</v>
      </c>
      <c r="AB48" s="431">
        <f t="shared" si="2"/>
        <v>0</v>
      </c>
      <c r="AC48" s="391">
        <f>'P-II'!L47</f>
        <v>0</v>
      </c>
      <c r="AD48" s="466" t="str">
        <f>IF(AB48='P-II'!L47,"",FALSE)</f>
        <v/>
      </c>
      <c r="AE48" s="431">
        <f t="shared" si="3"/>
        <v>49</v>
      </c>
      <c r="AF48" s="391">
        <f>'P-II'!M47</f>
        <v>49</v>
      </c>
      <c r="AG48" s="466" t="str">
        <f>IF(AE48='P-II'!M47,"",FALSE)</f>
        <v/>
      </c>
      <c r="AH48" s="333"/>
    </row>
    <row r="49" spans="1:34" ht="20.100000000000001" customHeight="1" x14ac:dyDescent="0.25">
      <c r="A49" s="33">
        <v>240</v>
      </c>
      <c r="B49" s="34">
        <v>13</v>
      </c>
      <c r="C49" s="39" t="s">
        <v>47</v>
      </c>
      <c r="D49" s="250">
        <v>0</v>
      </c>
      <c r="E49" s="252">
        <v>0</v>
      </c>
      <c r="F49" s="252">
        <v>0</v>
      </c>
      <c r="G49" s="252">
        <v>0</v>
      </c>
      <c r="H49" s="252">
        <v>0</v>
      </c>
      <c r="I49" s="252">
        <v>0</v>
      </c>
      <c r="J49" s="431">
        <f t="shared" si="0"/>
        <v>0</v>
      </c>
      <c r="K49" s="391">
        <f>'P-II'!J48</f>
        <v>0</v>
      </c>
      <c r="L49" s="408" t="str">
        <f>IF(J49='P-II'!J48,"",FALSE)</f>
        <v/>
      </c>
      <c r="M49" s="252">
        <v>0</v>
      </c>
      <c r="N49" s="252">
        <v>0</v>
      </c>
      <c r="O49" s="252">
        <v>0</v>
      </c>
      <c r="P49" s="252">
        <v>0</v>
      </c>
      <c r="Q49" s="252">
        <v>0</v>
      </c>
      <c r="R49" s="252">
        <v>0</v>
      </c>
      <c r="S49" s="431">
        <f t="shared" si="1"/>
        <v>0</v>
      </c>
      <c r="T49" s="391">
        <f>'P-II'!K48</f>
        <v>0</v>
      </c>
      <c r="U49" s="466" t="str">
        <f>IF(S49='P-II'!K48,"",FALSE)</f>
        <v/>
      </c>
      <c r="V49" s="253">
        <v>0</v>
      </c>
      <c r="W49" s="253">
        <v>0</v>
      </c>
      <c r="X49" s="253">
        <v>0</v>
      </c>
      <c r="Y49" s="253">
        <v>0</v>
      </c>
      <c r="Z49" s="253">
        <v>0</v>
      </c>
      <c r="AA49" s="253">
        <v>0</v>
      </c>
      <c r="AB49" s="431">
        <f t="shared" si="2"/>
        <v>0</v>
      </c>
      <c r="AC49" s="391">
        <f>'P-II'!L48</f>
        <v>0</v>
      </c>
      <c r="AD49" s="466" t="str">
        <f>IF(AB49='P-II'!L48,"",FALSE)</f>
        <v/>
      </c>
      <c r="AE49" s="431">
        <f t="shared" si="3"/>
        <v>0</v>
      </c>
      <c r="AF49" s="391">
        <f>'P-II'!M48</f>
        <v>0</v>
      </c>
      <c r="AG49" s="466" t="str">
        <f>IF(AE49='P-II'!M48,"",FALSE)</f>
        <v/>
      </c>
      <c r="AH49" s="333"/>
    </row>
    <row r="50" spans="1:34" ht="20.100000000000001" customHeight="1" x14ac:dyDescent="0.25">
      <c r="A50" s="34">
        <v>241</v>
      </c>
      <c r="B50" s="34">
        <v>14</v>
      </c>
      <c r="C50" s="39" t="s">
        <v>1527</v>
      </c>
      <c r="D50" s="250">
        <v>0</v>
      </c>
      <c r="E50" s="252">
        <v>0</v>
      </c>
      <c r="F50" s="252">
        <v>1</v>
      </c>
      <c r="G50" s="252">
        <v>0</v>
      </c>
      <c r="H50" s="252">
        <v>4</v>
      </c>
      <c r="I50" s="252">
        <v>0</v>
      </c>
      <c r="J50" s="431">
        <f t="shared" si="0"/>
        <v>5</v>
      </c>
      <c r="K50" s="391">
        <f>'P-II'!J49</f>
        <v>5</v>
      </c>
      <c r="L50" s="408" t="str">
        <f>IF(J50='P-II'!J49,"",FALSE)</f>
        <v/>
      </c>
      <c r="M50" s="252">
        <v>0</v>
      </c>
      <c r="N50" s="252">
        <v>0</v>
      </c>
      <c r="O50" s="252">
        <v>1</v>
      </c>
      <c r="P50" s="252">
        <v>3</v>
      </c>
      <c r="Q50" s="252">
        <v>1</v>
      </c>
      <c r="R50" s="252">
        <v>0</v>
      </c>
      <c r="S50" s="431">
        <f t="shared" si="1"/>
        <v>5</v>
      </c>
      <c r="T50" s="391">
        <f>'P-II'!K49</f>
        <v>5</v>
      </c>
      <c r="U50" s="466" t="str">
        <f>IF(S50='P-II'!K49,"",FALSE)</f>
        <v/>
      </c>
      <c r="V50" s="252">
        <v>0</v>
      </c>
      <c r="W50" s="252">
        <v>0</v>
      </c>
      <c r="X50" s="252">
        <v>0</v>
      </c>
      <c r="Y50" s="252">
        <v>0</v>
      </c>
      <c r="Z50" s="252">
        <v>0</v>
      </c>
      <c r="AA50" s="252">
        <v>0</v>
      </c>
      <c r="AB50" s="431">
        <f t="shared" si="2"/>
        <v>0</v>
      </c>
      <c r="AC50" s="391">
        <f>'P-II'!L49</f>
        <v>0</v>
      </c>
      <c r="AD50" s="466" t="str">
        <f>IF(AB50='P-II'!L49,"",FALSE)</f>
        <v/>
      </c>
      <c r="AE50" s="431">
        <f t="shared" si="3"/>
        <v>10</v>
      </c>
      <c r="AF50" s="391">
        <f>'P-II'!M49</f>
        <v>10</v>
      </c>
      <c r="AG50" s="466" t="str">
        <f>IF(AE50='P-II'!M49,"",FALSE)</f>
        <v/>
      </c>
      <c r="AH50" s="333"/>
    </row>
    <row r="51" spans="1:34" ht="20.100000000000001" customHeight="1" x14ac:dyDescent="0.25">
      <c r="A51" s="33">
        <v>242</v>
      </c>
      <c r="B51" s="34">
        <v>15</v>
      </c>
      <c r="C51" s="39" t="s">
        <v>49</v>
      </c>
      <c r="D51" s="250">
        <v>0</v>
      </c>
      <c r="E51" s="252">
        <v>0</v>
      </c>
      <c r="F51" s="252">
        <v>1</v>
      </c>
      <c r="G51" s="252">
        <v>8</v>
      </c>
      <c r="H51" s="252">
        <v>3</v>
      </c>
      <c r="I51" s="252">
        <v>1</v>
      </c>
      <c r="J51" s="431">
        <f t="shared" si="0"/>
        <v>13</v>
      </c>
      <c r="K51" s="391">
        <f>'P-II'!J50</f>
        <v>13</v>
      </c>
      <c r="L51" s="408" t="str">
        <f>IF(J51='P-II'!J50,"",FALSE)</f>
        <v/>
      </c>
      <c r="M51" s="252">
        <v>0</v>
      </c>
      <c r="N51" s="252">
        <v>0</v>
      </c>
      <c r="O51" s="252">
        <v>1</v>
      </c>
      <c r="P51" s="252">
        <v>2</v>
      </c>
      <c r="Q51" s="252">
        <v>0</v>
      </c>
      <c r="R51" s="252">
        <v>0</v>
      </c>
      <c r="S51" s="431">
        <f t="shared" si="1"/>
        <v>3</v>
      </c>
      <c r="T51" s="391">
        <f>'P-II'!K50</f>
        <v>3</v>
      </c>
      <c r="U51" s="466" t="str">
        <f>IF(S51='P-II'!K50,"",FALSE)</f>
        <v/>
      </c>
      <c r="V51" s="252">
        <v>0</v>
      </c>
      <c r="W51" s="252">
        <v>0</v>
      </c>
      <c r="X51" s="252">
        <v>0</v>
      </c>
      <c r="Y51" s="252">
        <v>0</v>
      </c>
      <c r="Z51" s="252">
        <v>0</v>
      </c>
      <c r="AA51" s="252">
        <v>0</v>
      </c>
      <c r="AB51" s="431">
        <f>SUM(V51:AA51)</f>
        <v>0</v>
      </c>
      <c r="AC51" s="391">
        <f>'P-II'!L50</f>
        <v>0</v>
      </c>
      <c r="AD51" s="466" t="str">
        <f>IF(AB51='P-II'!L50,"",FALSE)</f>
        <v/>
      </c>
      <c r="AE51" s="431">
        <f t="shared" si="3"/>
        <v>16</v>
      </c>
      <c r="AF51" s="391">
        <f>'P-II'!M50</f>
        <v>16</v>
      </c>
      <c r="AG51" s="466" t="str">
        <f>IF(AE51='P-II'!M50,"",FALSE)</f>
        <v/>
      </c>
      <c r="AH51" s="333"/>
    </row>
    <row r="52" spans="1:34" ht="20.100000000000001" customHeight="1" x14ac:dyDescent="0.25">
      <c r="A52" s="34">
        <v>270</v>
      </c>
      <c r="B52" s="427">
        <v>16</v>
      </c>
      <c r="C52" s="420" t="s">
        <v>576</v>
      </c>
      <c r="D52" s="421">
        <f>SUM(D9,D10,D11,D17,D21:D22,D27,D34:D35,D41:D43,D49:D51)</f>
        <v>3</v>
      </c>
      <c r="E52" s="421">
        <f t="shared" ref="E52:M52" si="50">SUM(E9,E10,E11,E17,E21:E22,E27,E34:E35,E41:E43,E49:E51)</f>
        <v>6</v>
      </c>
      <c r="F52" s="421">
        <f t="shared" si="50"/>
        <v>152</v>
      </c>
      <c r="G52" s="421">
        <f t="shared" si="50"/>
        <v>155</v>
      </c>
      <c r="H52" s="421">
        <f t="shared" si="50"/>
        <v>103</v>
      </c>
      <c r="I52" s="421">
        <f t="shared" si="50"/>
        <v>70</v>
      </c>
      <c r="J52" s="421">
        <f t="shared" si="50"/>
        <v>489</v>
      </c>
      <c r="K52" s="391">
        <f>'P-II'!J51</f>
        <v>489</v>
      </c>
      <c r="L52" s="430" t="str">
        <f>IF(J52='P-II'!J51,"",FALSE)</f>
        <v/>
      </c>
      <c r="M52" s="421">
        <f t="shared" si="50"/>
        <v>2</v>
      </c>
      <c r="N52" s="421">
        <f t="shared" ref="N52" si="51">SUM(N9,N10,N11,N17,N21:N22,N27,N34:N35,N41:N43,N49:N51)</f>
        <v>2</v>
      </c>
      <c r="O52" s="421">
        <f t="shared" ref="O52" si="52">SUM(O9,O10,O11,O17,O21:O22,O27,O34:O35,O41:O43,O49:O51)</f>
        <v>14</v>
      </c>
      <c r="P52" s="421">
        <f t="shared" ref="P52" si="53">SUM(P9,P10,P11,P17,P21:P22,P27,P34:P35,P41:P43,P49:P51)</f>
        <v>18</v>
      </c>
      <c r="Q52" s="421">
        <f t="shared" ref="Q52" si="54">SUM(Q9,Q10,Q11,Q17,Q21:Q22,Q27,Q34:Q35,Q41:Q43,Q49:Q51)</f>
        <v>15</v>
      </c>
      <c r="R52" s="421">
        <f t="shared" ref="R52" si="55">SUM(R9,R10,R11,R17,R21:R22,R27,R34:R35,R41:R43,R49:R51)</f>
        <v>22</v>
      </c>
      <c r="S52" s="421">
        <f t="shared" ref="S52:AE52" si="56">SUM(S9,S10,S11,S17,S21:S22,S27,S34:S35,S41:S43,S49:S51)</f>
        <v>73</v>
      </c>
      <c r="T52" s="391">
        <f>'P-II'!K51</f>
        <v>73</v>
      </c>
      <c r="U52" s="430" t="str">
        <f>IF(S52='P-II'!K51,"",FALSE)</f>
        <v/>
      </c>
      <c r="V52" s="421">
        <f t="shared" si="56"/>
        <v>0</v>
      </c>
      <c r="W52" s="421">
        <f t="shared" si="56"/>
        <v>0</v>
      </c>
      <c r="X52" s="421">
        <f t="shared" si="56"/>
        <v>0</v>
      </c>
      <c r="Y52" s="421">
        <f t="shared" si="56"/>
        <v>0</v>
      </c>
      <c r="Z52" s="421">
        <f t="shared" si="56"/>
        <v>0</v>
      </c>
      <c r="AA52" s="421">
        <f t="shared" si="56"/>
        <v>0</v>
      </c>
      <c r="AB52" s="421">
        <f t="shared" si="56"/>
        <v>0</v>
      </c>
      <c r="AC52" s="391">
        <f>'P-II'!L51</f>
        <v>0</v>
      </c>
      <c r="AD52" s="430" t="str">
        <f>IF(AB52='P-II'!L51,"",FALSE)</f>
        <v/>
      </c>
      <c r="AE52" s="421">
        <f t="shared" si="56"/>
        <v>562</v>
      </c>
      <c r="AF52" s="391">
        <f>'P-II'!M51</f>
        <v>562</v>
      </c>
      <c r="AG52" s="430" t="str">
        <f>IF(AE52='P-II'!M51,"",FALSE)</f>
        <v/>
      </c>
      <c r="AH52" s="333"/>
    </row>
    <row r="53" spans="1:34" ht="24.95" customHeight="1" x14ac:dyDescent="0.25">
      <c r="A53" s="605" t="s">
        <v>1571</v>
      </c>
      <c r="B53" s="606"/>
      <c r="C53" s="607"/>
      <c r="D53" s="463" t="str">
        <f>IF(D44&gt;0,IF((D45/D44*100)&gt;10,"ABVAR",""),"")</f>
        <v/>
      </c>
      <c r="E53" s="463" t="str">
        <f t="shared" ref="E53:AF53" si="57">IF(E44&gt;0,IF((E45/E44*100)&gt;10,"ABVAR",""),"")</f>
        <v/>
      </c>
      <c r="F53" s="463" t="str">
        <f t="shared" si="57"/>
        <v/>
      </c>
      <c r="G53" s="463" t="str">
        <f t="shared" si="57"/>
        <v/>
      </c>
      <c r="H53" s="463" t="str">
        <f t="shared" si="57"/>
        <v/>
      </c>
      <c r="I53" s="463" t="str">
        <f t="shared" si="57"/>
        <v/>
      </c>
      <c r="J53" s="463" t="str">
        <f t="shared" si="57"/>
        <v/>
      </c>
      <c r="K53" s="463" t="str">
        <f t="shared" si="57"/>
        <v/>
      </c>
      <c r="L53" s="463"/>
      <c r="M53" s="463" t="str">
        <f t="shared" si="57"/>
        <v/>
      </c>
      <c r="N53" s="463" t="str">
        <f t="shared" si="57"/>
        <v/>
      </c>
      <c r="O53" s="463" t="str">
        <f t="shared" si="57"/>
        <v/>
      </c>
      <c r="P53" s="463" t="str">
        <f t="shared" si="57"/>
        <v/>
      </c>
      <c r="Q53" s="463" t="str">
        <f t="shared" si="57"/>
        <v/>
      </c>
      <c r="R53" s="463" t="str">
        <f t="shared" si="57"/>
        <v/>
      </c>
      <c r="S53" s="463" t="str">
        <f t="shared" si="57"/>
        <v/>
      </c>
      <c r="T53" s="463" t="str">
        <f t="shared" si="57"/>
        <v/>
      </c>
      <c r="U53" s="463"/>
      <c r="V53" s="463" t="str">
        <f t="shared" si="57"/>
        <v/>
      </c>
      <c r="W53" s="463" t="str">
        <f t="shared" si="57"/>
        <v/>
      </c>
      <c r="X53" s="463" t="str">
        <f t="shared" si="57"/>
        <v/>
      </c>
      <c r="Y53" s="463" t="str">
        <f t="shared" si="57"/>
        <v/>
      </c>
      <c r="Z53" s="463" t="str">
        <f t="shared" si="57"/>
        <v/>
      </c>
      <c r="AA53" s="463" t="str">
        <f t="shared" si="57"/>
        <v/>
      </c>
      <c r="AB53" s="463" t="str">
        <f t="shared" si="57"/>
        <v/>
      </c>
      <c r="AC53" s="463" t="str">
        <f t="shared" si="57"/>
        <v/>
      </c>
      <c r="AD53" s="463"/>
      <c r="AE53" s="463" t="str">
        <f t="shared" si="57"/>
        <v/>
      </c>
      <c r="AF53" s="463" t="str">
        <f t="shared" si="57"/>
        <v/>
      </c>
      <c r="AG53" s="463"/>
    </row>
    <row r="54" spans="1:34" ht="24.95" customHeight="1" x14ac:dyDescent="0.25">
      <c r="A54" s="605" t="s">
        <v>1573</v>
      </c>
      <c r="B54" s="606"/>
      <c r="C54" s="607"/>
      <c r="D54" s="463" t="str">
        <f>IF(D52&gt;0,IF((D50/D52*100)&gt;20,"ABVAR",""),"")</f>
        <v/>
      </c>
      <c r="E54" s="463" t="str">
        <f t="shared" ref="E54:AF54" si="58">IF(E52&gt;0,IF((E50/E52*100)&gt;20,"ABVAR",""),"")</f>
        <v/>
      </c>
      <c r="F54" s="463" t="str">
        <f t="shared" si="58"/>
        <v/>
      </c>
      <c r="G54" s="463" t="str">
        <f t="shared" si="58"/>
        <v/>
      </c>
      <c r="H54" s="463" t="str">
        <f t="shared" si="58"/>
        <v/>
      </c>
      <c r="I54" s="463" t="str">
        <f t="shared" si="58"/>
        <v/>
      </c>
      <c r="J54" s="463" t="str">
        <f t="shared" si="58"/>
        <v/>
      </c>
      <c r="K54" s="463" t="str">
        <f t="shared" si="58"/>
        <v/>
      </c>
      <c r="L54" s="463"/>
      <c r="M54" s="463" t="str">
        <f t="shared" si="58"/>
        <v/>
      </c>
      <c r="N54" s="463" t="str">
        <f t="shared" si="58"/>
        <v/>
      </c>
      <c r="O54" s="463" t="str">
        <f t="shared" si="58"/>
        <v/>
      </c>
      <c r="P54" s="463" t="str">
        <f t="shared" si="58"/>
        <v/>
      </c>
      <c r="Q54" s="463" t="str">
        <f t="shared" si="58"/>
        <v/>
      </c>
      <c r="R54" s="463" t="str">
        <f t="shared" si="58"/>
        <v/>
      </c>
      <c r="S54" s="463" t="str">
        <f t="shared" si="58"/>
        <v/>
      </c>
      <c r="T54" s="463" t="str">
        <f t="shared" si="58"/>
        <v/>
      </c>
      <c r="U54" s="463"/>
      <c r="V54" s="463" t="str">
        <f t="shared" si="58"/>
        <v/>
      </c>
      <c r="W54" s="463" t="str">
        <f t="shared" si="58"/>
        <v/>
      </c>
      <c r="X54" s="463" t="str">
        <f t="shared" si="58"/>
        <v/>
      </c>
      <c r="Y54" s="463" t="str">
        <f t="shared" si="58"/>
        <v/>
      </c>
      <c r="Z54" s="463" t="str">
        <f t="shared" si="58"/>
        <v/>
      </c>
      <c r="AA54" s="463" t="str">
        <f t="shared" si="58"/>
        <v/>
      </c>
      <c r="AB54" s="463" t="str">
        <f t="shared" si="58"/>
        <v/>
      </c>
      <c r="AC54" s="463" t="str">
        <f t="shared" si="58"/>
        <v/>
      </c>
      <c r="AD54" s="463"/>
      <c r="AE54" s="463" t="str">
        <f t="shared" si="58"/>
        <v/>
      </c>
      <c r="AF54" s="463" t="str">
        <f t="shared" si="58"/>
        <v/>
      </c>
      <c r="AG54" s="463"/>
    </row>
    <row r="55" spans="1:34" ht="24.95" customHeight="1" x14ac:dyDescent="0.25">
      <c r="A55" s="605" t="s">
        <v>1638</v>
      </c>
      <c r="B55" s="606"/>
      <c r="C55" s="607"/>
      <c r="D55" s="463" t="str">
        <f>IF(D52&gt;0,IF((D51/D52*100)&gt;20,"ABVAR",""),"")</f>
        <v/>
      </c>
      <c r="E55" s="463" t="str">
        <f t="shared" ref="E55:AF55" si="59">IF(E52&gt;0,IF((E51/E52*100)&gt;20,"ABVAR",""),"")</f>
        <v/>
      </c>
      <c r="F55" s="463" t="str">
        <f t="shared" si="59"/>
        <v/>
      </c>
      <c r="G55" s="463" t="str">
        <f t="shared" si="59"/>
        <v/>
      </c>
      <c r="H55" s="463" t="str">
        <f t="shared" si="59"/>
        <v/>
      </c>
      <c r="I55" s="463" t="str">
        <f t="shared" si="59"/>
        <v/>
      </c>
      <c r="J55" s="463" t="str">
        <f t="shared" si="59"/>
        <v/>
      </c>
      <c r="K55" s="463" t="str">
        <f t="shared" si="59"/>
        <v/>
      </c>
      <c r="L55" s="463"/>
      <c r="M55" s="463" t="str">
        <f t="shared" si="59"/>
        <v/>
      </c>
      <c r="N55" s="463" t="str">
        <f t="shared" si="59"/>
        <v/>
      </c>
      <c r="O55" s="463" t="str">
        <f t="shared" si="59"/>
        <v/>
      </c>
      <c r="P55" s="463" t="str">
        <f t="shared" si="59"/>
        <v/>
      </c>
      <c r="Q55" s="463" t="str">
        <f t="shared" si="59"/>
        <v/>
      </c>
      <c r="R55" s="463" t="str">
        <f t="shared" si="59"/>
        <v/>
      </c>
      <c r="S55" s="463" t="str">
        <f t="shared" si="59"/>
        <v/>
      </c>
      <c r="T55" s="463" t="str">
        <f t="shared" si="59"/>
        <v/>
      </c>
      <c r="U55" s="463"/>
      <c r="V55" s="463" t="str">
        <f t="shared" si="59"/>
        <v/>
      </c>
      <c r="W55" s="463" t="str">
        <f t="shared" si="59"/>
        <v/>
      </c>
      <c r="X55" s="463" t="str">
        <f t="shared" si="59"/>
        <v/>
      </c>
      <c r="Y55" s="463" t="str">
        <f t="shared" si="59"/>
        <v/>
      </c>
      <c r="Z55" s="463" t="str">
        <f t="shared" si="59"/>
        <v/>
      </c>
      <c r="AA55" s="463" t="str">
        <f t="shared" si="59"/>
        <v/>
      </c>
      <c r="AB55" s="463" t="str">
        <f t="shared" si="59"/>
        <v/>
      </c>
      <c r="AC55" s="463" t="str">
        <f t="shared" si="59"/>
        <v/>
      </c>
      <c r="AD55" s="463"/>
      <c r="AE55" s="463" t="str">
        <f t="shared" si="59"/>
        <v/>
      </c>
      <c r="AF55" s="463" t="str">
        <f t="shared" si="59"/>
        <v/>
      </c>
      <c r="AG55" s="463"/>
    </row>
    <row r="200" spans="52:90" x14ac:dyDescent="0.25">
      <c r="AZ200" s="141"/>
      <c r="BA200" s="141" t="str">
        <f>A1</f>
        <v>Goa, , ADSI-2021</v>
      </c>
      <c r="BB200" s="141"/>
    </row>
    <row r="201" spans="52:90" x14ac:dyDescent="0.25">
      <c r="AZ201" s="141"/>
      <c r="BA201" s="141" t="str">
        <f>A2</f>
        <v>Errors</v>
      </c>
      <c r="BB201" s="309">
        <f>C2</f>
        <v>0</v>
      </c>
      <c r="BC201" s="309"/>
      <c r="BD201" s="472" t="str">
        <f>E2</f>
        <v>Abnormal Variations</v>
      </c>
      <c r="BE201" s="141">
        <f>F2</f>
        <v>0</v>
      </c>
    </row>
    <row r="202" spans="52:90" x14ac:dyDescent="0.25">
      <c r="BA202" s="141" t="str">
        <f>A3</f>
        <v>Proforma–III</v>
      </c>
      <c r="BB202" s="25"/>
      <c r="BC202" s="25"/>
      <c r="BD202" s="25"/>
      <c r="BE202" s="25"/>
      <c r="BF202" s="25"/>
      <c r="BG202" s="25"/>
      <c r="BH202" s="25"/>
      <c r="BI202" s="25"/>
      <c r="BJ202" s="25"/>
      <c r="BK202" s="25"/>
      <c r="BM202" s="133"/>
      <c r="BN202" s="133"/>
      <c r="BO202" s="133"/>
      <c r="BP202" s="133"/>
      <c r="BQ202" s="133"/>
      <c r="BR202" s="133"/>
      <c r="BS202" s="133"/>
      <c r="BT202" s="133"/>
      <c r="BU202" s="133"/>
      <c r="BV202" s="133"/>
      <c r="BW202" s="133"/>
      <c r="BX202" s="133"/>
      <c r="BY202" s="133"/>
      <c r="BZ202" s="133"/>
      <c r="CA202" s="133"/>
      <c r="CB202" s="133"/>
      <c r="CC202" s="133"/>
      <c r="CD202" s="134"/>
      <c r="CE202" s="25"/>
      <c r="CF202" s="25"/>
      <c r="CG202" s="25"/>
      <c r="CH202" s="25"/>
      <c r="CI202" s="25"/>
      <c r="CJ202" s="25"/>
      <c r="CK202" s="25"/>
      <c r="CL202" s="25"/>
    </row>
    <row r="203" spans="52:90" x14ac:dyDescent="0.25">
      <c r="BA203" s="141" t="str">
        <f>A4</f>
        <v>Age wise Distribution of Accidental Deaths by Un-Natural Causes</v>
      </c>
      <c r="BB203" s="25"/>
      <c r="BC203" s="25"/>
      <c r="BD203" s="25"/>
      <c r="BE203" s="25"/>
      <c r="BF203" s="25"/>
      <c r="BG203" s="25"/>
      <c r="BH203" s="25"/>
      <c r="BI203" s="25"/>
      <c r="BJ203" s="25"/>
      <c r="BM203" s="147"/>
      <c r="BN203" s="147"/>
      <c r="BO203" s="147"/>
      <c r="BP203" s="147"/>
      <c r="BQ203" s="147"/>
      <c r="BR203" s="147"/>
      <c r="BS203" s="147"/>
      <c r="BT203" s="147"/>
      <c r="BU203" s="147"/>
      <c r="BV203" s="147"/>
      <c r="BW203" s="147"/>
      <c r="BX203" s="147"/>
      <c r="BY203" s="147"/>
      <c r="BZ203" s="147"/>
      <c r="CA203" s="147"/>
      <c r="CB203" s="147"/>
      <c r="CC203" s="134"/>
      <c r="CD203" s="145"/>
      <c r="CE203" s="25"/>
      <c r="CF203" s="25"/>
      <c r="CG203" s="25"/>
      <c r="CH203" s="25"/>
      <c r="CI203" s="25"/>
      <c r="CJ203" s="25"/>
      <c r="CK203" s="25"/>
      <c r="CL203" s="25"/>
    </row>
    <row r="204" spans="52:90" ht="15" customHeight="1" x14ac:dyDescent="0.25">
      <c r="BA204" s="602" t="str">
        <f>B5</f>
        <v>Sl. No.</v>
      </c>
      <c r="BB204" s="602" t="str">
        <f>C5</f>
        <v>Causes</v>
      </c>
      <c r="BC204" s="619" t="str">
        <f>D5</f>
        <v>N u m b e r       o f      A c c i d e n t a l       D e a t h s</v>
      </c>
      <c r="BD204" s="620"/>
      <c r="BE204" s="620"/>
      <c r="BF204" s="620"/>
      <c r="BG204" s="620"/>
      <c r="BH204" s="620"/>
      <c r="BI204" s="620"/>
      <c r="BJ204" s="620"/>
      <c r="BK204" s="620"/>
      <c r="BL204" s="620"/>
      <c r="BM204" s="620"/>
      <c r="BN204" s="620"/>
      <c r="BO204" s="620"/>
      <c r="BP204" s="620"/>
      <c r="BQ204" s="620"/>
      <c r="BR204" s="620"/>
      <c r="BS204" s="620"/>
      <c r="BT204" s="620"/>
      <c r="BU204" s="620"/>
      <c r="BV204" s="620"/>
      <c r="BW204" s="620"/>
      <c r="BX204" s="620"/>
      <c r="BY204" s="620"/>
      <c r="BZ204" s="620"/>
      <c r="CA204" s="620"/>
      <c r="CB204" s="620"/>
      <c r="CC204" s="621"/>
      <c r="CD204" s="602" t="str">
        <f>AE5</f>
        <v>Grand Total [sum of (9) + (16) + (23)]</v>
      </c>
      <c r="CE204" s="602" t="str">
        <f>AF5</f>
        <v xml:space="preserve"> PROFORMA–II VALUES [Col.–(11) (Total Died)]</v>
      </c>
      <c r="CF204" s="602" t="str">
        <f>AG5</f>
        <v>VALIDATION  WITH PROFORMA-II [Col.–(11) (Total Died)]</v>
      </c>
      <c r="CG204" s="25"/>
      <c r="CH204" s="25"/>
      <c r="CI204" s="25"/>
      <c r="CJ204" s="25"/>
      <c r="CK204" s="25"/>
      <c r="CL204" s="25"/>
    </row>
    <row r="205" spans="52:90" x14ac:dyDescent="0.25">
      <c r="BA205" s="603"/>
      <c r="BB205" s="603"/>
      <c r="BC205" s="619" t="str">
        <f t="shared" ref="BC205:BC229" si="60">D6</f>
        <v>M a l e</v>
      </c>
      <c r="BD205" s="620"/>
      <c r="BE205" s="620"/>
      <c r="BF205" s="620"/>
      <c r="BG205" s="620"/>
      <c r="BH205" s="620"/>
      <c r="BI205" s="620"/>
      <c r="BJ205" s="620"/>
      <c r="BK205" s="621"/>
      <c r="BL205" s="619" t="str">
        <f t="shared" ref="BL205:BL229" si="61">M6</f>
        <v>F e m a l e</v>
      </c>
      <c r="BM205" s="620"/>
      <c r="BN205" s="620"/>
      <c r="BO205" s="620"/>
      <c r="BP205" s="620"/>
      <c r="BQ205" s="620"/>
      <c r="BR205" s="620"/>
      <c r="BS205" s="620"/>
      <c r="BT205" s="621"/>
      <c r="BU205" s="619" t="str">
        <f t="shared" ref="BU205:BU229" si="62">V6</f>
        <v>Transgender</v>
      </c>
      <c r="BV205" s="620"/>
      <c r="BW205" s="620"/>
      <c r="BX205" s="620"/>
      <c r="BY205" s="620"/>
      <c r="BZ205" s="620"/>
      <c r="CA205" s="620"/>
      <c r="CB205" s="620"/>
      <c r="CC205" s="621"/>
      <c r="CD205" s="603"/>
      <c r="CE205" s="603"/>
      <c r="CF205" s="603"/>
      <c r="CG205" s="25"/>
      <c r="CH205" s="25"/>
      <c r="CI205" s="25"/>
      <c r="CJ205" s="25"/>
      <c r="CK205" s="25"/>
      <c r="CL205" s="25"/>
    </row>
    <row r="206" spans="52:90" ht="51" x14ac:dyDescent="0.25">
      <c r="BA206" s="604"/>
      <c r="BB206" s="604"/>
      <c r="BC206" s="139" t="str">
        <f t="shared" si="60"/>
        <v>below 14 years</v>
      </c>
      <c r="BD206" s="139" t="str">
        <f t="shared" ref="BD206:BK206" si="63">E7</f>
        <v>14 and above – below 18 yrs</v>
      </c>
      <c r="BE206" s="139" t="str">
        <f t="shared" si="63"/>
        <v>18 and above – below 30 years</v>
      </c>
      <c r="BF206" s="139" t="str">
        <f t="shared" si="63"/>
        <v>30 and above – below 45 years</v>
      </c>
      <c r="BG206" s="139" t="str">
        <f t="shared" si="63"/>
        <v>45 and above – below 60 years</v>
      </c>
      <c r="BH206" s="139" t="str">
        <f t="shared" si="63"/>
        <v>60 years &amp; above</v>
      </c>
      <c r="BI206" s="139" t="str">
        <f t="shared" si="63"/>
        <v xml:space="preserve"> Total [sum of (3) to (8)]</v>
      </c>
      <c r="BJ206" s="602" t="str">
        <f t="shared" si="63"/>
        <v xml:space="preserve"> PROFORMA–II VALUES [Col.–(8) (Male Died)]</v>
      </c>
      <c r="BK206" s="602" t="str">
        <f t="shared" si="63"/>
        <v>VALIDATION  WITH PROFORMA-II [Col.–(8) (Male Died)]</v>
      </c>
      <c r="BL206" s="139" t="str">
        <f t="shared" si="61"/>
        <v>below 14 years</v>
      </c>
      <c r="BM206" s="139" t="str">
        <f t="shared" ref="BM206:BT206" si="64">N7</f>
        <v>14 and above – below 18 yrs</v>
      </c>
      <c r="BN206" s="139" t="str">
        <f t="shared" si="64"/>
        <v>18 and above – below 30 years</v>
      </c>
      <c r="BO206" s="139" t="str">
        <f t="shared" si="64"/>
        <v>30 and above – below 45 years</v>
      </c>
      <c r="BP206" s="139" t="str">
        <f t="shared" si="64"/>
        <v>45 and above – below 60 years</v>
      </c>
      <c r="BQ206" s="139" t="str">
        <f t="shared" si="64"/>
        <v>60 years &amp; above</v>
      </c>
      <c r="BR206" s="139" t="str">
        <f t="shared" si="64"/>
        <v>Total 
[sum of (10) to (15)]</v>
      </c>
      <c r="BS206" s="602" t="str">
        <f t="shared" si="64"/>
        <v xml:space="preserve"> PROFORMA–II VALUES [Col.–(9) (Female Died)]</v>
      </c>
      <c r="BT206" s="602" t="str">
        <f t="shared" si="64"/>
        <v>VALIDATION  WITH PROFORMA-II [Col.–(9) (Female Died)]</v>
      </c>
      <c r="BU206" s="139" t="str">
        <f t="shared" si="62"/>
        <v>below 14 years</v>
      </c>
      <c r="BV206" s="139" t="str">
        <f t="shared" ref="BV206:CC206" si="65">W7</f>
        <v>14 and above – below 18 yrs</v>
      </c>
      <c r="BW206" s="139" t="str">
        <f t="shared" si="65"/>
        <v>18 and above – below 30 years</v>
      </c>
      <c r="BX206" s="139" t="str">
        <f t="shared" si="65"/>
        <v>30 and above – below 45 years</v>
      </c>
      <c r="BY206" s="139" t="str">
        <f t="shared" si="65"/>
        <v>45 and above – below 60 years</v>
      </c>
      <c r="BZ206" s="139" t="str">
        <f t="shared" si="65"/>
        <v>60 years &amp; above</v>
      </c>
      <c r="CA206" s="139" t="str">
        <f t="shared" si="65"/>
        <v>Total 
[sum of (17) to (22)]</v>
      </c>
      <c r="CB206" s="602" t="str">
        <f t="shared" si="65"/>
        <v xml:space="preserve"> PROFORMA–II VALUES [Col.–(10) (Transgender Died)]</v>
      </c>
      <c r="CC206" s="602" t="str">
        <f t="shared" si="65"/>
        <v>VALIDATION  WITH PROFORMA-II [Col.–(10) (Transgender Died)]</v>
      </c>
      <c r="CD206" s="604"/>
      <c r="CE206" s="603"/>
      <c r="CF206" s="603"/>
      <c r="CG206" s="25"/>
      <c r="CH206" s="25"/>
      <c r="CI206" s="25"/>
      <c r="CJ206" s="25"/>
      <c r="CK206" s="25"/>
      <c r="CL206" s="25"/>
    </row>
    <row r="207" spans="52:90" x14ac:dyDescent="0.25">
      <c r="BA207" s="138" t="str">
        <f t="shared" ref="BA207:BA251" si="66">B8</f>
        <v>(1)</v>
      </c>
      <c r="BB207" s="138" t="str">
        <f t="shared" ref="BB207:BB229" si="67">C8</f>
        <v>(2)</v>
      </c>
      <c r="BC207" s="138" t="str">
        <f t="shared" si="60"/>
        <v>(3)</v>
      </c>
      <c r="BD207" s="138" t="str">
        <f t="shared" ref="BD207:BD229" si="68">E8</f>
        <v>(4)</v>
      </c>
      <c r="BE207" s="138" t="str">
        <f t="shared" ref="BE207:BE229" si="69">F8</f>
        <v>(5)</v>
      </c>
      <c r="BF207" s="138" t="str">
        <f t="shared" ref="BF207:BF229" si="70">G8</f>
        <v>(6)</v>
      </c>
      <c r="BG207" s="138" t="str">
        <f t="shared" ref="BG207:BG229" si="71">H8</f>
        <v>(7)</v>
      </c>
      <c r="BH207" s="138" t="str">
        <f t="shared" ref="BH207:BH229" si="72">I8</f>
        <v>(8)</v>
      </c>
      <c r="BI207" s="138" t="str">
        <f t="shared" ref="BI207:BI229" si="73">J8</f>
        <v>(9)</v>
      </c>
      <c r="BJ207" s="604"/>
      <c r="BK207" s="604"/>
      <c r="BL207" s="138" t="str">
        <f t="shared" si="61"/>
        <v>(10)</v>
      </c>
      <c r="BM207" s="138" t="str">
        <f t="shared" ref="BM207:BM229" si="74">N8</f>
        <v>(11)</v>
      </c>
      <c r="BN207" s="138" t="str">
        <f t="shared" ref="BN207:BN229" si="75">O8</f>
        <v>(12)</v>
      </c>
      <c r="BO207" s="138" t="str">
        <f t="shared" ref="BO207:BO229" si="76">P8</f>
        <v>(13)</v>
      </c>
      <c r="BP207" s="138" t="str">
        <f t="shared" ref="BP207:BP229" si="77">Q8</f>
        <v>(14)</v>
      </c>
      <c r="BQ207" s="138" t="str">
        <f t="shared" ref="BQ207:BQ229" si="78">R8</f>
        <v>(15)</v>
      </c>
      <c r="BR207" s="138" t="str">
        <f t="shared" ref="BR207:BR229" si="79">S8</f>
        <v>(16)</v>
      </c>
      <c r="BS207" s="604"/>
      <c r="BT207" s="604"/>
      <c r="BU207" s="138" t="str">
        <f t="shared" si="62"/>
        <v>(17)</v>
      </c>
      <c r="BV207" s="138" t="str">
        <f t="shared" ref="BV207:BV229" si="80">W8</f>
        <v>(18)</v>
      </c>
      <c r="BW207" s="138" t="str">
        <f t="shared" ref="BW207:BW229" si="81">X8</f>
        <v>(19)</v>
      </c>
      <c r="BX207" s="138" t="str">
        <f t="shared" ref="BX207:BX229" si="82">Y8</f>
        <v>(20)</v>
      </c>
      <c r="BY207" s="138" t="str">
        <f t="shared" ref="BY207:BY229" si="83">Z8</f>
        <v>(21)</v>
      </c>
      <c r="BZ207" s="138" t="str">
        <f t="shared" ref="BZ207:BZ229" si="84">AA8</f>
        <v>(22)</v>
      </c>
      <c r="CA207" s="138" t="str">
        <f t="shared" ref="CA207:CA229" si="85">AB8</f>
        <v>(23)</v>
      </c>
      <c r="CB207" s="604"/>
      <c r="CC207" s="604"/>
      <c r="CD207" s="138" t="str">
        <f t="shared" ref="CD207:CD229" si="86">AE8</f>
        <v>(24)</v>
      </c>
      <c r="CE207" s="604"/>
      <c r="CF207" s="604"/>
      <c r="CG207" s="25"/>
      <c r="CH207" s="25"/>
      <c r="CI207" s="25"/>
      <c r="CJ207" s="25"/>
      <c r="CK207" s="25"/>
      <c r="CL207" s="25"/>
    </row>
    <row r="208" spans="52:90" x14ac:dyDescent="0.25">
      <c r="BA208" s="138">
        <f t="shared" si="66"/>
        <v>1</v>
      </c>
      <c r="BB208" s="136" t="str">
        <f t="shared" si="67"/>
        <v>Air Crash</v>
      </c>
      <c r="BC208" s="136">
        <f t="shared" si="60"/>
        <v>0</v>
      </c>
      <c r="BD208" s="136">
        <f t="shared" si="68"/>
        <v>0</v>
      </c>
      <c r="BE208" s="136">
        <f t="shared" si="69"/>
        <v>0</v>
      </c>
      <c r="BF208" s="136">
        <f t="shared" si="70"/>
        <v>0</v>
      </c>
      <c r="BG208" s="136">
        <f t="shared" si="71"/>
        <v>0</v>
      </c>
      <c r="BH208" s="136">
        <f t="shared" si="72"/>
        <v>0</v>
      </c>
      <c r="BI208" s="136">
        <f t="shared" si="73"/>
        <v>0</v>
      </c>
      <c r="BJ208" s="136">
        <f t="shared" ref="BJ208:BJ229" si="87">K9</f>
        <v>0</v>
      </c>
      <c r="BK208" s="136" t="str">
        <f t="shared" ref="BK208:BK229" si="88">L9</f>
        <v/>
      </c>
      <c r="BL208" s="136">
        <f t="shared" si="61"/>
        <v>0</v>
      </c>
      <c r="BM208" s="136">
        <f t="shared" si="74"/>
        <v>0</v>
      </c>
      <c r="BN208" s="136">
        <f t="shared" si="75"/>
        <v>0</v>
      </c>
      <c r="BO208" s="136">
        <f t="shared" si="76"/>
        <v>0</v>
      </c>
      <c r="BP208" s="136">
        <f t="shared" si="77"/>
        <v>0</v>
      </c>
      <c r="BQ208" s="136">
        <f t="shared" si="78"/>
        <v>0</v>
      </c>
      <c r="BR208" s="136">
        <f t="shared" si="79"/>
        <v>0</v>
      </c>
      <c r="BS208" s="136">
        <f t="shared" ref="BS208:BS229" si="89">T9</f>
        <v>0</v>
      </c>
      <c r="BT208" s="136" t="str">
        <f t="shared" ref="BT208:BT229" si="90">U9</f>
        <v/>
      </c>
      <c r="BU208" s="136">
        <f t="shared" si="62"/>
        <v>0</v>
      </c>
      <c r="BV208" s="136">
        <f t="shared" si="80"/>
        <v>0</v>
      </c>
      <c r="BW208" s="136">
        <f t="shared" si="81"/>
        <v>0</v>
      </c>
      <c r="BX208" s="136">
        <f t="shared" si="82"/>
        <v>0</v>
      </c>
      <c r="BY208" s="136">
        <f t="shared" si="83"/>
        <v>0</v>
      </c>
      <c r="BZ208" s="136">
        <f t="shared" si="84"/>
        <v>0</v>
      </c>
      <c r="CA208" s="136">
        <f t="shared" si="85"/>
        <v>0</v>
      </c>
      <c r="CB208" s="136">
        <f t="shared" ref="CB208:CB229" si="91">AC9</f>
        <v>0</v>
      </c>
      <c r="CC208" s="136" t="str">
        <f t="shared" ref="CC208:CC229" si="92">AD9</f>
        <v/>
      </c>
      <c r="CD208" s="136">
        <f t="shared" si="86"/>
        <v>0</v>
      </c>
      <c r="CE208" s="136">
        <f t="shared" ref="CE208:CE229" si="93">AF9</f>
        <v>0</v>
      </c>
      <c r="CF208" s="136" t="str">
        <f t="shared" ref="CF208:CF229" si="94">AG9</f>
        <v/>
      </c>
      <c r="CG208" s="25"/>
      <c r="CH208" s="25"/>
      <c r="CI208" s="25"/>
      <c r="CJ208" s="25"/>
      <c r="CK208" s="25"/>
      <c r="CL208" s="25"/>
    </row>
    <row r="209" spans="53:90" x14ac:dyDescent="0.25">
      <c r="BA209" s="138">
        <f t="shared" si="66"/>
        <v>2</v>
      </c>
      <c r="BB209" s="136" t="str">
        <f t="shared" si="67"/>
        <v>Ship Accidents</v>
      </c>
      <c r="BC209" s="136">
        <f t="shared" si="60"/>
        <v>0</v>
      </c>
      <c r="BD209" s="136">
        <f t="shared" si="68"/>
        <v>0</v>
      </c>
      <c r="BE209" s="136">
        <f t="shared" si="69"/>
        <v>0</v>
      </c>
      <c r="BF209" s="136">
        <f t="shared" si="70"/>
        <v>0</v>
      </c>
      <c r="BG209" s="136">
        <f t="shared" si="71"/>
        <v>0</v>
      </c>
      <c r="BH209" s="136">
        <f t="shared" si="72"/>
        <v>0</v>
      </c>
      <c r="BI209" s="136">
        <f t="shared" si="73"/>
        <v>0</v>
      </c>
      <c r="BJ209" s="136">
        <f t="shared" si="87"/>
        <v>0</v>
      </c>
      <c r="BK209" s="136" t="str">
        <f t="shared" si="88"/>
        <v/>
      </c>
      <c r="BL209" s="136">
        <f t="shared" si="61"/>
        <v>0</v>
      </c>
      <c r="BM209" s="136">
        <f t="shared" si="74"/>
        <v>0</v>
      </c>
      <c r="BN209" s="136">
        <f t="shared" si="75"/>
        <v>0</v>
      </c>
      <c r="BO209" s="136">
        <f t="shared" si="76"/>
        <v>0</v>
      </c>
      <c r="BP209" s="136">
        <f t="shared" si="77"/>
        <v>0</v>
      </c>
      <c r="BQ209" s="136">
        <f t="shared" si="78"/>
        <v>0</v>
      </c>
      <c r="BR209" s="136">
        <f t="shared" si="79"/>
        <v>0</v>
      </c>
      <c r="BS209" s="136">
        <f t="shared" si="89"/>
        <v>0</v>
      </c>
      <c r="BT209" s="136" t="str">
        <f t="shared" si="90"/>
        <v/>
      </c>
      <c r="BU209" s="136">
        <f t="shared" si="62"/>
        <v>0</v>
      </c>
      <c r="BV209" s="136">
        <f t="shared" si="80"/>
        <v>0</v>
      </c>
      <c r="BW209" s="136">
        <f t="shared" si="81"/>
        <v>0</v>
      </c>
      <c r="BX209" s="136">
        <f t="shared" si="82"/>
        <v>0</v>
      </c>
      <c r="BY209" s="136">
        <f t="shared" si="83"/>
        <v>0</v>
      </c>
      <c r="BZ209" s="136">
        <f t="shared" si="84"/>
        <v>0</v>
      </c>
      <c r="CA209" s="136">
        <f t="shared" si="85"/>
        <v>0</v>
      </c>
      <c r="CB209" s="136">
        <f t="shared" si="91"/>
        <v>0</v>
      </c>
      <c r="CC209" s="136" t="str">
        <f t="shared" si="92"/>
        <v/>
      </c>
      <c r="CD209" s="136">
        <f t="shared" si="86"/>
        <v>0</v>
      </c>
      <c r="CE209" s="136">
        <f t="shared" si="93"/>
        <v>0</v>
      </c>
      <c r="CF209" s="136" t="str">
        <f t="shared" si="94"/>
        <v/>
      </c>
      <c r="CG209" s="25"/>
      <c r="CH209" s="25"/>
      <c r="CI209" s="25"/>
      <c r="CJ209" s="25"/>
      <c r="CK209" s="25"/>
      <c r="CL209" s="25"/>
    </row>
    <row r="210" spans="53:90" ht="25.5" x14ac:dyDescent="0.25">
      <c r="BA210" s="138">
        <f t="shared" si="66"/>
        <v>3</v>
      </c>
      <c r="BB210" s="140" t="str">
        <f t="shared" si="67"/>
        <v>Collapse of Structure (Total) (sum of 3.1 to 3.5)</v>
      </c>
      <c r="BC210" s="136">
        <f t="shared" si="60"/>
        <v>0</v>
      </c>
      <c r="BD210" s="136">
        <f t="shared" si="68"/>
        <v>0</v>
      </c>
      <c r="BE210" s="136">
        <f t="shared" si="69"/>
        <v>1</v>
      </c>
      <c r="BF210" s="136">
        <f t="shared" si="70"/>
        <v>2</v>
      </c>
      <c r="BG210" s="136">
        <f t="shared" si="71"/>
        <v>2</v>
      </c>
      <c r="BH210" s="136">
        <f t="shared" si="72"/>
        <v>0</v>
      </c>
      <c r="BI210" s="136">
        <f t="shared" si="73"/>
        <v>5</v>
      </c>
      <c r="BJ210" s="136">
        <f t="shared" si="87"/>
        <v>5</v>
      </c>
      <c r="BK210" s="136" t="str">
        <f t="shared" si="88"/>
        <v/>
      </c>
      <c r="BL210" s="136">
        <f t="shared" si="61"/>
        <v>0</v>
      </c>
      <c r="BM210" s="136">
        <f t="shared" si="74"/>
        <v>0</v>
      </c>
      <c r="BN210" s="136">
        <f t="shared" si="75"/>
        <v>0</v>
      </c>
      <c r="BO210" s="136">
        <f t="shared" si="76"/>
        <v>0</v>
      </c>
      <c r="BP210" s="136">
        <f t="shared" si="77"/>
        <v>0</v>
      </c>
      <c r="BQ210" s="136">
        <f t="shared" si="78"/>
        <v>0</v>
      </c>
      <c r="BR210" s="136">
        <f t="shared" si="79"/>
        <v>0</v>
      </c>
      <c r="BS210" s="136">
        <f t="shared" si="89"/>
        <v>0</v>
      </c>
      <c r="BT210" s="136" t="str">
        <f t="shared" si="90"/>
        <v/>
      </c>
      <c r="BU210" s="136">
        <f t="shared" si="62"/>
        <v>0</v>
      </c>
      <c r="BV210" s="136">
        <f t="shared" si="80"/>
        <v>0</v>
      </c>
      <c r="BW210" s="136">
        <f t="shared" si="81"/>
        <v>0</v>
      </c>
      <c r="BX210" s="136">
        <f t="shared" si="82"/>
        <v>0</v>
      </c>
      <c r="BY210" s="136">
        <f t="shared" si="83"/>
        <v>0</v>
      </c>
      <c r="BZ210" s="136">
        <f t="shared" si="84"/>
        <v>0</v>
      </c>
      <c r="CA210" s="136">
        <f t="shared" si="85"/>
        <v>0</v>
      </c>
      <c r="CB210" s="136">
        <f t="shared" si="91"/>
        <v>0</v>
      </c>
      <c r="CC210" s="136" t="str">
        <f t="shared" si="92"/>
        <v/>
      </c>
      <c r="CD210" s="136">
        <f t="shared" si="86"/>
        <v>5</v>
      </c>
      <c r="CE210" s="136">
        <f t="shared" si="93"/>
        <v>5</v>
      </c>
      <c r="CF210" s="136" t="str">
        <f t="shared" si="94"/>
        <v/>
      </c>
      <c r="CG210" s="25"/>
      <c r="CH210" s="25"/>
      <c r="CI210" s="25"/>
      <c r="CJ210" s="25"/>
      <c r="CK210" s="25"/>
      <c r="CL210" s="25"/>
    </row>
    <row r="211" spans="53:90" ht="25.5" x14ac:dyDescent="0.25">
      <c r="BA211" s="138"/>
      <c r="BB211" s="183" t="str">
        <f t="shared" si="67"/>
        <v>3.1 Collapse of Dwelling House/Residential building</v>
      </c>
      <c r="BC211" s="136">
        <f t="shared" si="60"/>
        <v>0</v>
      </c>
      <c r="BD211" s="136">
        <f t="shared" si="68"/>
        <v>0</v>
      </c>
      <c r="BE211" s="136">
        <f t="shared" si="69"/>
        <v>1</v>
      </c>
      <c r="BF211" s="136">
        <f t="shared" si="70"/>
        <v>0</v>
      </c>
      <c r="BG211" s="136">
        <f t="shared" si="71"/>
        <v>0</v>
      </c>
      <c r="BH211" s="136">
        <f t="shared" si="72"/>
        <v>0</v>
      </c>
      <c r="BI211" s="136">
        <f t="shared" si="73"/>
        <v>1</v>
      </c>
      <c r="BJ211" s="136">
        <f t="shared" si="87"/>
        <v>1</v>
      </c>
      <c r="BK211" s="136" t="str">
        <f t="shared" si="88"/>
        <v/>
      </c>
      <c r="BL211" s="136">
        <f t="shared" si="61"/>
        <v>0</v>
      </c>
      <c r="BM211" s="136">
        <f t="shared" si="74"/>
        <v>0</v>
      </c>
      <c r="BN211" s="136">
        <f t="shared" si="75"/>
        <v>0</v>
      </c>
      <c r="BO211" s="136">
        <f t="shared" si="76"/>
        <v>0</v>
      </c>
      <c r="BP211" s="136">
        <f t="shared" si="77"/>
        <v>0</v>
      </c>
      <c r="BQ211" s="136">
        <f t="shared" si="78"/>
        <v>0</v>
      </c>
      <c r="BR211" s="136">
        <f t="shared" si="79"/>
        <v>0</v>
      </c>
      <c r="BS211" s="136">
        <f t="shared" si="89"/>
        <v>0</v>
      </c>
      <c r="BT211" s="136" t="str">
        <f t="shared" si="90"/>
        <v/>
      </c>
      <c r="BU211" s="136">
        <f t="shared" si="62"/>
        <v>0</v>
      </c>
      <c r="BV211" s="136">
        <f t="shared" si="80"/>
        <v>0</v>
      </c>
      <c r="BW211" s="136">
        <f t="shared" si="81"/>
        <v>0</v>
      </c>
      <c r="BX211" s="136">
        <f t="shared" si="82"/>
        <v>0</v>
      </c>
      <c r="BY211" s="136">
        <f t="shared" si="83"/>
        <v>0</v>
      </c>
      <c r="BZ211" s="136">
        <f t="shared" si="84"/>
        <v>0</v>
      </c>
      <c r="CA211" s="136">
        <f t="shared" si="85"/>
        <v>0</v>
      </c>
      <c r="CB211" s="136">
        <f t="shared" si="91"/>
        <v>0</v>
      </c>
      <c r="CC211" s="136" t="str">
        <f t="shared" si="92"/>
        <v/>
      </c>
      <c r="CD211" s="136">
        <f t="shared" si="86"/>
        <v>1</v>
      </c>
      <c r="CE211" s="136">
        <f t="shared" si="93"/>
        <v>1</v>
      </c>
      <c r="CF211" s="136" t="str">
        <f t="shared" si="94"/>
        <v/>
      </c>
      <c r="CG211" s="25"/>
      <c r="CH211" s="25"/>
      <c r="CI211" s="25"/>
      <c r="CJ211" s="25"/>
      <c r="CK211" s="25"/>
      <c r="CL211" s="25"/>
    </row>
    <row r="212" spans="53:90" ht="25.5" x14ac:dyDescent="0.25">
      <c r="BA212" s="138"/>
      <c r="BB212" s="183" t="str">
        <f t="shared" si="67"/>
        <v>3.2 Collapse of Official/Commercial Building</v>
      </c>
      <c r="BC212" s="136">
        <f t="shared" si="60"/>
        <v>0</v>
      </c>
      <c r="BD212" s="136">
        <f t="shared" si="68"/>
        <v>0</v>
      </c>
      <c r="BE212" s="136">
        <f t="shared" si="69"/>
        <v>0</v>
      </c>
      <c r="BF212" s="136">
        <f t="shared" si="70"/>
        <v>0</v>
      </c>
      <c r="BG212" s="136">
        <f t="shared" si="71"/>
        <v>0</v>
      </c>
      <c r="BH212" s="136">
        <f t="shared" si="72"/>
        <v>0</v>
      </c>
      <c r="BI212" s="136">
        <f t="shared" si="73"/>
        <v>0</v>
      </c>
      <c r="BJ212" s="136">
        <f t="shared" si="87"/>
        <v>0</v>
      </c>
      <c r="BK212" s="136" t="str">
        <f t="shared" si="88"/>
        <v/>
      </c>
      <c r="BL212" s="136">
        <f t="shared" si="61"/>
        <v>0</v>
      </c>
      <c r="BM212" s="136">
        <f t="shared" si="74"/>
        <v>0</v>
      </c>
      <c r="BN212" s="136">
        <f t="shared" si="75"/>
        <v>0</v>
      </c>
      <c r="BO212" s="136">
        <f t="shared" si="76"/>
        <v>0</v>
      </c>
      <c r="BP212" s="136">
        <f t="shared" si="77"/>
        <v>0</v>
      </c>
      <c r="BQ212" s="136">
        <f t="shared" si="78"/>
        <v>0</v>
      </c>
      <c r="BR212" s="136">
        <f t="shared" si="79"/>
        <v>0</v>
      </c>
      <c r="BS212" s="136">
        <f t="shared" si="89"/>
        <v>0</v>
      </c>
      <c r="BT212" s="136" t="str">
        <f t="shared" si="90"/>
        <v/>
      </c>
      <c r="BU212" s="136">
        <f t="shared" si="62"/>
        <v>0</v>
      </c>
      <c r="BV212" s="136">
        <f t="shared" si="80"/>
        <v>0</v>
      </c>
      <c r="BW212" s="136">
        <f t="shared" si="81"/>
        <v>0</v>
      </c>
      <c r="BX212" s="136">
        <f t="shared" si="82"/>
        <v>0</v>
      </c>
      <c r="BY212" s="136">
        <f t="shared" si="83"/>
        <v>0</v>
      </c>
      <c r="BZ212" s="136">
        <f t="shared" si="84"/>
        <v>0</v>
      </c>
      <c r="CA212" s="136">
        <f t="shared" si="85"/>
        <v>0</v>
      </c>
      <c r="CB212" s="136">
        <f t="shared" si="91"/>
        <v>0</v>
      </c>
      <c r="CC212" s="136" t="str">
        <f t="shared" si="92"/>
        <v/>
      </c>
      <c r="CD212" s="136">
        <f t="shared" si="86"/>
        <v>0</v>
      </c>
      <c r="CE212" s="136">
        <f t="shared" si="93"/>
        <v>0</v>
      </c>
      <c r="CF212" s="136" t="str">
        <f t="shared" si="94"/>
        <v/>
      </c>
      <c r="CG212" s="25"/>
      <c r="CH212" s="25"/>
      <c r="CI212" s="25"/>
      <c r="CJ212" s="25"/>
      <c r="CK212" s="25"/>
      <c r="CL212" s="25"/>
    </row>
    <row r="213" spans="53:90" x14ac:dyDescent="0.25">
      <c r="BA213" s="138"/>
      <c r="BB213" s="154" t="str">
        <f t="shared" si="67"/>
        <v>3.3 Collapse of Dam</v>
      </c>
      <c r="BC213" s="136">
        <f t="shared" si="60"/>
        <v>0</v>
      </c>
      <c r="BD213" s="136">
        <f t="shared" si="68"/>
        <v>0</v>
      </c>
      <c r="BE213" s="136">
        <f t="shared" si="69"/>
        <v>0</v>
      </c>
      <c r="BF213" s="136">
        <f t="shared" si="70"/>
        <v>0</v>
      </c>
      <c r="BG213" s="136">
        <f t="shared" si="71"/>
        <v>0</v>
      </c>
      <c r="BH213" s="136">
        <f t="shared" si="72"/>
        <v>0</v>
      </c>
      <c r="BI213" s="136">
        <f t="shared" si="73"/>
        <v>0</v>
      </c>
      <c r="BJ213" s="136">
        <f t="shared" si="87"/>
        <v>0</v>
      </c>
      <c r="BK213" s="136" t="str">
        <f t="shared" si="88"/>
        <v/>
      </c>
      <c r="BL213" s="136">
        <f t="shared" si="61"/>
        <v>0</v>
      </c>
      <c r="BM213" s="136">
        <f t="shared" si="74"/>
        <v>0</v>
      </c>
      <c r="BN213" s="136">
        <f t="shared" si="75"/>
        <v>0</v>
      </c>
      <c r="BO213" s="136">
        <f t="shared" si="76"/>
        <v>0</v>
      </c>
      <c r="BP213" s="136">
        <f t="shared" si="77"/>
        <v>0</v>
      </c>
      <c r="BQ213" s="136">
        <f t="shared" si="78"/>
        <v>0</v>
      </c>
      <c r="BR213" s="136">
        <f t="shared" si="79"/>
        <v>0</v>
      </c>
      <c r="BS213" s="136">
        <f t="shared" si="89"/>
        <v>0</v>
      </c>
      <c r="BT213" s="136" t="str">
        <f t="shared" si="90"/>
        <v/>
      </c>
      <c r="BU213" s="136">
        <f t="shared" si="62"/>
        <v>0</v>
      </c>
      <c r="BV213" s="136">
        <f t="shared" si="80"/>
        <v>0</v>
      </c>
      <c r="BW213" s="136">
        <f t="shared" si="81"/>
        <v>0</v>
      </c>
      <c r="BX213" s="136">
        <f t="shared" si="82"/>
        <v>0</v>
      </c>
      <c r="BY213" s="136">
        <f t="shared" si="83"/>
        <v>0</v>
      </c>
      <c r="BZ213" s="136">
        <f t="shared" si="84"/>
        <v>0</v>
      </c>
      <c r="CA213" s="136">
        <f t="shared" si="85"/>
        <v>0</v>
      </c>
      <c r="CB213" s="136">
        <f t="shared" si="91"/>
        <v>0</v>
      </c>
      <c r="CC213" s="136" t="str">
        <f t="shared" si="92"/>
        <v/>
      </c>
      <c r="CD213" s="136">
        <f t="shared" si="86"/>
        <v>0</v>
      </c>
      <c r="CE213" s="136">
        <f t="shared" si="93"/>
        <v>0</v>
      </c>
      <c r="CF213" s="136" t="str">
        <f t="shared" si="94"/>
        <v/>
      </c>
      <c r="CG213" s="25"/>
      <c r="CH213" s="25"/>
      <c r="CI213" s="25"/>
      <c r="CJ213" s="25"/>
      <c r="CK213" s="25"/>
      <c r="CL213" s="25"/>
    </row>
    <row r="214" spans="53:90" x14ac:dyDescent="0.25">
      <c r="BA214" s="138"/>
      <c r="BB214" s="154" t="str">
        <f t="shared" si="67"/>
        <v>3.4 Collapse of  Bridge</v>
      </c>
      <c r="BC214" s="136">
        <f t="shared" si="60"/>
        <v>0</v>
      </c>
      <c r="BD214" s="136">
        <f t="shared" si="68"/>
        <v>0</v>
      </c>
      <c r="BE214" s="136">
        <f t="shared" si="69"/>
        <v>0</v>
      </c>
      <c r="BF214" s="136">
        <f t="shared" si="70"/>
        <v>0</v>
      </c>
      <c r="BG214" s="136">
        <f t="shared" si="71"/>
        <v>0</v>
      </c>
      <c r="BH214" s="136">
        <f t="shared" si="72"/>
        <v>0</v>
      </c>
      <c r="BI214" s="136">
        <f t="shared" si="73"/>
        <v>0</v>
      </c>
      <c r="BJ214" s="136">
        <f t="shared" si="87"/>
        <v>0</v>
      </c>
      <c r="BK214" s="136" t="str">
        <f t="shared" si="88"/>
        <v/>
      </c>
      <c r="BL214" s="136">
        <f t="shared" si="61"/>
        <v>0</v>
      </c>
      <c r="BM214" s="136">
        <f t="shared" si="74"/>
        <v>0</v>
      </c>
      <c r="BN214" s="136">
        <f t="shared" si="75"/>
        <v>0</v>
      </c>
      <c r="BO214" s="136">
        <f t="shared" si="76"/>
        <v>0</v>
      </c>
      <c r="BP214" s="136">
        <f t="shared" si="77"/>
        <v>0</v>
      </c>
      <c r="BQ214" s="136">
        <f t="shared" si="78"/>
        <v>0</v>
      </c>
      <c r="BR214" s="136">
        <f t="shared" si="79"/>
        <v>0</v>
      </c>
      <c r="BS214" s="136">
        <f t="shared" si="89"/>
        <v>0</v>
      </c>
      <c r="BT214" s="136" t="str">
        <f t="shared" si="90"/>
        <v/>
      </c>
      <c r="BU214" s="136">
        <f t="shared" si="62"/>
        <v>0</v>
      </c>
      <c r="BV214" s="136">
        <f t="shared" si="80"/>
        <v>0</v>
      </c>
      <c r="BW214" s="136">
        <f t="shared" si="81"/>
        <v>0</v>
      </c>
      <c r="BX214" s="136">
        <f t="shared" si="82"/>
        <v>0</v>
      </c>
      <c r="BY214" s="136">
        <f t="shared" si="83"/>
        <v>0</v>
      </c>
      <c r="BZ214" s="136">
        <f t="shared" si="84"/>
        <v>0</v>
      </c>
      <c r="CA214" s="136">
        <f t="shared" si="85"/>
        <v>0</v>
      </c>
      <c r="CB214" s="136">
        <f t="shared" si="91"/>
        <v>0</v>
      </c>
      <c r="CC214" s="136" t="str">
        <f t="shared" si="92"/>
        <v/>
      </c>
      <c r="CD214" s="136">
        <f t="shared" si="86"/>
        <v>0</v>
      </c>
      <c r="CE214" s="136">
        <f t="shared" si="93"/>
        <v>0</v>
      </c>
      <c r="CF214" s="136" t="str">
        <f t="shared" si="94"/>
        <v/>
      </c>
      <c r="CG214" s="25"/>
      <c r="CH214" s="25"/>
      <c r="CI214" s="25"/>
      <c r="CJ214" s="25"/>
      <c r="CK214" s="25"/>
      <c r="CL214" s="25"/>
    </row>
    <row r="215" spans="53:90" x14ac:dyDescent="0.25">
      <c r="BA215" s="138"/>
      <c r="BB215" s="154" t="str">
        <f t="shared" si="67"/>
        <v>3.5 Others</v>
      </c>
      <c r="BC215" s="136">
        <f t="shared" si="60"/>
        <v>0</v>
      </c>
      <c r="BD215" s="136">
        <f t="shared" si="68"/>
        <v>0</v>
      </c>
      <c r="BE215" s="136">
        <f t="shared" si="69"/>
        <v>0</v>
      </c>
      <c r="BF215" s="136">
        <f t="shared" si="70"/>
        <v>2</v>
      </c>
      <c r="BG215" s="136">
        <f t="shared" si="71"/>
        <v>2</v>
      </c>
      <c r="BH215" s="136">
        <f t="shared" si="72"/>
        <v>0</v>
      </c>
      <c r="BI215" s="136">
        <f t="shared" si="73"/>
        <v>4</v>
      </c>
      <c r="BJ215" s="136">
        <f t="shared" si="87"/>
        <v>4</v>
      </c>
      <c r="BK215" s="136" t="str">
        <f t="shared" si="88"/>
        <v/>
      </c>
      <c r="BL215" s="136">
        <f t="shared" si="61"/>
        <v>0</v>
      </c>
      <c r="BM215" s="136">
        <f t="shared" si="74"/>
        <v>0</v>
      </c>
      <c r="BN215" s="136">
        <f t="shared" si="75"/>
        <v>0</v>
      </c>
      <c r="BO215" s="136">
        <f t="shared" si="76"/>
        <v>0</v>
      </c>
      <c r="BP215" s="136">
        <f t="shared" si="77"/>
        <v>0</v>
      </c>
      <c r="BQ215" s="136">
        <f t="shared" si="78"/>
        <v>0</v>
      </c>
      <c r="BR215" s="136">
        <f t="shared" si="79"/>
        <v>0</v>
      </c>
      <c r="BS215" s="136">
        <f t="shared" si="89"/>
        <v>0</v>
      </c>
      <c r="BT215" s="136" t="str">
        <f t="shared" si="90"/>
        <v/>
      </c>
      <c r="BU215" s="136">
        <f t="shared" si="62"/>
        <v>0</v>
      </c>
      <c r="BV215" s="136">
        <f t="shared" si="80"/>
        <v>0</v>
      </c>
      <c r="BW215" s="136">
        <f t="shared" si="81"/>
        <v>0</v>
      </c>
      <c r="BX215" s="136">
        <f t="shared" si="82"/>
        <v>0</v>
      </c>
      <c r="BY215" s="136">
        <f t="shared" si="83"/>
        <v>0</v>
      </c>
      <c r="BZ215" s="136">
        <f t="shared" si="84"/>
        <v>0</v>
      </c>
      <c r="CA215" s="136">
        <f t="shared" si="85"/>
        <v>0</v>
      </c>
      <c r="CB215" s="136">
        <f t="shared" si="91"/>
        <v>0</v>
      </c>
      <c r="CC215" s="136" t="str">
        <f t="shared" si="92"/>
        <v/>
      </c>
      <c r="CD215" s="136">
        <f t="shared" si="86"/>
        <v>4</v>
      </c>
      <c r="CE215" s="136">
        <f t="shared" si="93"/>
        <v>4</v>
      </c>
      <c r="CF215" s="136" t="str">
        <f t="shared" si="94"/>
        <v/>
      </c>
      <c r="CG215" s="25"/>
      <c r="CH215" s="25"/>
      <c r="CI215" s="25"/>
      <c r="CJ215" s="25"/>
      <c r="CK215" s="25"/>
      <c r="CL215" s="25"/>
    </row>
    <row r="216" spans="53:90" x14ac:dyDescent="0.25">
      <c r="BA216" s="138">
        <f t="shared" si="66"/>
        <v>4</v>
      </c>
      <c r="BB216" s="136" t="str">
        <f t="shared" si="67"/>
        <v>Drowning (Total) (sum of 4.1 to 4.3)</v>
      </c>
      <c r="BC216" s="136">
        <f t="shared" si="60"/>
        <v>1</v>
      </c>
      <c r="BD216" s="136">
        <f t="shared" si="68"/>
        <v>4</v>
      </c>
      <c r="BE216" s="136">
        <f t="shared" si="69"/>
        <v>34</v>
      </c>
      <c r="BF216" s="136">
        <f t="shared" si="70"/>
        <v>33</v>
      </c>
      <c r="BG216" s="136">
        <f t="shared" si="71"/>
        <v>21</v>
      </c>
      <c r="BH216" s="136">
        <f t="shared" si="72"/>
        <v>11</v>
      </c>
      <c r="BI216" s="136">
        <f t="shared" si="73"/>
        <v>104</v>
      </c>
      <c r="BJ216" s="136">
        <f t="shared" si="87"/>
        <v>104</v>
      </c>
      <c r="BK216" s="136" t="str">
        <f t="shared" si="88"/>
        <v/>
      </c>
      <c r="BL216" s="136">
        <f t="shared" si="61"/>
        <v>1</v>
      </c>
      <c r="BM216" s="136">
        <f t="shared" si="74"/>
        <v>2</v>
      </c>
      <c r="BN216" s="136">
        <f t="shared" si="75"/>
        <v>2</v>
      </c>
      <c r="BO216" s="136">
        <f t="shared" si="76"/>
        <v>1</v>
      </c>
      <c r="BP216" s="136">
        <f t="shared" si="77"/>
        <v>3</v>
      </c>
      <c r="BQ216" s="136">
        <f t="shared" si="78"/>
        <v>2</v>
      </c>
      <c r="BR216" s="136">
        <f t="shared" si="79"/>
        <v>11</v>
      </c>
      <c r="BS216" s="136">
        <f t="shared" si="89"/>
        <v>11</v>
      </c>
      <c r="BT216" s="136" t="str">
        <f t="shared" si="90"/>
        <v/>
      </c>
      <c r="BU216" s="136">
        <f t="shared" si="62"/>
        <v>0</v>
      </c>
      <c r="BV216" s="136">
        <f t="shared" si="80"/>
        <v>0</v>
      </c>
      <c r="BW216" s="136">
        <f t="shared" si="81"/>
        <v>0</v>
      </c>
      <c r="BX216" s="136">
        <f t="shared" si="82"/>
        <v>0</v>
      </c>
      <c r="BY216" s="136">
        <f t="shared" si="83"/>
        <v>0</v>
      </c>
      <c r="BZ216" s="136">
        <f t="shared" si="84"/>
        <v>0</v>
      </c>
      <c r="CA216" s="136">
        <f t="shared" si="85"/>
        <v>0</v>
      </c>
      <c r="CB216" s="136">
        <f t="shared" si="91"/>
        <v>0</v>
      </c>
      <c r="CC216" s="136" t="str">
        <f t="shared" si="92"/>
        <v/>
      </c>
      <c r="CD216" s="136">
        <f t="shared" si="86"/>
        <v>115</v>
      </c>
      <c r="CE216" s="136">
        <f t="shared" si="93"/>
        <v>115</v>
      </c>
      <c r="CF216" s="136" t="str">
        <f t="shared" si="94"/>
        <v/>
      </c>
      <c r="CG216" s="25"/>
      <c r="CH216" s="25"/>
      <c r="CI216" s="25"/>
      <c r="CJ216" s="25"/>
      <c r="CK216" s="25"/>
      <c r="CL216" s="25"/>
    </row>
    <row r="217" spans="53:90" x14ac:dyDescent="0.25">
      <c r="BA217" s="138"/>
      <c r="BB217" s="154" t="str">
        <f t="shared" si="67"/>
        <v>4.1 Boat Capsize</v>
      </c>
      <c r="BC217" s="136">
        <f t="shared" si="60"/>
        <v>0</v>
      </c>
      <c r="BD217" s="136">
        <f t="shared" si="68"/>
        <v>0</v>
      </c>
      <c r="BE217" s="136">
        <f t="shared" si="69"/>
        <v>0</v>
      </c>
      <c r="BF217" s="136">
        <f t="shared" si="70"/>
        <v>0</v>
      </c>
      <c r="BG217" s="136">
        <f t="shared" si="71"/>
        <v>0</v>
      </c>
      <c r="BH217" s="136">
        <f t="shared" si="72"/>
        <v>0</v>
      </c>
      <c r="BI217" s="136">
        <f t="shared" si="73"/>
        <v>0</v>
      </c>
      <c r="BJ217" s="136">
        <f t="shared" si="87"/>
        <v>0</v>
      </c>
      <c r="BK217" s="136" t="str">
        <f t="shared" si="88"/>
        <v/>
      </c>
      <c r="BL217" s="136">
        <f t="shared" si="61"/>
        <v>0</v>
      </c>
      <c r="BM217" s="136">
        <f t="shared" si="74"/>
        <v>0</v>
      </c>
      <c r="BN217" s="136">
        <f t="shared" si="75"/>
        <v>0</v>
      </c>
      <c r="BO217" s="136">
        <f t="shared" si="76"/>
        <v>0</v>
      </c>
      <c r="BP217" s="136">
        <f t="shared" si="77"/>
        <v>0</v>
      </c>
      <c r="BQ217" s="136">
        <f t="shared" si="78"/>
        <v>0</v>
      </c>
      <c r="BR217" s="136">
        <f t="shared" si="79"/>
        <v>0</v>
      </c>
      <c r="BS217" s="136">
        <f t="shared" si="89"/>
        <v>0</v>
      </c>
      <c r="BT217" s="136" t="str">
        <f t="shared" si="90"/>
        <v/>
      </c>
      <c r="BU217" s="136">
        <f t="shared" si="62"/>
        <v>0</v>
      </c>
      <c r="BV217" s="136">
        <f t="shared" si="80"/>
        <v>0</v>
      </c>
      <c r="BW217" s="136">
        <f t="shared" si="81"/>
        <v>0</v>
      </c>
      <c r="BX217" s="136">
        <f t="shared" si="82"/>
        <v>0</v>
      </c>
      <c r="BY217" s="136">
        <f t="shared" si="83"/>
        <v>0</v>
      </c>
      <c r="BZ217" s="136">
        <f t="shared" si="84"/>
        <v>0</v>
      </c>
      <c r="CA217" s="136">
        <f t="shared" si="85"/>
        <v>0</v>
      </c>
      <c r="CB217" s="136">
        <f t="shared" si="91"/>
        <v>0</v>
      </c>
      <c r="CC217" s="136" t="str">
        <f t="shared" si="92"/>
        <v/>
      </c>
      <c r="CD217" s="136">
        <f t="shared" si="86"/>
        <v>0</v>
      </c>
      <c r="CE217" s="136">
        <f t="shared" si="93"/>
        <v>0</v>
      </c>
      <c r="CF217" s="136" t="str">
        <f t="shared" si="94"/>
        <v/>
      </c>
      <c r="CG217" s="25"/>
      <c r="CH217" s="25"/>
      <c r="CI217" s="25"/>
      <c r="CJ217" s="25"/>
      <c r="CK217" s="25"/>
      <c r="CL217" s="25"/>
    </row>
    <row r="218" spans="53:90" x14ac:dyDescent="0.25">
      <c r="BA218" s="138"/>
      <c r="BB218" s="154" t="str">
        <f t="shared" si="67"/>
        <v>4.2 Accidental Falls into Waterbody</v>
      </c>
      <c r="BC218" s="136">
        <f t="shared" si="60"/>
        <v>1</v>
      </c>
      <c r="BD218" s="136">
        <f t="shared" si="68"/>
        <v>4</v>
      </c>
      <c r="BE218" s="136">
        <f t="shared" si="69"/>
        <v>26</v>
      </c>
      <c r="BF218" s="136">
        <f t="shared" si="70"/>
        <v>26</v>
      </c>
      <c r="BG218" s="136">
        <f t="shared" si="71"/>
        <v>20</v>
      </c>
      <c r="BH218" s="136">
        <f t="shared" si="72"/>
        <v>11</v>
      </c>
      <c r="BI218" s="136">
        <f t="shared" si="73"/>
        <v>88</v>
      </c>
      <c r="BJ218" s="136">
        <f t="shared" si="87"/>
        <v>88</v>
      </c>
      <c r="BK218" s="136" t="str">
        <f t="shared" si="88"/>
        <v/>
      </c>
      <c r="BL218" s="136">
        <f t="shared" si="61"/>
        <v>1</v>
      </c>
      <c r="BM218" s="136">
        <f t="shared" si="74"/>
        <v>2</v>
      </c>
      <c r="BN218" s="136">
        <f t="shared" si="75"/>
        <v>1</v>
      </c>
      <c r="BO218" s="136">
        <f t="shared" si="76"/>
        <v>1</v>
      </c>
      <c r="BP218" s="136">
        <f t="shared" si="77"/>
        <v>3</v>
      </c>
      <c r="BQ218" s="136">
        <f t="shared" si="78"/>
        <v>2</v>
      </c>
      <c r="BR218" s="136">
        <f t="shared" si="79"/>
        <v>10</v>
      </c>
      <c r="BS218" s="136">
        <f t="shared" si="89"/>
        <v>10</v>
      </c>
      <c r="BT218" s="136" t="str">
        <f t="shared" si="90"/>
        <v/>
      </c>
      <c r="BU218" s="136">
        <f t="shared" si="62"/>
        <v>0</v>
      </c>
      <c r="BV218" s="136">
        <f t="shared" si="80"/>
        <v>0</v>
      </c>
      <c r="BW218" s="136">
        <f t="shared" si="81"/>
        <v>0</v>
      </c>
      <c r="BX218" s="136">
        <f t="shared" si="82"/>
        <v>0</v>
      </c>
      <c r="BY218" s="136">
        <f t="shared" si="83"/>
        <v>0</v>
      </c>
      <c r="BZ218" s="136">
        <f t="shared" si="84"/>
        <v>0</v>
      </c>
      <c r="CA218" s="136">
        <f t="shared" si="85"/>
        <v>0</v>
      </c>
      <c r="CB218" s="136">
        <f t="shared" si="91"/>
        <v>0</v>
      </c>
      <c r="CC218" s="136" t="str">
        <f t="shared" si="92"/>
        <v/>
      </c>
      <c r="CD218" s="136">
        <f t="shared" si="86"/>
        <v>98</v>
      </c>
      <c r="CE218" s="136">
        <f t="shared" si="93"/>
        <v>98</v>
      </c>
      <c r="CF218" s="136" t="str">
        <f t="shared" si="94"/>
        <v/>
      </c>
      <c r="CG218" s="25"/>
      <c r="CH218" s="25"/>
      <c r="CI218" s="25"/>
      <c r="CJ218" s="25"/>
      <c r="CK218" s="25"/>
      <c r="CL218" s="25"/>
    </row>
    <row r="219" spans="53:90" x14ac:dyDescent="0.25">
      <c r="BA219" s="138"/>
      <c r="BB219" s="154" t="str">
        <f t="shared" si="67"/>
        <v>4.3 Other Cases</v>
      </c>
      <c r="BC219" s="136">
        <f t="shared" si="60"/>
        <v>0</v>
      </c>
      <c r="BD219" s="136">
        <f t="shared" si="68"/>
        <v>0</v>
      </c>
      <c r="BE219" s="136">
        <f t="shared" si="69"/>
        <v>8</v>
      </c>
      <c r="BF219" s="136">
        <f t="shared" si="70"/>
        <v>7</v>
      </c>
      <c r="BG219" s="136">
        <f t="shared" si="71"/>
        <v>1</v>
      </c>
      <c r="BH219" s="136">
        <f t="shared" si="72"/>
        <v>0</v>
      </c>
      <c r="BI219" s="136">
        <f t="shared" si="73"/>
        <v>16</v>
      </c>
      <c r="BJ219" s="136">
        <f t="shared" si="87"/>
        <v>16</v>
      </c>
      <c r="BK219" s="136" t="str">
        <f t="shared" si="88"/>
        <v/>
      </c>
      <c r="BL219" s="136">
        <f t="shared" si="61"/>
        <v>0</v>
      </c>
      <c r="BM219" s="136">
        <f t="shared" si="74"/>
        <v>0</v>
      </c>
      <c r="BN219" s="136">
        <f t="shared" si="75"/>
        <v>1</v>
      </c>
      <c r="BO219" s="136">
        <f t="shared" si="76"/>
        <v>0</v>
      </c>
      <c r="BP219" s="136">
        <f t="shared" si="77"/>
        <v>0</v>
      </c>
      <c r="BQ219" s="136">
        <f t="shared" si="78"/>
        <v>0</v>
      </c>
      <c r="BR219" s="136">
        <f t="shared" si="79"/>
        <v>1</v>
      </c>
      <c r="BS219" s="136">
        <f t="shared" si="89"/>
        <v>1</v>
      </c>
      <c r="BT219" s="136" t="str">
        <f t="shared" si="90"/>
        <v/>
      </c>
      <c r="BU219" s="136">
        <f t="shared" si="62"/>
        <v>0</v>
      </c>
      <c r="BV219" s="136">
        <f t="shared" si="80"/>
        <v>0</v>
      </c>
      <c r="BW219" s="136">
        <f t="shared" si="81"/>
        <v>0</v>
      </c>
      <c r="BX219" s="136">
        <f t="shared" si="82"/>
        <v>0</v>
      </c>
      <c r="BY219" s="136">
        <f t="shared" si="83"/>
        <v>0</v>
      </c>
      <c r="BZ219" s="136">
        <f t="shared" si="84"/>
        <v>0</v>
      </c>
      <c r="CA219" s="136">
        <f t="shared" si="85"/>
        <v>0</v>
      </c>
      <c r="CB219" s="136">
        <f t="shared" si="91"/>
        <v>0</v>
      </c>
      <c r="CC219" s="136" t="str">
        <f t="shared" si="92"/>
        <v/>
      </c>
      <c r="CD219" s="136">
        <f t="shared" si="86"/>
        <v>17</v>
      </c>
      <c r="CE219" s="136">
        <f t="shared" si="93"/>
        <v>17</v>
      </c>
      <c r="CF219" s="136" t="str">
        <f t="shared" si="94"/>
        <v/>
      </c>
      <c r="CG219" s="25"/>
      <c r="CH219" s="25"/>
      <c r="CI219" s="25"/>
      <c r="CJ219" s="25"/>
      <c r="CK219" s="25"/>
      <c r="CL219" s="25"/>
    </row>
    <row r="220" spans="53:90" x14ac:dyDescent="0.25">
      <c r="BA220" s="138">
        <f t="shared" si="66"/>
        <v>5</v>
      </c>
      <c r="BB220" s="136" t="str">
        <f t="shared" si="67"/>
        <v>Electrocution</v>
      </c>
      <c r="BC220" s="136">
        <f t="shared" si="60"/>
        <v>0</v>
      </c>
      <c r="BD220" s="136">
        <f t="shared" si="68"/>
        <v>0</v>
      </c>
      <c r="BE220" s="136">
        <f t="shared" si="69"/>
        <v>5</v>
      </c>
      <c r="BF220" s="136">
        <f t="shared" si="70"/>
        <v>10</v>
      </c>
      <c r="BG220" s="136">
        <f t="shared" si="71"/>
        <v>6</v>
      </c>
      <c r="BH220" s="136">
        <f t="shared" si="72"/>
        <v>2</v>
      </c>
      <c r="BI220" s="136">
        <f t="shared" si="73"/>
        <v>23</v>
      </c>
      <c r="BJ220" s="136">
        <f t="shared" si="87"/>
        <v>23</v>
      </c>
      <c r="BK220" s="136" t="str">
        <f t="shared" si="88"/>
        <v/>
      </c>
      <c r="BL220" s="136">
        <f t="shared" si="61"/>
        <v>0</v>
      </c>
      <c r="BM220" s="136">
        <f t="shared" si="74"/>
        <v>0</v>
      </c>
      <c r="BN220" s="136">
        <f t="shared" si="75"/>
        <v>2</v>
      </c>
      <c r="BO220" s="136">
        <f t="shared" si="76"/>
        <v>0</v>
      </c>
      <c r="BP220" s="136">
        <f t="shared" si="77"/>
        <v>0</v>
      </c>
      <c r="BQ220" s="136">
        <f t="shared" si="78"/>
        <v>0</v>
      </c>
      <c r="BR220" s="136">
        <f t="shared" si="79"/>
        <v>2</v>
      </c>
      <c r="BS220" s="136">
        <f t="shared" si="89"/>
        <v>2</v>
      </c>
      <c r="BT220" s="136" t="str">
        <f t="shared" si="90"/>
        <v/>
      </c>
      <c r="BU220" s="136">
        <f t="shared" si="62"/>
        <v>0</v>
      </c>
      <c r="BV220" s="136">
        <f t="shared" si="80"/>
        <v>0</v>
      </c>
      <c r="BW220" s="136">
        <f t="shared" si="81"/>
        <v>0</v>
      </c>
      <c r="BX220" s="136">
        <f t="shared" si="82"/>
        <v>0</v>
      </c>
      <c r="BY220" s="136">
        <f t="shared" si="83"/>
        <v>0</v>
      </c>
      <c r="BZ220" s="136">
        <f t="shared" si="84"/>
        <v>0</v>
      </c>
      <c r="CA220" s="136">
        <f t="shared" si="85"/>
        <v>0</v>
      </c>
      <c r="CB220" s="136">
        <f t="shared" si="91"/>
        <v>0</v>
      </c>
      <c r="CC220" s="136" t="str">
        <f t="shared" si="92"/>
        <v/>
      </c>
      <c r="CD220" s="136">
        <f t="shared" si="86"/>
        <v>25</v>
      </c>
      <c r="CE220" s="136">
        <f t="shared" si="93"/>
        <v>25</v>
      </c>
      <c r="CF220" s="136" t="str">
        <f t="shared" si="94"/>
        <v/>
      </c>
      <c r="CG220" s="25"/>
      <c r="CH220" s="25"/>
      <c r="CI220" s="25"/>
      <c r="CJ220" s="25"/>
      <c r="CK220" s="25"/>
      <c r="CL220" s="25"/>
    </row>
    <row r="221" spans="53:90" ht="25.5" x14ac:dyDescent="0.25">
      <c r="BA221" s="138">
        <f t="shared" si="66"/>
        <v>6</v>
      </c>
      <c r="BB221" s="140" t="str">
        <f t="shared" si="67"/>
        <v>Accidental Explosion (Total) (sum of 6.1 to 6.4)</v>
      </c>
      <c r="BC221" s="136">
        <f t="shared" si="60"/>
        <v>0</v>
      </c>
      <c r="BD221" s="136">
        <f t="shared" si="68"/>
        <v>0</v>
      </c>
      <c r="BE221" s="136">
        <f t="shared" si="69"/>
        <v>1</v>
      </c>
      <c r="BF221" s="136">
        <f t="shared" si="70"/>
        <v>0</v>
      </c>
      <c r="BG221" s="136">
        <f t="shared" si="71"/>
        <v>0</v>
      </c>
      <c r="BH221" s="136">
        <f t="shared" si="72"/>
        <v>0</v>
      </c>
      <c r="BI221" s="136">
        <f t="shared" si="73"/>
        <v>1</v>
      </c>
      <c r="BJ221" s="136">
        <f t="shared" si="87"/>
        <v>1</v>
      </c>
      <c r="BK221" s="136" t="str">
        <f t="shared" si="88"/>
        <v/>
      </c>
      <c r="BL221" s="136">
        <f t="shared" si="61"/>
        <v>0</v>
      </c>
      <c r="BM221" s="136">
        <f t="shared" si="74"/>
        <v>0</v>
      </c>
      <c r="BN221" s="136">
        <f t="shared" si="75"/>
        <v>0</v>
      </c>
      <c r="BO221" s="136">
        <f t="shared" si="76"/>
        <v>0</v>
      </c>
      <c r="BP221" s="136">
        <f t="shared" si="77"/>
        <v>0</v>
      </c>
      <c r="BQ221" s="136">
        <f t="shared" si="78"/>
        <v>0</v>
      </c>
      <c r="BR221" s="136">
        <f t="shared" si="79"/>
        <v>0</v>
      </c>
      <c r="BS221" s="136">
        <f t="shared" si="89"/>
        <v>0</v>
      </c>
      <c r="BT221" s="136" t="str">
        <f t="shared" si="90"/>
        <v/>
      </c>
      <c r="BU221" s="136">
        <f t="shared" si="62"/>
        <v>0</v>
      </c>
      <c r="BV221" s="136">
        <f t="shared" si="80"/>
        <v>0</v>
      </c>
      <c r="BW221" s="136">
        <f t="shared" si="81"/>
        <v>0</v>
      </c>
      <c r="BX221" s="136">
        <f t="shared" si="82"/>
        <v>0</v>
      </c>
      <c r="BY221" s="136">
        <f t="shared" si="83"/>
        <v>0</v>
      </c>
      <c r="BZ221" s="136">
        <f t="shared" si="84"/>
        <v>0</v>
      </c>
      <c r="CA221" s="136">
        <f t="shared" si="85"/>
        <v>0</v>
      </c>
      <c r="CB221" s="136">
        <f t="shared" si="91"/>
        <v>0</v>
      </c>
      <c r="CC221" s="136" t="str">
        <f t="shared" si="92"/>
        <v/>
      </c>
      <c r="CD221" s="136">
        <f t="shared" si="86"/>
        <v>1</v>
      </c>
      <c r="CE221" s="136">
        <f t="shared" si="93"/>
        <v>1</v>
      </c>
      <c r="CF221" s="136" t="str">
        <f t="shared" si="94"/>
        <v/>
      </c>
      <c r="CG221" s="25"/>
      <c r="CH221" s="25"/>
      <c r="CI221" s="25"/>
      <c r="CJ221" s="25"/>
      <c r="CK221" s="25"/>
      <c r="CL221" s="25"/>
    </row>
    <row r="222" spans="53:90" x14ac:dyDescent="0.25">
      <c r="BA222" s="138"/>
      <c r="BB222" s="154" t="str">
        <f t="shared" si="67"/>
        <v>6.1 Domestic Gas Cylinder</v>
      </c>
      <c r="BC222" s="136">
        <f t="shared" si="60"/>
        <v>0</v>
      </c>
      <c r="BD222" s="136">
        <f t="shared" si="68"/>
        <v>0</v>
      </c>
      <c r="BE222" s="136">
        <f t="shared" si="69"/>
        <v>0</v>
      </c>
      <c r="BF222" s="136">
        <f t="shared" si="70"/>
        <v>0</v>
      </c>
      <c r="BG222" s="136">
        <f t="shared" si="71"/>
        <v>0</v>
      </c>
      <c r="BH222" s="136">
        <f t="shared" si="72"/>
        <v>0</v>
      </c>
      <c r="BI222" s="136">
        <f t="shared" si="73"/>
        <v>0</v>
      </c>
      <c r="BJ222" s="136">
        <f t="shared" si="87"/>
        <v>0</v>
      </c>
      <c r="BK222" s="136" t="str">
        <f t="shared" si="88"/>
        <v/>
      </c>
      <c r="BL222" s="136">
        <f t="shared" si="61"/>
        <v>0</v>
      </c>
      <c r="BM222" s="136">
        <f t="shared" si="74"/>
        <v>0</v>
      </c>
      <c r="BN222" s="136">
        <f t="shared" si="75"/>
        <v>0</v>
      </c>
      <c r="BO222" s="136">
        <f t="shared" si="76"/>
        <v>0</v>
      </c>
      <c r="BP222" s="136">
        <f t="shared" si="77"/>
        <v>0</v>
      </c>
      <c r="BQ222" s="136">
        <f t="shared" si="78"/>
        <v>0</v>
      </c>
      <c r="BR222" s="136">
        <f t="shared" si="79"/>
        <v>0</v>
      </c>
      <c r="BS222" s="136">
        <f t="shared" si="89"/>
        <v>0</v>
      </c>
      <c r="BT222" s="136" t="str">
        <f t="shared" si="90"/>
        <v/>
      </c>
      <c r="BU222" s="136">
        <f t="shared" si="62"/>
        <v>0</v>
      </c>
      <c r="BV222" s="136">
        <f t="shared" si="80"/>
        <v>0</v>
      </c>
      <c r="BW222" s="136">
        <f t="shared" si="81"/>
        <v>0</v>
      </c>
      <c r="BX222" s="136">
        <f t="shared" si="82"/>
        <v>0</v>
      </c>
      <c r="BY222" s="136">
        <f t="shared" si="83"/>
        <v>0</v>
      </c>
      <c r="BZ222" s="136">
        <f t="shared" si="84"/>
        <v>0</v>
      </c>
      <c r="CA222" s="136">
        <f t="shared" si="85"/>
        <v>0</v>
      </c>
      <c r="CB222" s="136">
        <f t="shared" si="91"/>
        <v>0</v>
      </c>
      <c r="CC222" s="136" t="str">
        <f t="shared" si="92"/>
        <v/>
      </c>
      <c r="CD222" s="136">
        <f t="shared" si="86"/>
        <v>0</v>
      </c>
      <c r="CE222" s="136">
        <f t="shared" si="93"/>
        <v>0</v>
      </c>
      <c r="CF222" s="136" t="str">
        <f t="shared" si="94"/>
        <v/>
      </c>
      <c r="CG222" s="25"/>
      <c r="CH222" s="25"/>
      <c r="CI222" s="25"/>
      <c r="CJ222" s="25"/>
      <c r="CK222" s="25"/>
      <c r="CL222" s="25"/>
    </row>
    <row r="223" spans="53:90" ht="25.5" x14ac:dyDescent="0.25">
      <c r="BA223" s="138"/>
      <c r="BB223" s="183" t="str">
        <f t="shared" si="67"/>
        <v>6.2 Industrial Boiler/Gas cylinder explosion</v>
      </c>
      <c r="BC223" s="136">
        <f t="shared" si="60"/>
        <v>0</v>
      </c>
      <c r="BD223" s="136">
        <f t="shared" si="68"/>
        <v>0</v>
      </c>
      <c r="BE223" s="136">
        <f t="shared" si="69"/>
        <v>1</v>
      </c>
      <c r="BF223" s="136">
        <f t="shared" si="70"/>
        <v>0</v>
      </c>
      <c r="BG223" s="136">
        <f t="shared" si="71"/>
        <v>0</v>
      </c>
      <c r="BH223" s="136">
        <f t="shared" si="72"/>
        <v>0</v>
      </c>
      <c r="BI223" s="136">
        <f t="shared" si="73"/>
        <v>1</v>
      </c>
      <c r="BJ223" s="136">
        <f t="shared" si="87"/>
        <v>1</v>
      </c>
      <c r="BK223" s="136" t="str">
        <f t="shared" si="88"/>
        <v/>
      </c>
      <c r="BL223" s="136">
        <f t="shared" si="61"/>
        <v>0</v>
      </c>
      <c r="BM223" s="136">
        <f t="shared" si="74"/>
        <v>0</v>
      </c>
      <c r="BN223" s="136">
        <f t="shared" si="75"/>
        <v>0</v>
      </c>
      <c r="BO223" s="136">
        <f t="shared" si="76"/>
        <v>0</v>
      </c>
      <c r="BP223" s="136">
        <f t="shared" si="77"/>
        <v>0</v>
      </c>
      <c r="BQ223" s="136">
        <f t="shared" si="78"/>
        <v>0</v>
      </c>
      <c r="BR223" s="136">
        <f t="shared" si="79"/>
        <v>0</v>
      </c>
      <c r="BS223" s="136">
        <f t="shared" si="89"/>
        <v>0</v>
      </c>
      <c r="BT223" s="136" t="str">
        <f t="shared" si="90"/>
        <v/>
      </c>
      <c r="BU223" s="136">
        <f t="shared" si="62"/>
        <v>0</v>
      </c>
      <c r="BV223" s="136">
        <f t="shared" si="80"/>
        <v>0</v>
      </c>
      <c r="BW223" s="136">
        <f t="shared" si="81"/>
        <v>0</v>
      </c>
      <c r="BX223" s="136">
        <f t="shared" si="82"/>
        <v>0</v>
      </c>
      <c r="BY223" s="136">
        <f t="shared" si="83"/>
        <v>0</v>
      </c>
      <c r="BZ223" s="136">
        <f t="shared" si="84"/>
        <v>0</v>
      </c>
      <c r="CA223" s="136">
        <f t="shared" si="85"/>
        <v>0</v>
      </c>
      <c r="CB223" s="136">
        <f t="shared" si="91"/>
        <v>0</v>
      </c>
      <c r="CC223" s="136" t="str">
        <f t="shared" si="92"/>
        <v/>
      </c>
      <c r="CD223" s="136">
        <f t="shared" si="86"/>
        <v>1</v>
      </c>
      <c r="CE223" s="136">
        <f t="shared" si="93"/>
        <v>1</v>
      </c>
      <c r="CF223" s="136" t="str">
        <f t="shared" si="94"/>
        <v/>
      </c>
      <c r="CG223" s="25"/>
      <c r="CH223" s="25"/>
      <c r="CI223" s="25"/>
      <c r="CJ223" s="25"/>
      <c r="CK223" s="25"/>
      <c r="CL223" s="25"/>
    </row>
    <row r="224" spans="53:90" ht="25.5" x14ac:dyDescent="0.25">
      <c r="BA224" s="138"/>
      <c r="BB224" s="183" t="str">
        <f t="shared" si="67"/>
        <v>6.3 Ammunition explosion in Armed Forces/Police/CPMF</v>
      </c>
      <c r="BC224" s="136">
        <f t="shared" si="60"/>
        <v>0</v>
      </c>
      <c r="BD224" s="136">
        <f t="shared" si="68"/>
        <v>0</v>
      </c>
      <c r="BE224" s="136">
        <f t="shared" si="69"/>
        <v>0</v>
      </c>
      <c r="BF224" s="136">
        <f t="shared" si="70"/>
        <v>0</v>
      </c>
      <c r="BG224" s="136">
        <f t="shared" si="71"/>
        <v>0</v>
      </c>
      <c r="BH224" s="136">
        <f t="shared" si="72"/>
        <v>0</v>
      </c>
      <c r="BI224" s="136">
        <f t="shared" si="73"/>
        <v>0</v>
      </c>
      <c r="BJ224" s="136">
        <f t="shared" si="87"/>
        <v>0</v>
      </c>
      <c r="BK224" s="136" t="str">
        <f t="shared" si="88"/>
        <v/>
      </c>
      <c r="BL224" s="136">
        <f t="shared" si="61"/>
        <v>0</v>
      </c>
      <c r="BM224" s="136">
        <f t="shared" si="74"/>
        <v>0</v>
      </c>
      <c r="BN224" s="136">
        <f t="shared" si="75"/>
        <v>0</v>
      </c>
      <c r="BO224" s="136">
        <f t="shared" si="76"/>
        <v>0</v>
      </c>
      <c r="BP224" s="136">
        <f t="shared" si="77"/>
        <v>0</v>
      </c>
      <c r="BQ224" s="136">
        <f t="shared" si="78"/>
        <v>0</v>
      </c>
      <c r="BR224" s="136">
        <f t="shared" si="79"/>
        <v>0</v>
      </c>
      <c r="BS224" s="136">
        <f t="shared" si="89"/>
        <v>0</v>
      </c>
      <c r="BT224" s="136" t="str">
        <f t="shared" si="90"/>
        <v/>
      </c>
      <c r="BU224" s="136">
        <f t="shared" si="62"/>
        <v>0</v>
      </c>
      <c r="BV224" s="136">
        <f t="shared" si="80"/>
        <v>0</v>
      </c>
      <c r="BW224" s="136">
        <f t="shared" si="81"/>
        <v>0</v>
      </c>
      <c r="BX224" s="136">
        <f t="shared" si="82"/>
        <v>0</v>
      </c>
      <c r="BY224" s="136">
        <f t="shared" si="83"/>
        <v>0</v>
      </c>
      <c r="BZ224" s="136">
        <f t="shared" si="84"/>
        <v>0</v>
      </c>
      <c r="CA224" s="136">
        <f t="shared" si="85"/>
        <v>0</v>
      </c>
      <c r="CB224" s="136">
        <f t="shared" si="91"/>
        <v>0</v>
      </c>
      <c r="CC224" s="136" t="str">
        <f t="shared" si="92"/>
        <v/>
      </c>
      <c r="CD224" s="136">
        <f t="shared" si="86"/>
        <v>0</v>
      </c>
      <c r="CE224" s="136">
        <f t="shared" si="93"/>
        <v>0</v>
      </c>
      <c r="CF224" s="136" t="str">
        <f t="shared" si="94"/>
        <v/>
      </c>
      <c r="CG224" s="25"/>
      <c r="CH224" s="25"/>
      <c r="CI224" s="25"/>
      <c r="CJ224" s="25"/>
      <c r="CK224" s="25"/>
      <c r="CL224" s="25"/>
    </row>
    <row r="225" spans="53:90" x14ac:dyDescent="0.25">
      <c r="BA225" s="138"/>
      <c r="BB225" s="154" t="str">
        <f t="shared" si="67"/>
        <v>6.4 Other</v>
      </c>
      <c r="BC225" s="136">
        <f t="shared" si="60"/>
        <v>0</v>
      </c>
      <c r="BD225" s="136">
        <f t="shared" si="68"/>
        <v>0</v>
      </c>
      <c r="BE225" s="136">
        <f t="shared" si="69"/>
        <v>0</v>
      </c>
      <c r="BF225" s="136">
        <f t="shared" si="70"/>
        <v>0</v>
      </c>
      <c r="BG225" s="136">
        <f t="shared" si="71"/>
        <v>0</v>
      </c>
      <c r="BH225" s="136">
        <f t="shared" si="72"/>
        <v>0</v>
      </c>
      <c r="BI225" s="136">
        <f t="shared" si="73"/>
        <v>0</v>
      </c>
      <c r="BJ225" s="136">
        <f t="shared" si="87"/>
        <v>0</v>
      </c>
      <c r="BK225" s="136" t="str">
        <f t="shared" si="88"/>
        <v/>
      </c>
      <c r="BL225" s="136">
        <f t="shared" si="61"/>
        <v>0</v>
      </c>
      <c r="BM225" s="136">
        <f t="shared" si="74"/>
        <v>0</v>
      </c>
      <c r="BN225" s="136">
        <f t="shared" si="75"/>
        <v>0</v>
      </c>
      <c r="BO225" s="136">
        <f t="shared" si="76"/>
        <v>0</v>
      </c>
      <c r="BP225" s="136">
        <f t="shared" si="77"/>
        <v>0</v>
      </c>
      <c r="BQ225" s="136">
        <f t="shared" si="78"/>
        <v>0</v>
      </c>
      <c r="BR225" s="136">
        <f t="shared" si="79"/>
        <v>0</v>
      </c>
      <c r="BS225" s="136">
        <f t="shared" si="89"/>
        <v>0</v>
      </c>
      <c r="BT225" s="136" t="str">
        <f t="shared" si="90"/>
        <v/>
      </c>
      <c r="BU225" s="136">
        <f t="shared" si="62"/>
        <v>0</v>
      </c>
      <c r="BV225" s="136">
        <f t="shared" si="80"/>
        <v>0</v>
      </c>
      <c r="BW225" s="136">
        <f t="shared" si="81"/>
        <v>0</v>
      </c>
      <c r="BX225" s="136">
        <f t="shared" si="82"/>
        <v>0</v>
      </c>
      <c r="BY225" s="136">
        <f t="shared" si="83"/>
        <v>0</v>
      </c>
      <c r="BZ225" s="136">
        <f t="shared" si="84"/>
        <v>0</v>
      </c>
      <c r="CA225" s="136">
        <f t="shared" si="85"/>
        <v>0</v>
      </c>
      <c r="CB225" s="136">
        <f t="shared" si="91"/>
        <v>0</v>
      </c>
      <c r="CC225" s="136" t="str">
        <f t="shared" si="92"/>
        <v/>
      </c>
      <c r="CD225" s="136">
        <f t="shared" si="86"/>
        <v>0</v>
      </c>
      <c r="CE225" s="136">
        <f t="shared" si="93"/>
        <v>0</v>
      </c>
      <c r="CF225" s="136" t="str">
        <f t="shared" si="94"/>
        <v/>
      </c>
      <c r="CG225" s="25"/>
      <c r="CH225" s="25"/>
      <c r="CI225" s="25"/>
      <c r="CJ225" s="25"/>
      <c r="CK225" s="25"/>
      <c r="CL225" s="25"/>
    </row>
    <row r="226" spans="53:90" x14ac:dyDescent="0.25">
      <c r="BA226" s="138">
        <f t="shared" si="66"/>
        <v>7</v>
      </c>
      <c r="BB226" s="136" t="str">
        <f t="shared" si="67"/>
        <v>Falls (Total) (sum of 7.1 to 7.6)</v>
      </c>
      <c r="BC226" s="136">
        <f t="shared" si="60"/>
        <v>0</v>
      </c>
      <c r="BD226" s="136">
        <f t="shared" si="68"/>
        <v>2</v>
      </c>
      <c r="BE226" s="136">
        <f t="shared" si="69"/>
        <v>19</v>
      </c>
      <c r="BF226" s="136">
        <f t="shared" si="70"/>
        <v>28</v>
      </c>
      <c r="BG226" s="136">
        <f t="shared" si="71"/>
        <v>20</v>
      </c>
      <c r="BH226" s="136">
        <f t="shared" si="72"/>
        <v>24</v>
      </c>
      <c r="BI226" s="136">
        <f t="shared" si="73"/>
        <v>93</v>
      </c>
      <c r="BJ226" s="136">
        <f t="shared" si="87"/>
        <v>93</v>
      </c>
      <c r="BK226" s="136" t="str">
        <f t="shared" si="88"/>
        <v/>
      </c>
      <c r="BL226" s="136">
        <f t="shared" si="61"/>
        <v>1</v>
      </c>
      <c r="BM226" s="136">
        <f t="shared" si="74"/>
        <v>0</v>
      </c>
      <c r="BN226" s="136">
        <f t="shared" si="75"/>
        <v>0</v>
      </c>
      <c r="BO226" s="136">
        <f t="shared" si="76"/>
        <v>1</v>
      </c>
      <c r="BP226" s="136">
        <f t="shared" si="77"/>
        <v>1</v>
      </c>
      <c r="BQ226" s="136">
        <f t="shared" si="78"/>
        <v>6</v>
      </c>
      <c r="BR226" s="136">
        <f t="shared" si="79"/>
        <v>9</v>
      </c>
      <c r="BS226" s="136">
        <f t="shared" si="89"/>
        <v>9</v>
      </c>
      <c r="BT226" s="136" t="str">
        <f t="shared" si="90"/>
        <v/>
      </c>
      <c r="BU226" s="136">
        <f t="shared" si="62"/>
        <v>0</v>
      </c>
      <c r="BV226" s="136">
        <f t="shared" si="80"/>
        <v>0</v>
      </c>
      <c r="BW226" s="136">
        <f t="shared" si="81"/>
        <v>0</v>
      </c>
      <c r="BX226" s="136">
        <f t="shared" si="82"/>
        <v>0</v>
      </c>
      <c r="BY226" s="136">
        <f t="shared" si="83"/>
        <v>0</v>
      </c>
      <c r="BZ226" s="136">
        <f t="shared" si="84"/>
        <v>0</v>
      </c>
      <c r="CA226" s="136">
        <f t="shared" si="85"/>
        <v>0</v>
      </c>
      <c r="CB226" s="136">
        <f t="shared" si="91"/>
        <v>0</v>
      </c>
      <c r="CC226" s="136" t="str">
        <f t="shared" si="92"/>
        <v/>
      </c>
      <c r="CD226" s="136">
        <f t="shared" si="86"/>
        <v>102</v>
      </c>
      <c r="CE226" s="136">
        <f t="shared" si="93"/>
        <v>102</v>
      </c>
      <c r="CF226" s="136" t="str">
        <f t="shared" si="94"/>
        <v/>
      </c>
      <c r="CG226" s="25"/>
      <c r="CH226" s="25"/>
      <c r="CI226" s="25"/>
      <c r="CJ226" s="25"/>
      <c r="CK226" s="25"/>
      <c r="CL226" s="25"/>
    </row>
    <row r="227" spans="53:90" x14ac:dyDescent="0.25">
      <c r="BA227" s="138"/>
      <c r="BB227" s="154" t="str">
        <f t="shared" si="67"/>
        <v>7.1 Fall from Height</v>
      </c>
      <c r="BC227" s="136">
        <f t="shared" si="60"/>
        <v>0</v>
      </c>
      <c r="BD227" s="136">
        <f t="shared" si="68"/>
        <v>1</v>
      </c>
      <c r="BE227" s="136">
        <f t="shared" si="69"/>
        <v>15</v>
      </c>
      <c r="BF227" s="136">
        <f t="shared" si="70"/>
        <v>19</v>
      </c>
      <c r="BG227" s="136">
        <f t="shared" si="71"/>
        <v>18</v>
      </c>
      <c r="BH227" s="136">
        <f t="shared" si="72"/>
        <v>19</v>
      </c>
      <c r="BI227" s="136">
        <f t="shared" si="73"/>
        <v>72</v>
      </c>
      <c r="BJ227" s="136">
        <f t="shared" si="87"/>
        <v>72</v>
      </c>
      <c r="BK227" s="136" t="str">
        <f t="shared" si="88"/>
        <v/>
      </c>
      <c r="BL227" s="136">
        <f t="shared" si="61"/>
        <v>1</v>
      </c>
      <c r="BM227" s="136">
        <f t="shared" si="74"/>
        <v>0</v>
      </c>
      <c r="BN227" s="136">
        <f t="shared" si="75"/>
        <v>0</v>
      </c>
      <c r="BO227" s="136">
        <f t="shared" si="76"/>
        <v>1</v>
      </c>
      <c r="BP227" s="136">
        <f t="shared" si="77"/>
        <v>1</v>
      </c>
      <c r="BQ227" s="136">
        <f t="shared" si="78"/>
        <v>2</v>
      </c>
      <c r="BR227" s="136">
        <f t="shared" si="79"/>
        <v>5</v>
      </c>
      <c r="BS227" s="136">
        <f t="shared" si="89"/>
        <v>5</v>
      </c>
      <c r="BT227" s="136" t="str">
        <f t="shared" si="90"/>
        <v/>
      </c>
      <c r="BU227" s="136">
        <f t="shared" si="62"/>
        <v>0</v>
      </c>
      <c r="BV227" s="136">
        <f t="shared" si="80"/>
        <v>0</v>
      </c>
      <c r="BW227" s="136">
        <f t="shared" si="81"/>
        <v>0</v>
      </c>
      <c r="BX227" s="136">
        <f t="shared" si="82"/>
        <v>0</v>
      </c>
      <c r="BY227" s="136">
        <f t="shared" si="83"/>
        <v>0</v>
      </c>
      <c r="BZ227" s="136">
        <f t="shared" si="84"/>
        <v>0</v>
      </c>
      <c r="CA227" s="136">
        <f t="shared" si="85"/>
        <v>0</v>
      </c>
      <c r="CB227" s="136">
        <f t="shared" si="91"/>
        <v>0</v>
      </c>
      <c r="CC227" s="136" t="str">
        <f t="shared" si="92"/>
        <v/>
      </c>
      <c r="CD227" s="136">
        <f t="shared" si="86"/>
        <v>77</v>
      </c>
      <c r="CE227" s="136">
        <f t="shared" si="93"/>
        <v>77</v>
      </c>
      <c r="CF227" s="136" t="str">
        <f t="shared" si="94"/>
        <v/>
      </c>
      <c r="CG227" s="25"/>
      <c r="CH227" s="25"/>
      <c r="CI227" s="25"/>
      <c r="CJ227" s="25"/>
      <c r="CK227" s="25"/>
      <c r="CL227" s="25"/>
    </row>
    <row r="228" spans="53:90" ht="25.5" x14ac:dyDescent="0.25">
      <c r="BA228" s="138"/>
      <c r="BB228" s="183" t="str">
        <f t="shared" si="67"/>
        <v>7.2 Fall from Vehicles (Automobile like Bus, Trucks, etc.)</v>
      </c>
      <c r="BC228" s="136">
        <f t="shared" si="60"/>
        <v>0</v>
      </c>
      <c r="BD228" s="136">
        <f t="shared" si="68"/>
        <v>0</v>
      </c>
      <c r="BE228" s="136">
        <f t="shared" si="69"/>
        <v>3</v>
      </c>
      <c r="BF228" s="136">
        <f t="shared" si="70"/>
        <v>1</v>
      </c>
      <c r="BG228" s="136">
        <f t="shared" si="71"/>
        <v>1</v>
      </c>
      <c r="BH228" s="136">
        <f t="shared" si="72"/>
        <v>2</v>
      </c>
      <c r="BI228" s="136">
        <f t="shared" si="73"/>
        <v>7</v>
      </c>
      <c r="BJ228" s="136">
        <f t="shared" si="87"/>
        <v>7</v>
      </c>
      <c r="BK228" s="136" t="str">
        <f t="shared" si="88"/>
        <v/>
      </c>
      <c r="BL228" s="136">
        <f t="shared" si="61"/>
        <v>0</v>
      </c>
      <c r="BM228" s="136">
        <f t="shared" si="74"/>
        <v>0</v>
      </c>
      <c r="BN228" s="136">
        <f t="shared" si="75"/>
        <v>0</v>
      </c>
      <c r="BO228" s="136">
        <f t="shared" si="76"/>
        <v>0</v>
      </c>
      <c r="BP228" s="136">
        <f t="shared" si="77"/>
        <v>0</v>
      </c>
      <c r="BQ228" s="136">
        <f t="shared" si="78"/>
        <v>1</v>
      </c>
      <c r="BR228" s="136">
        <f t="shared" si="79"/>
        <v>1</v>
      </c>
      <c r="BS228" s="136">
        <f t="shared" si="89"/>
        <v>1</v>
      </c>
      <c r="BT228" s="136" t="str">
        <f t="shared" si="90"/>
        <v/>
      </c>
      <c r="BU228" s="136">
        <f t="shared" si="62"/>
        <v>0</v>
      </c>
      <c r="BV228" s="136">
        <f t="shared" si="80"/>
        <v>0</v>
      </c>
      <c r="BW228" s="136">
        <f t="shared" si="81"/>
        <v>0</v>
      </c>
      <c r="BX228" s="136">
        <f t="shared" si="82"/>
        <v>0</v>
      </c>
      <c r="BY228" s="136">
        <f t="shared" si="83"/>
        <v>0</v>
      </c>
      <c r="BZ228" s="136">
        <f t="shared" si="84"/>
        <v>0</v>
      </c>
      <c r="CA228" s="136">
        <f t="shared" si="85"/>
        <v>0</v>
      </c>
      <c r="CB228" s="136">
        <f t="shared" si="91"/>
        <v>0</v>
      </c>
      <c r="CC228" s="136" t="str">
        <f t="shared" si="92"/>
        <v/>
      </c>
      <c r="CD228" s="136">
        <f t="shared" si="86"/>
        <v>8</v>
      </c>
      <c r="CE228" s="136">
        <f t="shared" si="93"/>
        <v>8</v>
      </c>
      <c r="CF228" s="136" t="str">
        <f t="shared" si="94"/>
        <v/>
      </c>
      <c r="CG228" s="25"/>
      <c r="CH228" s="25"/>
      <c r="CI228" s="25"/>
      <c r="CJ228" s="25"/>
      <c r="CK228" s="25"/>
      <c r="CL228" s="25"/>
    </row>
    <row r="229" spans="53:90" x14ac:dyDescent="0.25">
      <c r="BA229" s="138"/>
      <c r="BB229" s="154" t="str">
        <f t="shared" si="67"/>
        <v>7.3 Fall into Manhole / Sewer</v>
      </c>
      <c r="BC229" s="136">
        <f t="shared" si="60"/>
        <v>0</v>
      </c>
      <c r="BD229" s="136">
        <f t="shared" si="68"/>
        <v>1</v>
      </c>
      <c r="BE229" s="136">
        <f t="shared" si="69"/>
        <v>0</v>
      </c>
      <c r="BF229" s="136">
        <f t="shared" si="70"/>
        <v>0</v>
      </c>
      <c r="BG229" s="136">
        <f t="shared" si="71"/>
        <v>0</v>
      </c>
      <c r="BH229" s="136">
        <f t="shared" si="72"/>
        <v>0</v>
      </c>
      <c r="BI229" s="136">
        <f t="shared" si="73"/>
        <v>1</v>
      </c>
      <c r="BJ229" s="136">
        <f t="shared" si="87"/>
        <v>1</v>
      </c>
      <c r="BK229" s="136" t="str">
        <f t="shared" si="88"/>
        <v/>
      </c>
      <c r="BL229" s="136">
        <f t="shared" si="61"/>
        <v>0</v>
      </c>
      <c r="BM229" s="136">
        <f t="shared" si="74"/>
        <v>0</v>
      </c>
      <c r="BN229" s="136">
        <f t="shared" si="75"/>
        <v>0</v>
      </c>
      <c r="BO229" s="136">
        <f t="shared" si="76"/>
        <v>0</v>
      </c>
      <c r="BP229" s="136">
        <f t="shared" si="77"/>
        <v>0</v>
      </c>
      <c r="BQ229" s="136">
        <f t="shared" si="78"/>
        <v>0</v>
      </c>
      <c r="BR229" s="136">
        <f t="shared" si="79"/>
        <v>0</v>
      </c>
      <c r="BS229" s="136">
        <f t="shared" si="89"/>
        <v>0</v>
      </c>
      <c r="BT229" s="136" t="str">
        <f t="shared" si="90"/>
        <v/>
      </c>
      <c r="BU229" s="136">
        <f t="shared" si="62"/>
        <v>0</v>
      </c>
      <c r="BV229" s="136">
        <f t="shared" si="80"/>
        <v>0</v>
      </c>
      <c r="BW229" s="136">
        <f t="shared" si="81"/>
        <v>0</v>
      </c>
      <c r="BX229" s="136">
        <f t="shared" si="82"/>
        <v>0</v>
      </c>
      <c r="BY229" s="136">
        <f t="shared" si="83"/>
        <v>0</v>
      </c>
      <c r="BZ229" s="136">
        <f t="shared" si="84"/>
        <v>0</v>
      </c>
      <c r="CA229" s="136">
        <f t="shared" si="85"/>
        <v>0</v>
      </c>
      <c r="CB229" s="136">
        <f t="shared" si="91"/>
        <v>0</v>
      </c>
      <c r="CC229" s="136" t="str">
        <f t="shared" si="92"/>
        <v/>
      </c>
      <c r="CD229" s="136">
        <f t="shared" si="86"/>
        <v>1</v>
      </c>
      <c r="CE229" s="136">
        <f t="shared" si="93"/>
        <v>1</v>
      </c>
      <c r="CF229" s="136" t="str">
        <f t="shared" si="94"/>
        <v/>
      </c>
      <c r="CG229" s="25"/>
      <c r="CH229" s="25"/>
      <c r="CI229" s="25"/>
      <c r="CJ229" s="25"/>
      <c r="CK229" s="25"/>
      <c r="CL229" s="25"/>
    </row>
    <row r="230" spans="53:90" x14ac:dyDescent="0.25">
      <c r="BA230" s="138"/>
      <c r="BB230" s="154" t="str">
        <f t="shared" ref="BB230:CF230" si="95">C31</f>
        <v>7.4 Fall into Pit</v>
      </c>
      <c r="BC230" s="136">
        <f t="shared" si="95"/>
        <v>0</v>
      </c>
      <c r="BD230" s="136">
        <f t="shared" si="95"/>
        <v>0</v>
      </c>
      <c r="BE230" s="136">
        <f t="shared" si="95"/>
        <v>0</v>
      </c>
      <c r="BF230" s="136">
        <f t="shared" si="95"/>
        <v>0</v>
      </c>
      <c r="BG230" s="136">
        <f t="shared" si="95"/>
        <v>0</v>
      </c>
      <c r="BH230" s="136">
        <f t="shared" si="95"/>
        <v>0</v>
      </c>
      <c r="BI230" s="136">
        <f t="shared" si="95"/>
        <v>0</v>
      </c>
      <c r="BJ230" s="136">
        <f t="shared" si="95"/>
        <v>0</v>
      </c>
      <c r="BK230" s="136" t="str">
        <f t="shared" si="95"/>
        <v/>
      </c>
      <c r="BL230" s="136">
        <f t="shared" si="95"/>
        <v>0</v>
      </c>
      <c r="BM230" s="136">
        <f t="shared" si="95"/>
        <v>0</v>
      </c>
      <c r="BN230" s="136">
        <f t="shared" si="95"/>
        <v>0</v>
      </c>
      <c r="BO230" s="136">
        <f t="shared" si="95"/>
        <v>0</v>
      </c>
      <c r="BP230" s="136">
        <f t="shared" si="95"/>
        <v>0</v>
      </c>
      <c r="BQ230" s="136">
        <f t="shared" si="95"/>
        <v>0</v>
      </c>
      <c r="BR230" s="136">
        <f t="shared" si="95"/>
        <v>0</v>
      </c>
      <c r="BS230" s="136">
        <f t="shared" si="95"/>
        <v>0</v>
      </c>
      <c r="BT230" s="136" t="str">
        <f t="shared" si="95"/>
        <v/>
      </c>
      <c r="BU230" s="136">
        <f t="shared" si="95"/>
        <v>0</v>
      </c>
      <c r="BV230" s="136">
        <f t="shared" si="95"/>
        <v>0</v>
      </c>
      <c r="BW230" s="136">
        <f t="shared" si="95"/>
        <v>0</v>
      </c>
      <c r="BX230" s="136">
        <f t="shared" si="95"/>
        <v>0</v>
      </c>
      <c r="BY230" s="136">
        <f t="shared" si="95"/>
        <v>0</v>
      </c>
      <c r="BZ230" s="136">
        <f t="shared" si="95"/>
        <v>0</v>
      </c>
      <c r="CA230" s="136">
        <f t="shared" si="95"/>
        <v>0</v>
      </c>
      <c r="CB230" s="136">
        <f t="shared" si="95"/>
        <v>0</v>
      </c>
      <c r="CC230" s="136" t="str">
        <f t="shared" si="95"/>
        <v/>
      </c>
      <c r="CD230" s="136">
        <f t="shared" si="95"/>
        <v>0</v>
      </c>
      <c r="CE230" s="136">
        <f t="shared" si="95"/>
        <v>0</v>
      </c>
      <c r="CF230" s="136" t="str">
        <f t="shared" si="95"/>
        <v/>
      </c>
      <c r="CG230" s="25"/>
      <c r="CH230" s="25"/>
      <c r="CI230" s="25"/>
      <c r="CJ230" s="25"/>
      <c r="CK230" s="25"/>
      <c r="CL230" s="25"/>
    </row>
    <row r="231" spans="53:90" x14ac:dyDescent="0.25">
      <c r="BA231" s="231"/>
      <c r="BB231" s="154" t="str">
        <f t="shared" ref="BB231:BJ231" si="96">C32</f>
        <v>7.5 Fall into Borewell</v>
      </c>
      <c r="BC231" s="136">
        <f t="shared" si="96"/>
        <v>0</v>
      </c>
      <c r="BD231" s="136">
        <f t="shared" si="96"/>
        <v>0</v>
      </c>
      <c r="BE231" s="136">
        <f t="shared" si="96"/>
        <v>0</v>
      </c>
      <c r="BF231" s="136">
        <f t="shared" si="96"/>
        <v>0</v>
      </c>
      <c r="BG231" s="136">
        <f t="shared" si="96"/>
        <v>0</v>
      </c>
      <c r="BH231" s="136">
        <f t="shared" si="96"/>
        <v>0</v>
      </c>
      <c r="BI231" s="136">
        <f t="shared" si="96"/>
        <v>0</v>
      </c>
      <c r="BJ231" s="136">
        <f t="shared" si="96"/>
        <v>0</v>
      </c>
      <c r="BK231" s="136"/>
      <c r="BL231" s="136">
        <f t="shared" ref="BL231:BS231" si="97">M32</f>
        <v>0</v>
      </c>
      <c r="BM231" s="136">
        <f t="shared" si="97"/>
        <v>0</v>
      </c>
      <c r="BN231" s="136">
        <f t="shared" si="97"/>
        <v>0</v>
      </c>
      <c r="BO231" s="136">
        <f t="shared" si="97"/>
        <v>0</v>
      </c>
      <c r="BP231" s="136">
        <f t="shared" si="97"/>
        <v>0</v>
      </c>
      <c r="BQ231" s="136">
        <f t="shared" si="97"/>
        <v>0</v>
      </c>
      <c r="BR231" s="136">
        <f t="shared" si="97"/>
        <v>0</v>
      </c>
      <c r="BS231" s="136">
        <f t="shared" si="97"/>
        <v>0</v>
      </c>
      <c r="BT231" s="136"/>
      <c r="BU231" s="136">
        <f t="shared" ref="BU231:CB231" si="98">V32</f>
        <v>0</v>
      </c>
      <c r="BV231" s="136">
        <f t="shared" si="98"/>
        <v>0</v>
      </c>
      <c r="BW231" s="136">
        <f t="shared" si="98"/>
        <v>0</v>
      </c>
      <c r="BX231" s="136">
        <f t="shared" si="98"/>
        <v>0</v>
      </c>
      <c r="BY231" s="136">
        <f t="shared" si="98"/>
        <v>0</v>
      </c>
      <c r="BZ231" s="136">
        <f t="shared" si="98"/>
        <v>0</v>
      </c>
      <c r="CA231" s="136">
        <f t="shared" si="98"/>
        <v>0</v>
      </c>
      <c r="CB231" s="136">
        <f t="shared" si="98"/>
        <v>0</v>
      </c>
      <c r="CC231" s="136"/>
      <c r="CD231" s="136">
        <f>AE32</f>
        <v>0</v>
      </c>
      <c r="CE231" s="136">
        <f>AF32</f>
        <v>0</v>
      </c>
      <c r="CF231" s="136"/>
      <c r="CG231" s="25"/>
      <c r="CH231" s="25"/>
      <c r="CI231" s="25"/>
      <c r="CJ231" s="25"/>
      <c r="CK231" s="25"/>
      <c r="CL231" s="25"/>
    </row>
    <row r="232" spans="53:90" x14ac:dyDescent="0.25">
      <c r="BA232" s="138"/>
      <c r="BB232" s="154" t="str">
        <f t="shared" ref="BB232:BB251" si="99">C33</f>
        <v>7.6 Others</v>
      </c>
      <c r="BC232" s="136">
        <f t="shared" ref="BC232:BC251" si="100">D33</f>
        <v>0</v>
      </c>
      <c r="BD232" s="136">
        <f t="shared" ref="BD232:BD254" si="101">E33</f>
        <v>0</v>
      </c>
      <c r="BE232" s="136">
        <f t="shared" ref="BE232:BE254" si="102">F33</f>
        <v>1</v>
      </c>
      <c r="BF232" s="136">
        <f t="shared" ref="BF232:BF254" si="103">G33</f>
        <v>8</v>
      </c>
      <c r="BG232" s="136">
        <f t="shared" ref="BG232:BG254" si="104">H33</f>
        <v>1</v>
      </c>
      <c r="BH232" s="136">
        <f t="shared" ref="BH232:BH254" si="105">I33</f>
        <v>3</v>
      </c>
      <c r="BI232" s="136">
        <f t="shared" ref="BI232:BI254" si="106">J33</f>
        <v>13</v>
      </c>
      <c r="BJ232" s="136">
        <f t="shared" ref="BJ232:BJ254" si="107">K33</f>
        <v>13</v>
      </c>
      <c r="BK232" s="136" t="str">
        <f t="shared" ref="BK232:BK251" si="108">L33</f>
        <v/>
      </c>
      <c r="BL232" s="136">
        <f t="shared" ref="BL232:BL254" si="109">M33</f>
        <v>0</v>
      </c>
      <c r="BM232" s="136">
        <f t="shared" ref="BM232:BM254" si="110">N33</f>
        <v>0</v>
      </c>
      <c r="BN232" s="136">
        <f t="shared" ref="BN232:BN254" si="111">O33</f>
        <v>0</v>
      </c>
      <c r="BO232" s="136">
        <f t="shared" ref="BO232:BO254" si="112">P33</f>
        <v>0</v>
      </c>
      <c r="BP232" s="136">
        <f t="shared" ref="BP232:BP254" si="113">Q33</f>
        <v>0</v>
      </c>
      <c r="BQ232" s="136">
        <f t="shared" ref="BQ232:BQ254" si="114">R33</f>
        <v>3</v>
      </c>
      <c r="BR232" s="136">
        <f t="shared" ref="BR232:BR254" si="115">S33</f>
        <v>3</v>
      </c>
      <c r="BS232" s="136">
        <f t="shared" ref="BS232:BS254" si="116">T33</f>
        <v>3</v>
      </c>
      <c r="BT232" s="136" t="str">
        <f t="shared" ref="BT232:BT251" si="117">U33</f>
        <v/>
      </c>
      <c r="BU232" s="136">
        <f t="shared" ref="BU232:BU254" si="118">V33</f>
        <v>0</v>
      </c>
      <c r="BV232" s="136">
        <f t="shared" ref="BV232:BV254" si="119">W33</f>
        <v>0</v>
      </c>
      <c r="BW232" s="136">
        <f t="shared" ref="BW232:BW254" si="120">X33</f>
        <v>0</v>
      </c>
      <c r="BX232" s="136">
        <f t="shared" ref="BX232:BX254" si="121">Y33</f>
        <v>0</v>
      </c>
      <c r="BY232" s="136">
        <f t="shared" ref="BY232:BY254" si="122">Z33</f>
        <v>0</v>
      </c>
      <c r="BZ232" s="136">
        <f t="shared" ref="BZ232:BZ254" si="123">AA33</f>
        <v>0</v>
      </c>
      <c r="CA232" s="136">
        <f t="shared" ref="CA232:CA254" si="124">AB33</f>
        <v>0</v>
      </c>
      <c r="CB232" s="136">
        <f t="shared" ref="CB232:CB254" si="125">AC33</f>
        <v>0</v>
      </c>
      <c r="CC232" s="136" t="str">
        <f t="shared" ref="CC232:CC251" si="126">AD33</f>
        <v/>
      </c>
      <c r="CD232" s="136">
        <f t="shared" ref="CD232:CD252" si="127">AE33</f>
        <v>16</v>
      </c>
      <c r="CE232" s="136">
        <f t="shared" ref="CE232:CE254" si="128">AF33</f>
        <v>16</v>
      </c>
      <c r="CF232" s="136" t="str">
        <f t="shared" ref="CF232:CF251" si="129">AG33</f>
        <v/>
      </c>
      <c r="CG232" s="25"/>
      <c r="CH232" s="25"/>
      <c r="CI232" s="25"/>
      <c r="CJ232" s="25"/>
      <c r="CK232" s="25"/>
      <c r="CL232" s="25"/>
    </row>
    <row r="233" spans="53:90" x14ac:dyDescent="0.25">
      <c r="BA233" s="138">
        <f t="shared" si="66"/>
        <v>8</v>
      </c>
      <c r="BB233" s="136" t="str">
        <f t="shared" si="99"/>
        <v>Factory/Machine accidents</v>
      </c>
      <c r="BC233" s="136">
        <f t="shared" si="100"/>
        <v>0</v>
      </c>
      <c r="BD233" s="136">
        <f t="shared" si="101"/>
        <v>0</v>
      </c>
      <c r="BE233" s="136">
        <f t="shared" si="102"/>
        <v>3</v>
      </c>
      <c r="BF233" s="136">
        <f t="shared" si="103"/>
        <v>0</v>
      </c>
      <c r="BG233" s="136">
        <f t="shared" si="104"/>
        <v>0</v>
      </c>
      <c r="BH233" s="136">
        <f t="shared" si="105"/>
        <v>0</v>
      </c>
      <c r="BI233" s="136">
        <f t="shared" si="106"/>
        <v>3</v>
      </c>
      <c r="BJ233" s="136">
        <f t="shared" si="107"/>
        <v>3</v>
      </c>
      <c r="BK233" s="136" t="str">
        <f t="shared" si="108"/>
        <v/>
      </c>
      <c r="BL233" s="136">
        <f t="shared" si="109"/>
        <v>0</v>
      </c>
      <c r="BM233" s="136">
        <f t="shared" si="110"/>
        <v>0</v>
      </c>
      <c r="BN233" s="136">
        <f t="shared" si="111"/>
        <v>0</v>
      </c>
      <c r="BO233" s="136">
        <f t="shared" si="112"/>
        <v>0</v>
      </c>
      <c r="BP233" s="136">
        <f t="shared" si="113"/>
        <v>0</v>
      </c>
      <c r="BQ233" s="136">
        <f t="shared" si="114"/>
        <v>0</v>
      </c>
      <c r="BR233" s="136">
        <f t="shared" si="115"/>
        <v>0</v>
      </c>
      <c r="BS233" s="136">
        <f t="shared" si="116"/>
        <v>0</v>
      </c>
      <c r="BT233" s="136" t="str">
        <f t="shared" si="117"/>
        <v/>
      </c>
      <c r="BU233" s="136">
        <f t="shared" si="118"/>
        <v>0</v>
      </c>
      <c r="BV233" s="136">
        <f t="shared" si="119"/>
        <v>0</v>
      </c>
      <c r="BW233" s="136">
        <f t="shared" si="120"/>
        <v>0</v>
      </c>
      <c r="BX233" s="136">
        <f t="shared" si="121"/>
        <v>0</v>
      </c>
      <c r="BY233" s="136">
        <f t="shared" si="122"/>
        <v>0</v>
      </c>
      <c r="BZ233" s="136">
        <f t="shared" si="123"/>
        <v>0</v>
      </c>
      <c r="CA233" s="136">
        <f t="shared" si="124"/>
        <v>0</v>
      </c>
      <c r="CB233" s="136">
        <f t="shared" si="125"/>
        <v>0</v>
      </c>
      <c r="CC233" s="136" t="str">
        <f t="shared" si="126"/>
        <v/>
      </c>
      <c r="CD233" s="136">
        <f t="shared" si="127"/>
        <v>3</v>
      </c>
      <c r="CE233" s="136">
        <f t="shared" si="128"/>
        <v>3</v>
      </c>
      <c r="CF233" s="136" t="str">
        <f t="shared" si="129"/>
        <v/>
      </c>
      <c r="CG233" s="25"/>
      <c r="CH233" s="25"/>
      <c r="CI233" s="25"/>
      <c r="CJ233" s="25"/>
      <c r="CK233" s="25"/>
      <c r="CL233" s="25"/>
    </row>
    <row r="234" spans="53:90" x14ac:dyDescent="0.25">
      <c r="BA234" s="138">
        <f t="shared" si="66"/>
        <v>9</v>
      </c>
      <c r="BB234" s="136" t="str">
        <f t="shared" si="99"/>
        <v>Accidental Fire (Total) (sum of 9.1 to 9.5)</v>
      </c>
      <c r="BC234" s="136">
        <f t="shared" si="100"/>
        <v>0</v>
      </c>
      <c r="BD234" s="136">
        <f t="shared" si="101"/>
        <v>0</v>
      </c>
      <c r="BE234" s="136">
        <f t="shared" si="102"/>
        <v>0</v>
      </c>
      <c r="BF234" s="136">
        <f t="shared" si="103"/>
        <v>0</v>
      </c>
      <c r="BG234" s="136">
        <f t="shared" si="104"/>
        <v>0</v>
      </c>
      <c r="BH234" s="136">
        <f t="shared" si="105"/>
        <v>3</v>
      </c>
      <c r="BI234" s="136">
        <f t="shared" si="106"/>
        <v>3</v>
      </c>
      <c r="BJ234" s="136">
        <f t="shared" si="107"/>
        <v>3</v>
      </c>
      <c r="BK234" s="136" t="str">
        <f t="shared" si="108"/>
        <v/>
      </c>
      <c r="BL234" s="136">
        <f t="shared" si="109"/>
        <v>0</v>
      </c>
      <c r="BM234" s="136">
        <f t="shared" si="110"/>
        <v>0</v>
      </c>
      <c r="BN234" s="136">
        <f t="shared" si="111"/>
        <v>1</v>
      </c>
      <c r="BO234" s="136">
        <f t="shared" si="112"/>
        <v>1</v>
      </c>
      <c r="BP234" s="136">
        <f t="shared" si="113"/>
        <v>1</v>
      </c>
      <c r="BQ234" s="136">
        <f t="shared" si="114"/>
        <v>3</v>
      </c>
      <c r="BR234" s="136">
        <f t="shared" si="115"/>
        <v>6</v>
      </c>
      <c r="BS234" s="136">
        <f t="shared" si="116"/>
        <v>6</v>
      </c>
      <c r="BT234" s="136" t="str">
        <f t="shared" si="117"/>
        <v/>
      </c>
      <c r="BU234" s="136">
        <f t="shared" si="118"/>
        <v>0</v>
      </c>
      <c r="BV234" s="136">
        <f t="shared" si="119"/>
        <v>0</v>
      </c>
      <c r="BW234" s="136">
        <f t="shared" si="120"/>
        <v>0</v>
      </c>
      <c r="BX234" s="136">
        <f t="shared" si="121"/>
        <v>0</v>
      </c>
      <c r="BY234" s="136">
        <f t="shared" si="122"/>
        <v>0</v>
      </c>
      <c r="BZ234" s="136">
        <f t="shared" si="123"/>
        <v>0</v>
      </c>
      <c r="CA234" s="136">
        <f t="shared" si="124"/>
        <v>0</v>
      </c>
      <c r="CB234" s="136">
        <f t="shared" si="125"/>
        <v>0</v>
      </c>
      <c r="CC234" s="136" t="str">
        <f t="shared" si="126"/>
        <v/>
      </c>
      <c r="CD234" s="136">
        <f t="shared" si="127"/>
        <v>9</v>
      </c>
      <c r="CE234" s="136">
        <f t="shared" si="128"/>
        <v>9</v>
      </c>
      <c r="CF234" s="136" t="str">
        <f t="shared" si="129"/>
        <v/>
      </c>
      <c r="CG234" s="25"/>
      <c r="CH234" s="25"/>
      <c r="CI234" s="25"/>
      <c r="CJ234" s="25"/>
      <c r="CK234" s="25"/>
      <c r="CL234" s="25"/>
    </row>
    <row r="235" spans="53:90" x14ac:dyDescent="0.25">
      <c r="BA235" s="138"/>
      <c r="BB235" s="154" t="str">
        <f t="shared" si="99"/>
        <v>9.1 Electrical Short circuit</v>
      </c>
      <c r="BC235" s="136">
        <f t="shared" si="100"/>
        <v>0</v>
      </c>
      <c r="BD235" s="136">
        <f t="shared" si="101"/>
        <v>0</v>
      </c>
      <c r="BE235" s="136">
        <f t="shared" si="102"/>
        <v>0</v>
      </c>
      <c r="BF235" s="136">
        <f t="shared" si="103"/>
        <v>0</v>
      </c>
      <c r="BG235" s="136">
        <f t="shared" si="104"/>
        <v>0</v>
      </c>
      <c r="BH235" s="136">
        <f t="shared" si="105"/>
        <v>1</v>
      </c>
      <c r="BI235" s="136">
        <f t="shared" si="106"/>
        <v>1</v>
      </c>
      <c r="BJ235" s="136">
        <f t="shared" si="107"/>
        <v>1</v>
      </c>
      <c r="BK235" s="136" t="str">
        <f t="shared" si="108"/>
        <v/>
      </c>
      <c r="BL235" s="136">
        <f t="shared" si="109"/>
        <v>0</v>
      </c>
      <c r="BM235" s="136">
        <f t="shared" si="110"/>
        <v>0</v>
      </c>
      <c r="BN235" s="136">
        <f t="shared" si="111"/>
        <v>0</v>
      </c>
      <c r="BO235" s="136">
        <f t="shared" si="112"/>
        <v>0</v>
      </c>
      <c r="BP235" s="136">
        <f t="shared" si="113"/>
        <v>0</v>
      </c>
      <c r="BQ235" s="136">
        <f t="shared" si="114"/>
        <v>0</v>
      </c>
      <c r="BR235" s="136">
        <f t="shared" si="115"/>
        <v>0</v>
      </c>
      <c r="BS235" s="136">
        <f t="shared" si="116"/>
        <v>0</v>
      </c>
      <c r="BT235" s="136" t="str">
        <f t="shared" si="117"/>
        <v/>
      </c>
      <c r="BU235" s="136">
        <f t="shared" si="118"/>
        <v>0</v>
      </c>
      <c r="BV235" s="136">
        <f t="shared" si="119"/>
        <v>0</v>
      </c>
      <c r="BW235" s="136">
        <f t="shared" si="120"/>
        <v>0</v>
      </c>
      <c r="BX235" s="136">
        <f t="shared" si="121"/>
        <v>0</v>
      </c>
      <c r="BY235" s="136">
        <f t="shared" si="122"/>
        <v>0</v>
      </c>
      <c r="BZ235" s="136">
        <f t="shared" si="123"/>
        <v>0</v>
      </c>
      <c r="CA235" s="136">
        <f t="shared" si="124"/>
        <v>0</v>
      </c>
      <c r="CB235" s="136">
        <f t="shared" si="125"/>
        <v>0</v>
      </c>
      <c r="CC235" s="136" t="str">
        <f t="shared" si="126"/>
        <v/>
      </c>
      <c r="CD235" s="136">
        <f t="shared" si="127"/>
        <v>1</v>
      </c>
      <c r="CE235" s="136">
        <f t="shared" si="128"/>
        <v>1</v>
      </c>
      <c r="CF235" s="136" t="str">
        <f t="shared" si="129"/>
        <v/>
      </c>
      <c r="CG235" s="25"/>
      <c r="CH235" s="25"/>
      <c r="CI235" s="25"/>
      <c r="CJ235" s="25"/>
      <c r="CK235" s="25"/>
      <c r="CL235" s="25"/>
    </row>
    <row r="236" spans="53:90" x14ac:dyDescent="0.25">
      <c r="BA236" s="138"/>
      <c r="BB236" s="154" t="str">
        <f t="shared" si="99"/>
        <v>9.2 Riot/Agitation</v>
      </c>
      <c r="BC236" s="136">
        <f t="shared" si="100"/>
        <v>0</v>
      </c>
      <c r="BD236" s="136">
        <f t="shared" si="101"/>
        <v>0</v>
      </c>
      <c r="BE236" s="136">
        <f t="shared" si="102"/>
        <v>0</v>
      </c>
      <c r="BF236" s="136">
        <f t="shared" si="103"/>
        <v>0</v>
      </c>
      <c r="BG236" s="136">
        <f t="shared" si="104"/>
        <v>0</v>
      </c>
      <c r="BH236" s="136">
        <f t="shared" si="105"/>
        <v>0</v>
      </c>
      <c r="BI236" s="136">
        <f t="shared" si="106"/>
        <v>0</v>
      </c>
      <c r="BJ236" s="136">
        <f t="shared" si="107"/>
        <v>0</v>
      </c>
      <c r="BK236" s="136" t="str">
        <f t="shared" si="108"/>
        <v/>
      </c>
      <c r="BL236" s="136">
        <f t="shared" si="109"/>
        <v>0</v>
      </c>
      <c r="BM236" s="136">
        <f t="shared" si="110"/>
        <v>0</v>
      </c>
      <c r="BN236" s="136">
        <f t="shared" si="111"/>
        <v>0</v>
      </c>
      <c r="BO236" s="136">
        <f t="shared" si="112"/>
        <v>0</v>
      </c>
      <c r="BP236" s="136">
        <f t="shared" si="113"/>
        <v>0</v>
      </c>
      <c r="BQ236" s="136">
        <f t="shared" si="114"/>
        <v>0</v>
      </c>
      <c r="BR236" s="136">
        <f t="shared" si="115"/>
        <v>0</v>
      </c>
      <c r="BS236" s="136">
        <f t="shared" si="116"/>
        <v>0</v>
      </c>
      <c r="BT236" s="136" t="str">
        <f t="shared" si="117"/>
        <v/>
      </c>
      <c r="BU236" s="136">
        <f t="shared" si="118"/>
        <v>0</v>
      </c>
      <c r="BV236" s="136">
        <f t="shared" si="119"/>
        <v>0</v>
      </c>
      <c r="BW236" s="136">
        <f t="shared" si="120"/>
        <v>0</v>
      </c>
      <c r="BX236" s="136">
        <f t="shared" si="121"/>
        <v>0</v>
      </c>
      <c r="BY236" s="136">
        <f t="shared" si="122"/>
        <v>0</v>
      </c>
      <c r="BZ236" s="136">
        <f t="shared" si="123"/>
        <v>0</v>
      </c>
      <c r="CA236" s="136">
        <f t="shared" si="124"/>
        <v>0</v>
      </c>
      <c r="CB236" s="136">
        <f t="shared" si="125"/>
        <v>0</v>
      </c>
      <c r="CC236" s="136" t="str">
        <f t="shared" si="126"/>
        <v/>
      </c>
      <c r="CD236" s="136">
        <f t="shared" si="127"/>
        <v>0</v>
      </c>
      <c r="CE236" s="136">
        <f t="shared" si="128"/>
        <v>0</v>
      </c>
      <c r="CF236" s="136" t="str">
        <f t="shared" si="129"/>
        <v/>
      </c>
      <c r="CG236" s="25"/>
      <c r="CH236" s="25"/>
      <c r="CI236" s="25"/>
      <c r="CJ236" s="25"/>
      <c r="CK236" s="25"/>
      <c r="CL236" s="25"/>
    </row>
    <row r="237" spans="53:90" x14ac:dyDescent="0.25">
      <c r="BA237" s="138"/>
      <c r="BB237" s="154" t="str">
        <f t="shared" si="99"/>
        <v>9.3 Fireworks</v>
      </c>
      <c r="BC237" s="136">
        <f t="shared" si="100"/>
        <v>0</v>
      </c>
      <c r="BD237" s="136">
        <f t="shared" si="101"/>
        <v>0</v>
      </c>
      <c r="BE237" s="136">
        <f t="shared" si="102"/>
        <v>0</v>
      </c>
      <c r="BF237" s="136">
        <f t="shared" si="103"/>
        <v>0</v>
      </c>
      <c r="BG237" s="136">
        <f t="shared" si="104"/>
        <v>0</v>
      </c>
      <c r="BH237" s="136">
        <f t="shared" si="105"/>
        <v>0</v>
      </c>
      <c r="BI237" s="136">
        <f t="shared" si="106"/>
        <v>0</v>
      </c>
      <c r="BJ237" s="136">
        <f t="shared" si="107"/>
        <v>0</v>
      </c>
      <c r="BK237" s="136" t="str">
        <f t="shared" si="108"/>
        <v/>
      </c>
      <c r="BL237" s="136">
        <f t="shared" si="109"/>
        <v>0</v>
      </c>
      <c r="BM237" s="136">
        <f t="shared" si="110"/>
        <v>0</v>
      </c>
      <c r="BN237" s="136">
        <f t="shared" si="111"/>
        <v>0</v>
      </c>
      <c r="BO237" s="136">
        <f t="shared" si="112"/>
        <v>1</v>
      </c>
      <c r="BP237" s="136">
        <f t="shared" si="113"/>
        <v>0</v>
      </c>
      <c r="BQ237" s="136">
        <f t="shared" si="114"/>
        <v>0</v>
      </c>
      <c r="BR237" s="136">
        <f t="shared" si="115"/>
        <v>1</v>
      </c>
      <c r="BS237" s="136">
        <f t="shared" si="116"/>
        <v>1</v>
      </c>
      <c r="BT237" s="136" t="str">
        <f t="shared" si="117"/>
        <v/>
      </c>
      <c r="BU237" s="136">
        <f t="shared" si="118"/>
        <v>0</v>
      </c>
      <c r="BV237" s="136">
        <f t="shared" si="119"/>
        <v>0</v>
      </c>
      <c r="BW237" s="136">
        <f t="shared" si="120"/>
        <v>0</v>
      </c>
      <c r="BX237" s="136">
        <f t="shared" si="121"/>
        <v>0</v>
      </c>
      <c r="BY237" s="136">
        <f t="shared" si="122"/>
        <v>0</v>
      </c>
      <c r="BZ237" s="136">
        <f t="shared" si="123"/>
        <v>0</v>
      </c>
      <c r="CA237" s="136">
        <f t="shared" si="124"/>
        <v>0</v>
      </c>
      <c r="CB237" s="136">
        <f t="shared" si="125"/>
        <v>0</v>
      </c>
      <c r="CC237" s="136" t="str">
        <f t="shared" si="126"/>
        <v/>
      </c>
      <c r="CD237" s="136">
        <f t="shared" si="127"/>
        <v>1</v>
      </c>
      <c r="CE237" s="136">
        <f t="shared" si="128"/>
        <v>1</v>
      </c>
      <c r="CF237" s="136" t="str">
        <f t="shared" si="129"/>
        <v/>
      </c>
      <c r="CG237" s="25"/>
      <c r="CH237" s="25"/>
      <c r="CI237" s="25"/>
      <c r="CJ237" s="25"/>
      <c r="CK237" s="25"/>
      <c r="CL237" s="25"/>
    </row>
    <row r="238" spans="53:90" x14ac:dyDescent="0.25">
      <c r="BA238" s="138"/>
      <c r="BB238" s="154" t="str">
        <f t="shared" si="99"/>
        <v>9.4 Cooking Gas cylinder/stove burst</v>
      </c>
      <c r="BC238" s="136">
        <f t="shared" si="100"/>
        <v>0</v>
      </c>
      <c r="BD238" s="136">
        <f t="shared" si="101"/>
        <v>0</v>
      </c>
      <c r="BE238" s="136">
        <f t="shared" si="102"/>
        <v>0</v>
      </c>
      <c r="BF238" s="136">
        <f t="shared" si="103"/>
        <v>0</v>
      </c>
      <c r="BG238" s="136">
        <f t="shared" si="104"/>
        <v>0</v>
      </c>
      <c r="BH238" s="136">
        <f t="shared" si="105"/>
        <v>2</v>
      </c>
      <c r="BI238" s="136">
        <f t="shared" si="106"/>
        <v>2</v>
      </c>
      <c r="BJ238" s="136">
        <f t="shared" si="107"/>
        <v>2</v>
      </c>
      <c r="BK238" s="136" t="str">
        <f t="shared" si="108"/>
        <v/>
      </c>
      <c r="BL238" s="136">
        <f t="shared" si="109"/>
        <v>0</v>
      </c>
      <c r="BM238" s="136">
        <f t="shared" si="110"/>
        <v>0</v>
      </c>
      <c r="BN238" s="136">
        <f t="shared" si="111"/>
        <v>1</v>
      </c>
      <c r="BO238" s="136">
        <f t="shared" si="112"/>
        <v>0</v>
      </c>
      <c r="BP238" s="136">
        <f t="shared" si="113"/>
        <v>0</v>
      </c>
      <c r="BQ238" s="136">
        <f t="shared" si="114"/>
        <v>0</v>
      </c>
      <c r="BR238" s="136">
        <f t="shared" si="115"/>
        <v>1</v>
      </c>
      <c r="BS238" s="136">
        <f t="shared" si="116"/>
        <v>1</v>
      </c>
      <c r="BT238" s="136" t="str">
        <f t="shared" si="117"/>
        <v/>
      </c>
      <c r="BU238" s="136">
        <f t="shared" si="118"/>
        <v>0</v>
      </c>
      <c r="BV238" s="136">
        <f t="shared" si="119"/>
        <v>0</v>
      </c>
      <c r="BW238" s="136">
        <f t="shared" si="120"/>
        <v>0</v>
      </c>
      <c r="BX238" s="136">
        <f t="shared" si="121"/>
        <v>0</v>
      </c>
      <c r="BY238" s="136">
        <f t="shared" si="122"/>
        <v>0</v>
      </c>
      <c r="BZ238" s="136">
        <f t="shared" si="123"/>
        <v>0</v>
      </c>
      <c r="CA238" s="136">
        <f t="shared" si="124"/>
        <v>0</v>
      </c>
      <c r="CB238" s="136">
        <f t="shared" si="125"/>
        <v>0</v>
      </c>
      <c r="CC238" s="136" t="str">
        <f t="shared" si="126"/>
        <v/>
      </c>
      <c r="CD238" s="136">
        <f t="shared" si="127"/>
        <v>3</v>
      </c>
      <c r="CE238" s="136">
        <f t="shared" si="128"/>
        <v>3</v>
      </c>
      <c r="CF238" s="136" t="str">
        <f t="shared" si="129"/>
        <v/>
      </c>
      <c r="CG238" s="25"/>
      <c r="CH238" s="25"/>
      <c r="CI238" s="25"/>
      <c r="CJ238" s="25"/>
      <c r="CK238" s="25"/>
      <c r="CL238" s="25"/>
    </row>
    <row r="239" spans="53:90" x14ac:dyDescent="0.25">
      <c r="BA239" s="138"/>
      <c r="BB239" s="154" t="str">
        <f t="shared" si="99"/>
        <v>9.5 Other Causes</v>
      </c>
      <c r="BC239" s="136">
        <f t="shared" si="100"/>
        <v>0</v>
      </c>
      <c r="BD239" s="136">
        <f t="shared" si="101"/>
        <v>0</v>
      </c>
      <c r="BE239" s="136">
        <f t="shared" si="102"/>
        <v>0</v>
      </c>
      <c r="BF239" s="136">
        <f t="shared" si="103"/>
        <v>0</v>
      </c>
      <c r="BG239" s="136">
        <f t="shared" si="104"/>
        <v>0</v>
      </c>
      <c r="BH239" s="136">
        <f t="shared" si="105"/>
        <v>0</v>
      </c>
      <c r="BI239" s="136">
        <f t="shared" si="106"/>
        <v>0</v>
      </c>
      <c r="BJ239" s="136">
        <f t="shared" si="107"/>
        <v>0</v>
      </c>
      <c r="BK239" s="136" t="str">
        <f t="shared" si="108"/>
        <v/>
      </c>
      <c r="BL239" s="136">
        <f t="shared" si="109"/>
        <v>0</v>
      </c>
      <c r="BM239" s="136">
        <f t="shared" si="110"/>
        <v>0</v>
      </c>
      <c r="BN239" s="136">
        <f t="shared" si="111"/>
        <v>0</v>
      </c>
      <c r="BO239" s="136">
        <f t="shared" si="112"/>
        <v>0</v>
      </c>
      <c r="BP239" s="136">
        <f t="shared" si="113"/>
        <v>1</v>
      </c>
      <c r="BQ239" s="136">
        <f t="shared" si="114"/>
        <v>3</v>
      </c>
      <c r="BR239" s="136">
        <f t="shared" si="115"/>
        <v>4</v>
      </c>
      <c r="BS239" s="136">
        <f t="shared" si="116"/>
        <v>4</v>
      </c>
      <c r="BT239" s="136" t="str">
        <f t="shared" si="117"/>
        <v/>
      </c>
      <c r="BU239" s="136">
        <f t="shared" si="118"/>
        <v>0</v>
      </c>
      <c r="BV239" s="136">
        <f t="shared" si="119"/>
        <v>0</v>
      </c>
      <c r="BW239" s="136">
        <f t="shared" si="120"/>
        <v>0</v>
      </c>
      <c r="BX239" s="136">
        <f t="shared" si="121"/>
        <v>0</v>
      </c>
      <c r="BY239" s="136">
        <f t="shared" si="122"/>
        <v>0</v>
      </c>
      <c r="BZ239" s="136">
        <f t="shared" si="123"/>
        <v>0</v>
      </c>
      <c r="CA239" s="136">
        <f t="shared" si="124"/>
        <v>0</v>
      </c>
      <c r="CB239" s="136">
        <f t="shared" si="125"/>
        <v>0</v>
      </c>
      <c r="CC239" s="136" t="str">
        <f t="shared" si="126"/>
        <v/>
      </c>
      <c r="CD239" s="136">
        <f t="shared" si="127"/>
        <v>4</v>
      </c>
      <c r="CE239" s="136">
        <f t="shared" si="128"/>
        <v>4</v>
      </c>
      <c r="CF239" s="136" t="str">
        <f t="shared" si="129"/>
        <v/>
      </c>
      <c r="CG239" s="25"/>
      <c r="CH239" s="25"/>
      <c r="CI239" s="25"/>
      <c r="CJ239" s="25"/>
      <c r="CK239" s="25"/>
      <c r="CL239" s="25"/>
    </row>
    <row r="240" spans="53:90" x14ac:dyDescent="0.25">
      <c r="BA240" s="138">
        <f t="shared" si="66"/>
        <v>10</v>
      </c>
      <c r="BB240" s="136" t="str">
        <f t="shared" si="99"/>
        <v>Firearm</v>
      </c>
      <c r="BC240" s="136">
        <f t="shared" si="100"/>
        <v>1</v>
      </c>
      <c r="BD240" s="136">
        <f t="shared" si="101"/>
        <v>0</v>
      </c>
      <c r="BE240" s="136">
        <f t="shared" si="102"/>
        <v>0</v>
      </c>
      <c r="BF240" s="136">
        <f t="shared" si="103"/>
        <v>0</v>
      </c>
      <c r="BG240" s="136">
        <f t="shared" si="104"/>
        <v>0</v>
      </c>
      <c r="BH240" s="136">
        <f t="shared" si="105"/>
        <v>0</v>
      </c>
      <c r="BI240" s="136">
        <f t="shared" si="106"/>
        <v>1</v>
      </c>
      <c r="BJ240" s="136">
        <f t="shared" si="107"/>
        <v>1</v>
      </c>
      <c r="BK240" s="136" t="str">
        <f t="shared" si="108"/>
        <v/>
      </c>
      <c r="BL240" s="136">
        <f t="shared" si="109"/>
        <v>0</v>
      </c>
      <c r="BM240" s="136">
        <f t="shared" si="110"/>
        <v>0</v>
      </c>
      <c r="BN240" s="136">
        <f t="shared" si="111"/>
        <v>0</v>
      </c>
      <c r="BO240" s="136">
        <f t="shared" si="112"/>
        <v>0</v>
      </c>
      <c r="BP240" s="136">
        <f t="shared" si="113"/>
        <v>0</v>
      </c>
      <c r="BQ240" s="136">
        <f t="shared" si="114"/>
        <v>0</v>
      </c>
      <c r="BR240" s="136">
        <f t="shared" si="115"/>
        <v>0</v>
      </c>
      <c r="BS240" s="136">
        <f t="shared" si="116"/>
        <v>0</v>
      </c>
      <c r="BT240" s="136" t="str">
        <f t="shared" si="117"/>
        <v/>
      </c>
      <c r="BU240" s="136">
        <f t="shared" si="118"/>
        <v>0</v>
      </c>
      <c r="BV240" s="136">
        <f t="shared" si="119"/>
        <v>0</v>
      </c>
      <c r="BW240" s="136">
        <f t="shared" si="120"/>
        <v>0</v>
      </c>
      <c r="BX240" s="136">
        <f t="shared" si="121"/>
        <v>0</v>
      </c>
      <c r="BY240" s="136">
        <f t="shared" si="122"/>
        <v>0</v>
      </c>
      <c r="BZ240" s="136">
        <f t="shared" si="123"/>
        <v>0</v>
      </c>
      <c r="CA240" s="136">
        <f t="shared" si="124"/>
        <v>0</v>
      </c>
      <c r="CB240" s="136">
        <f t="shared" si="125"/>
        <v>0</v>
      </c>
      <c r="CC240" s="136" t="str">
        <f t="shared" si="126"/>
        <v/>
      </c>
      <c r="CD240" s="136">
        <f t="shared" si="127"/>
        <v>1</v>
      </c>
      <c r="CE240" s="136">
        <f t="shared" si="128"/>
        <v>1</v>
      </c>
      <c r="CF240" s="136" t="str">
        <f t="shared" si="129"/>
        <v/>
      </c>
      <c r="CG240" s="25"/>
      <c r="CH240" s="25"/>
      <c r="CI240" s="25"/>
      <c r="CJ240" s="25"/>
      <c r="CK240" s="25"/>
      <c r="CL240" s="25"/>
    </row>
    <row r="241" spans="53:90" x14ac:dyDescent="0.25">
      <c r="BA241" s="138">
        <f t="shared" si="66"/>
        <v>11</v>
      </c>
      <c r="BB241" s="136" t="str">
        <f t="shared" si="99"/>
        <v>Mines or Quarry disaster</v>
      </c>
      <c r="BC241" s="136">
        <f t="shared" si="100"/>
        <v>0</v>
      </c>
      <c r="BD241" s="136">
        <f t="shared" si="101"/>
        <v>0</v>
      </c>
      <c r="BE241" s="136">
        <f t="shared" si="102"/>
        <v>0</v>
      </c>
      <c r="BF241" s="136">
        <f t="shared" si="103"/>
        <v>0</v>
      </c>
      <c r="BG241" s="136">
        <f t="shared" si="104"/>
        <v>0</v>
      </c>
      <c r="BH241" s="136">
        <f t="shared" si="105"/>
        <v>0</v>
      </c>
      <c r="BI241" s="136">
        <f t="shared" si="106"/>
        <v>0</v>
      </c>
      <c r="BJ241" s="136">
        <f t="shared" si="107"/>
        <v>0</v>
      </c>
      <c r="BK241" s="136" t="str">
        <f t="shared" si="108"/>
        <v/>
      </c>
      <c r="BL241" s="136">
        <f t="shared" si="109"/>
        <v>0</v>
      </c>
      <c r="BM241" s="136">
        <f t="shared" si="110"/>
        <v>0</v>
      </c>
      <c r="BN241" s="136">
        <f t="shared" si="111"/>
        <v>0</v>
      </c>
      <c r="BO241" s="136">
        <f t="shared" si="112"/>
        <v>0</v>
      </c>
      <c r="BP241" s="136">
        <f t="shared" si="113"/>
        <v>0</v>
      </c>
      <c r="BQ241" s="136">
        <f t="shared" si="114"/>
        <v>0</v>
      </c>
      <c r="BR241" s="136">
        <f t="shared" si="115"/>
        <v>0</v>
      </c>
      <c r="BS241" s="136">
        <f t="shared" si="116"/>
        <v>0</v>
      </c>
      <c r="BT241" s="136" t="str">
        <f t="shared" si="117"/>
        <v/>
      </c>
      <c r="BU241" s="136">
        <f t="shared" si="118"/>
        <v>0</v>
      </c>
      <c r="BV241" s="136">
        <f t="shared" si="119"/>
        <v>0</v>
      </c>
      <c r="BW241" s="136">
        <f t="shared" si="120"/>
        <v>0</v>
      </c>
      <c r="BX241" s="136">
        <f t="shared" si="121"/>
        <v>0</v>
      </c>
      <c r="BY241" s="136">
        <f t="shared" si="122"/>
        <v>0</v>
      </c>
      <c r="BZ241" s="136">
        <f t="shared" si="123"/>
        <v>0</v>
      </c>
      <c r="CA241" s="136">
        <f t="shared" si="124"/>
        <v>0</v>
      </c>
      <c r="CB241" s="136">
        <f t="shared" si="125"/>
        <v>0</v>
      </c>
      <c r="CC241" s="136" t="str">
        <f t="shared" si="126"/>
        <v/>
      </c>
      <c r="CD241" s="136">
        <f t="shared" si="127"/>
        <v>0</v>
      </c>
      <c r="CE241" s="136">
        <f t="shared" si="128"/>
        <v>0</v>
      </c>
      <c r="CF241" s="136" t="str">
        <f t="shared" si="129"/>
        <v/>
      </c>
      <c r="CG241" s="25"/>
      <c r="CH241" s="25"/>
      <c r="CI241" s="25"/>
      <c r="CJ241" s="25"/>
      <c r="CK241" s="25"/>
      <c r="CL241" s="25"/>
    </row>
    <row r="242" spans="53:90" ht="25.5" x14ac:dyDescent="0.25">
      <c r="BA242" s="138">
        <f t="shared" si="66"/>
        <v>12</v>
      </c>
      <c r="BB242" s="140" t="str">
        <f t="shared" si="99"/>
        <v>Traffic Accidents (Total) (sum of 12.1, 12.2 and 12.3)</v>
      </c>
      <c r="BC242" s="136">
        <f t="shared" si="100"/>
        <v>1</v>
      </c>
      <c r="BD242" s="136">
        <f t="shared" si="101"/>
        <v>0</v>
      </c>
      <c r="BE242" s="136">
        <f t="shared" si="102"/>
        <v>87</v>
      </c>
      <c r="BF242" s="136">
        <f t="shared" si="103"/>
        <v>74</v>
      </c>
      <c r="BG242" s="136">
        <f t="shared" si="104"/>
        <v>47</v>
      </c>
      <c r="BH242" s="136">
        <f t="shared" si="105"/>
        <v>29</v>
      </c>
      <c r="BI242" s="136">
        <f t="shared" si="106"/>
        <v>238</v>
      </c>
      <c r="BJ242" s="136">
        <f t="shared" si="107"/>
        <v>238</v>
      </c>
      <c r="BK242" s="136" t="str">
        <f t="shared" si="108"/>
        <v/>
      </c>
      <c r="BL242" s="136">
        <f t="shared" si="109"/>
        <v>0</v>
      </c>
      <c r="BM242" s="136">
        <f t="shared" si="110"/>
        <v>0</v>
      </c>
      <c r="BN242" s="136">
        <f t="shared" si="111"/>
        <v>7</v>
      </c>
      <c r="BO242" s="136">
        <f t="shared" si="112"/>
        <v>10</v>
      </c>
      <c r="BP242" s="136">
        <f t="shared" si="113"/>
        <v>9</v>
      </c>
      <c r="BQ242" s="136">
        <f t="shared" si="114"/>
        <v>11</v>
      </c>
      <c r="BR242" s="136">
        <f t="shared" si="115"/>
        <v>37</v>
      </c>
      <c r="BS242" s="136">
        <f t="shared" si="116"/>
        <v>37</v>
      </c>
      <c r="BT242" s="136" t="str">
        <f t="shared" si="117"/>
        <v/>
      </c>
      <c r="BU242" s="136">
        <f t="shared" si="118"/>
        <v>0</v>
      </c>
      <c r="BV242" s="136">
        <f t="shared" si="119"/>
        <v>0</v>
      </c>
      <c r="BW242" s="136">
        <f t="shared" si="120"/>
        <v>0</v>
      </c>
      <c r="BX242" s="136">
        <f t="shared" si="121"/>
        <v>0</v>
      </c>
      <c r="BY242" s="136">
        <f t="shared" si="122"/>
        <v>0</v>
      </c>
      <c r="BZ242" s="136">
        <f t="shared" si="123"/>
        <v>0</v>
      </c>
      <c r="CA242" s="136">
        <f t="shared" si="124"/>
        <v>0</v>
      </c>
      <c r="CB242" s="136">
        <f t="shared" si="125"/>
        <v>0</v>
      </c>
      <c r="CC242" s="136" t="str">
        <f t="shared" si="126"/>
        <v/>
      </c>
      <c r="CD242" s="136">
        <f t="shared" si="127"/>
        <v>275</v>
      </c>
      <c r="CE242" s="136">
        <f t="shared" si="128"/>
        <v>275</v>
      </c>
      <c r="CF242" s="136" t="str">
        <f t="shared" si="129"/>
        <v/>
      </c>
      <c r="CG242" s="25"/>
      <c r="CH242" s="25"/>
      <c r="CI242" s="25"/>
      <c r="CJ242" s="25"/>
      <c r="CK242" s="25"/>
      <c r="CL242" s="25"/>
    </row>
    <row r="243" spans="53:90" ht="25.5" x14ac:dyDescent="0.25">
      <c r="BA243" s="138"/>
      <c r="BB243" s="183" t="str">
        <f t="shared" si="99"/>
        <v>12.1 Road Accidents Total (sum of 12.1.1 and 12.1.2)</v>
      </c>
      <c r="BC243" s="136">
        <f t="shared" si="100"/>
        <v>1</v>
      </c>
      <c r="BD243" s="136">
        <f t="shared" si="101"/>
        <v>0</v>
      </c>
      <c r="BE243" s="136">
        <f t="shared" si="102"/>
        <v>72</v>
      </c>
      <c r="BF243" s="136">
        <f t="shared" si="103"/>
        <v>55</v>
      </c>
      <c r="BG243" s="136">
        <f t="shared" si="104"/>
        <v>38</v>
      </c>
      <c r="BH243" s="136">
        <f t="shared" si="105"/>
        <v>27</v>
      </c>
      <c r="BI243" s="136">
        <f t="shared" si="106"/>
        <v>193</v>
      </c>
      <c r="BJ243" s="136">
        <f t="shared" si="107"/>
        <v>193</v>
      </c>
      <c r="BK243" s="136" t="str">
        <f t="shared" si="108"/>
        <v/>
      </c>
      <c r="BL243" s="136">
        <f t="shared" si="109"/>
        <v>0</v>
      </c>
      <c r="BM243" s="136">
        <f t="shared" si="110"/>
        <v>0</v>
      </c>
      <c r="BN243" s="136">
        <f t="shared" si="111"/>
        <v>6</v>
      </c>
      <c r="BO243" s="136">
        <f t="shared" si="112"/>
        <v>9</v>
      </c>
      <c r="BP243" s="136">
        <f t="shared" si="113"/>
        <v>8</v>
      </c>
      <c r="BQ243" s="136">
        <f t="shared" si="114"/>
        <v>10</v>
      </c>
      <c r="BR243" s="136">
        <f t="shared" si="115"/>
        <v>33</v>
      </c>
      <c r="BS243" s="136">
        <f t="shared" si="116"/>
        <v>33</v>
      </c>
      <c r="BT243" s="136" t="str">
        <f t="shared" si="117"/>
        <v/>
      </c>
      <c r="BU243" s="136">
        <f t="shared" si="118"/>
        <v>0</v>
      </c>
      <c r="BV243" s="136">
        <f t="shared" si="119"/>
        <v>0</v>
      </c>
      <c r="BW243" s="136">
        <f t="shared" si="120"/>
        <v>0</v>
      </c>
      <c r="BX243" s="136">
        <f t="shared" si="121"/>
        <v>0</v>
      </c>
      <c r="BY243" s="136">
        <f t="shared" si="122"/>
        <v>0</v>
      </c>
      <c r="BZ243" s="136">
        <f t="shared" si="123"/>
        <v>0</v>
      </c>
      <c r="CA243" s="136">
        <f t="shared" si="124"/>
        <v>0</v>
      </c>
      <c r="CB243" s="136">
        <f t="shared" si="125"/>
        <v>0</v>
      </c>
      <c r="CC243" s="136" t="str">
        <f t="shared" si="126"/>
        <v/>
      </c>
      <c r="CD243" s="136">
        <f t="shared" si="127"/>
        <v>226</v>
      </c>
      <c r="CE243" s="136">
        <f t="shared" si="128"/>
        <v>226</v>
      </c>
      <c r="CF243" s="136" t="str">
        <f t="shared" si="129"/>
        <v/>
      </c>
      <c r="CG243" s="25"/>
      <c r="CH243" s="25"/>
      <c r="CI243" s="25"/>
      <c r="CJ243" s="25"/>
      <c r="CK243" s="25"/>
      <c r="CL243" s="25"/>
    </row>
    <row r="244" spans="53:90" ht="25.5" x14ac:dyDescent="0.25">
      <c r="BA244" s="138"/>
      <c r="BB244" s="491" t="str">
        <f t="shared" si="99"/>
        <v>12.1.1 Which led into Road Rage incidents</v>
      </c>
      <c r="BC244" s="136">
        <f t="shared" si="100"/>
        <v>0</v>
      </c>
      <c r="BD244" s="136">
        <f t="shared" si="101"/>
        <v>0</v>
      </c>
      <c r="BE244" s="136">
        <f t="shared" si="102"/>
        <v>0</v>
      </c>
      <c r="BF244" s="136">
        <f t="shared" si="103"/>
        <v>0</v>
      </c>
      <c r="BG244" s="136">
        <f t="shared" si="104"/>
        <v>0</v>
      </c>
      <c r="BH244" s="136">
        <f t="shared" si="105"/>
        <v>0</v>
      </c>
      <c r="BI244" s="136">
        <f t="shared" si="106"/>
        <v>0</v>
      </c>
      <c r="BJ244" s="136">
        <f t="shared" si="107"/>
        <v>0</v>
      </c>
      <c r="BK244" s="136" t="str">
        <f t="shared" si="108"/>
        <v/>
      </c>
      <c r="BL244" s="136">
        <f t="shared" si="109"/>
        <v>0</v>
      </c>
      <c r="BM244" s="136">
        <f t="shared" si="110"/>
        <v>0</v>
      </c>
      <c r="BN244" s="136">
        <f t="shared" si="111"/>
        <v>0</v>
      </c>
      <c r="BO244" s="136">
        <f t="shared" si="112"/>
        <v>0</v>
      </c>
      <c r="BP244" s="136">
        <f t="shared" si="113"/>
        <v>0</v>
      </c>
      <c r="BQ244" s="136">
        <f t="shared" si="114"/>
        <v>0</v>
      </c>
      <c r="BR244" s="136">
        <f t="shared" si="115"/>
        <v>0</v>
      </c>
      <c r="BS244" s="136">
        <f t="shared" si="116"/>
        <v>0</v>
      </c>
      <c r="BT244" s="136" t="str">
        <f t="shared" si="117"/>
        <v/>
      </c>
      <c r="BU244" s="136">
        <f t="shared" si="118"/>
        <v>0</v>
      </c>
      <c r="BV244" s="136">
        <f t="shared" si="119"/>
        <v>0</v>
      </c>
      <c r="BW244" s="136">
        <f t="shared" si="120"/>
        <v>0</v>
      </c>
      <c r="BX244" s="136">
        <f t="shared" si="121"/>
        <v>0</v>
      </c>
      <c r="BY244" s="136">
        <f t="shared" si="122"/>
        <v>0</v>
      </c>
      <c r="BZ244" s="136">
        <f t="shared" si="123"/>
        <v>0</v>
      </c>
      <c r="CA244" s="136">
        <f t="shared" si="124"/>
        <v>0</v>
      </c>
      <c r="CB244" s="136">
        <f t="shared" si="125"/>
        <v>0</v>
      </c>
      <c r="CC244" s="136" t="str">
        <f t="shared" si="126"/>
        <v/>
      </c>
      <c r="CD244" s="136">
        <f t="shared" si="127"/>
        <v>0</v>
      </c>
      <c r="CE244" s="136">
        <f t="shared" si="128"/>
        <v>0</v>
      </c>
      <c r="CF244" s="136" t="str">
        <f t="shared" si="129"/>
        <v/>
      </c>
      <c r="CG244" s="25"/>
      <c r="CH244" s="25"/>
      <c r="CI244" s="25"/>
      <c r="CJ244" s="25"/>
      <c r="CK244" s="25"/>
      <c r="CL244" s="25"/>
    </row>
    <row r="245" spans="53:90" x14ac:dyDescent="0.25">
      <c r="BA245" s="138"/>
      <c r="BB245" s="491" t="str">
        <f t="shared" si="99"/>
        <v>12.1.2 Other Road Accidents</v>
      </c>
      <c r="BC245" s="136">
        <f t="shared" si="100"/>
        <v>1</v>
      </c>
      <c r="BD245" s="136">
        <f t="shared" si="101"/>
        <v>0</v>
      </c>
      <c r="BE245" s="136">
        <f t="shared" si="102"/>
        <v>72</v>
      </c>
      <c r="BF245" s="136">
        <f t="shared" si="103"/>
        <v>55</v>
      </c>
      <c r="BG245" s="136">
        <f t="shared" si="104"/>
        <v>38</v>
      </c>
      <c r="BH245" s="136">
        <f t="shared" si="105"/>
        <v>27</v>
      </c>
      <c r="BI245" s="136">
        <f t="shared" si="106"/>
        <v>193</v>
      </c>
      <c r="BJ245" s="136">
        <f t="shared" si="107"/>
        <v>193</v>
      </c>
      <c r="BK245" s="136" t="str">
        <f t="shared" si="108"/>
        <v/>
      </c>
      <c r="BL245" s="136">
        <f t="shared" si="109"/>
        <v>0</v>
      </c>
      <c r="BM245" s="136">
        <f t="shared" si="110"/>
        <v>0</v>
      </c>
      <c r="BN245" s="136">
        <f t="shared" si="111"/>
        <v>6</v>
      </c>
      <c r="BO245" s="136">
        <f t="shared" si="112"/>
        <v>9</v>
      </c>
      <c r="BP245" s="136">
        <f t="shared" si="113"/>
        <v>8</v>
      </c>
      <c r="BQ245" s="136">
        <f t="shared" si="114"/>
        <v>10</v>
      </c>
      <c r="BR245" s="136">
        <f t="shared" si="115"/>
        <v>33</v>
      </c>
      <c r="BS245" s="136">
        <f t="shared" si="116"/>
        <v>33</v>
      </c>
      <c r="BT245" s="136" t="str">
        <f t="shared" si="117"/>
        <v/>
      </c>
      <c r="BU245" s="136">
        <f t="shared" si="118"/>
        <v>0</v>
      </c>
      <c r="BV245" s="136">
        <f t="shared" si="119"/>
        <v>0</v>
      </c>
      <c r="BW245" s="136">
        <f t="shared" si="120"/>
        <v>0</v>
      </c>
      <c r="BX245" s="136">
        <f t="shared" si="121"/>
        <v>0</v>
      </c>
      <c r="BY245" s="136">
        <f t="shared" si="122"/>
        <v>0</v>
      </c>
      <c r="BZ245" s="136">
        <f t="shared" si="123"/>
        <v>0</v>
      </c>
      <c r="CA245" s="136">
        <f t="shared" si="124"/>
        <v>0</v>
      </c>
      <c r="CB245" s="136">
        <f t="shared" si="125"/>
        <v>0</v>
      </c>
      <c r="CC245" s="136" t="str">
        <f t="shared" si="126"/>
        <v/>
      </c>
      <c r="CD245" s="136">
        <f t="shared" si="127"/>
        <v>226</v>
      </c>
      <c r="CE245" s="136">
        <f t="shared" si="128"/>
        <v>226</v>
      </c>
      <c r="CF245" s="136" t="str">
        <f t="shared" si="129"/>
        <v/>
      </c>
      <c r="CG245" s="25"/>
      <c r="CH245" s="25"/>
      <c r="CI245" s="25"/>
      <c r="CJ245" s="25"/>
      <c r="CK245" s="25"/>
      <c r="CL245" s="25"/>
    </row>
    <row r="246" spans="53:90" x14ac:dyDescent="0.25">
      <c r="BA246" s="138"/>
      <c r="BB246" s="154" t="str">
        <f t="shared" si="99"/>
        <v>12.2 Railway Crossing Accidents</v>
      </c>
      <c r="BC246" s="136">
        <f t="shared" si="100"/>
        <v>0</v>
      </c>
      <c r="BD246" s="136">
        <f t="shared" si="101"/>
        <v>0</v>
      </c>
      <c r="BE246" s="136">
        <f t="shared" si="102"/>
        <v>0</v>
      </c>
      <c r="BF246" s="136">
        <f t="shared" si="103"/>
        <v>0</v>
      </c>
      <c r="BG246" s="136">
        <f t="shared" si="104"/>
        <v>0</v>
      </c>
      <c r="BH246" s="136">
        <f t="shared" si="105"/>
        <v>0</v>
      </c>
      <c r="BI246" s="136">
        <f t="shared" si="106"/>
        <v>0</v>
      </c>
      <c r="BJ246" s="136">
        <f t="shared" si="107"/>
        <v>0</v>
      </c>
      <c r="BK246" s="136" t="str">
        <f t="shared" si="108"/>
        <v/>
      </c>
      <c r="BL246" s="136">
        <f t="shared" si="109"/>
        <v>0</v>
      </c>
      <c r="BM246" s="136">
        <f t="shared" si="110"/>
        <v>0</v>
      </c>
      <c r="BN246" s="136">
        <f t="shared" si="111"/>
        <v>0</v>
      </c>
      <c r="BO246" s="136">
        <f t="shared" si="112"/>
        <v>0</v>
      </c>
      <c r="BP246" s="136">
        <f t="shared" si="113"/>
        <v>0</v>
      </c>
      <c r="BQ246" s="136">
        <f t="shared" si="114"/>
        <v>0</v>
      </c>
      <c r="BR246" s="136">
        <f t="shared" si="115"/>
        <v>0</v>
      </c>
      <c r="BS246" s="136">
        <f t="shared" si="116"/>
        <v>0</v>
      </c>
      <c r="BT246" s="136" t="str">
        <f t="shared" si="117"/>
        <v/>
      </c>
      <c r="BU246" s="136">
        <f t="shared" si="118"/>
        <v>0</v>
      </c>
      <c r="BV246" s="136">
        <f t="shared" si="119"/>
        <v>0</v>
      </c>
      <c r="BW246" s="136">
        <f t="shared" si="120"/>
        <v>0</v>
      </c>
      <c r="BX246" s="136">
        <f t="shared" si="121"/>
        <v>0</v>
      </c>
      <c r="BY246" s="136">
        <f t="shared" si="122"/>
        <v>0</v>
      </c>
      <c r="BZ246" s="136">
        <f t="shared" si="123"/>
        <v>0</v>
      </c>
      <c r="CA246" s="136">
        <f t="shared" si="124"/>
        <v>0</v>
      </c>
      <c r="CB246" s="136">
        <f t="shared" si="125"/>
        <v>0</v>
      </c>
      <c r="CC246" s="136" t="str">
        <f t="shared" si="126"/>
        <v/>
      </c>
      <c r="CD246" s="136">
        <f t="shared" si="127"/>
        <v>0</v>
      </c>
      <c r="CE246" s="136">
        <f t="shared" si="128"/>
        <v>0</v>
      </c>
      <c r="CF246" s="136" t="str">
        <f t="shared" si="129"/>
        <v/>
      </c>
      <c r="CG246" s="25"/>
      <c r="CH246" s="25"/>
      <c r="CI246" s="25"/>
      <c r="CJ246" s="25"/>
      <c r="CK246" s="25"/>
      <c r="CL246" s="25"/>
    </row>
    <row r="247" spans="53:90" x14ac:dyDescent="0.25">
      <c r="BA247" s="138"/>
      <c r="BB247" s="154" t="str">
        <f t="shared" si="99"/>
        <v xml:space="preserve">12.3 Railway Accidents </v>
      </c>
      <c r="BC247" s="136">
        <f t="shared" si="100"/>
        <v>0</v>
      </c>
      <c r="BD247" s="136">
        <f t="shared" si="101"/>
        <v>0</v>
      </c>
      <c r="BE247" s="136">
        <f t="shared" si="102"/>
        <v>15</v>
      </c>
      <c r="BF247" s="136">
        <f t="shared" si="103"/>
        <v>19</v>
      </c>
      <c r="BG247" s="136">
        <f t="shared" si="104"/>
        <v>9</v>
      </c>
      <c r="BH247" s="136">
        <f t="shared" si="105"/>
        <v>2</v>
      </c>
      <c r="BI247" s="136">
        <f t="shared" si="106"/>
        <v>45</v>
      </c>
      <c r="BJ247" s="136">
        <f t="shared" si="107"/>
        <v>45</v>
      </c>
      <c r="BK247" s="136" t="str">
        <f t="shared" si="108"/>
        <v/>
      </c>
      <c r="BL247" s="136">
        <f t="shared" si="109"/>
        <v>0</v>
      </c>
      <c r="BM247" s="136">
        <f t="shared" si="110"/>
        <v>0</v>
      </c>
      <c r="BN247" s="136">
        <f t="shared" si="111"/>
        <v>1</v>
      </c>
      <c r="BO247" s="136">
        <f t="shared" si="112"/>
        <v>1</v>
      </c>
      <c r="BP247" s="136">
        <f t="shared" si="113"/>
        <v>1</v>
      </c>
      <c r="BQ247" s="136">
        <f t="shared" si="114"/>
        <v>1</v>
      </c>
      <c r="BR247" s="136">
        <f t="shared" si="115"/>
        <v>4</v>
      </c>
      <c r="BS247" s="136">
        <f t="shared" si="116"/>
        <v>4</v>
      </c>
      <c r="BT247" s="136" t="str">
        <f t="shared" si="117"/>
        <v/>
      </c>
      <c r="BU247" s="136">
        <f t="shared" si="118"/>
        <v>0</v>
      </c>
      <c r="BV247" s="136">
        <f t="shared" si="119"/>
        <v>0</v>
      </c>
      <c r="BW247" s="136">
        <f t="shared" si="120"/>
        <v>0</v>
      </c>
      <c r="BX247" s="136">
        <f t="shared" si="121"/>
        <v>0</v>
      </c>
      <c r="BY247" s="136">
        <f t="shared" si="122"/>
        <v>0</v>
      </c>
      <c r="BZ247" s="136">
        <f t="shared" si="123"/>
        <v>0</v>
      </c>
      <c r="CA247" s="136">
        <f t="shared" si="124"/>
        <v>0</v>
      </c>
      <c r="CB247" s="136">
        <f t="shared" si="125"/>
        <v>0</v>
      </c>
      <c r="CC247" s="136" t="str">
        <f t="shared" si="126"/>
        <v/>
      </c>
      <c r="CD247" s="136">
        <f t="shared" si="127"/>
        <v>49</v>
      </c>
      <c r="CE247" s="136">
        <f t="shared" si="128"/>
        <v>49</v>
      </c>
      <c r="CF247" s="136" t="str">
        <f t="shared" si="129"/>
        <v/>
      </c>
      <c r="CG247" s="25"/>
      <c r="CH247" s="25"/>
      <c r="CI247" s="25"/>
      <c r="CJ247" s="25"/>
      <c r="CK247" s="25"/>
      <c r="CL247" s="25"/>
    </row>
    <row r="248" spans="53:90" x14ac:dyDescent="0.25">
      <c r="BA248" s="138">
        <f t="shared" si="66"/>
        <v>13</v>
      </c>
      <c r="BB248" s="136" t="str">
        <f t="shared" si="99"/>
        <v>Stampede</v>
      </c>
      <c r="BC248" s="136">
        <f t="shared" si="100"/>
        <v>0</v>
      </c>
      <c r="BD248" s="136">
        <f t="shared" si="101"/>
        <v>0</v>
      </c>
      <c r="BE248" s="136">
        <f t="shared" si="102"/>
        <v>0</v>
      </c>
      <c r="BF248" s="136">
        <f t="shared" si="103"/>
        <v>0</v>
      </c>
      <c r="BG248" s="136">
        <f t="shared" si="104"/>
        <v>0</v>
      </c>
      <c r="BH248" s="136">
        <f t="shared" si="105"/>
        <v>0</v>
      </c>
      <c r="BI248" s="136">
        <f t="shared" si="106"/>
        <v>0</v>
      </c>
      <c r="BJ248" s="136">
        <f t="shared" si="107"/>
        <v>0</v>
      </c>
      <c r="BK248" s="136" t="str">
        <f t="shared" si="108"/>
        <v/>
      </c>
      <c r="BL248" s="136">
        <f t="shared" si="109"/>
        <v>0</v>
      </c>
      <c r="BM248" s="136">
        <f t="shared" si="110"/>
        <v>0</v>
      </c>
      <c r="BN248" s="136">
        <f t="shared" si="111"/>
        <v>0</v>
      </c>
      <c r="BO248" s="136">
        <f t="shared" si="112"/>
        <v>0</v>
      </c>
      <c r="BP248" s="136">
        <f t="shared" si="113"/>
        <v>0</v>
      </c>
      <c r="BQ248" s="136">
        <f t="shared" si="114"/>
        <v>0</v>
      </c>
      <c r="BR248" s="136">
        <f t="shared" si="115"/>
        <v>0</v>
      </c>
      <c r="BS248" s="136">
        <f t="shared" si="116"/>
        <v>0</v>
      </c>
      <c r="BT248" s="136" t="str">
        <f t="shared" si="117"/>
        <v/>
      </c>
      <c r="BU248" s="136">
        <f t="shared" si="118"/>
        <v>0</v>
      </c>
      <c r="BV248" s="136">
        <f t="shared" si="119"/>
        <v>0</v>
      </c>
      <c r="BW248" s="136">
        <f t="shared" si="120"/>
        <v>0</v>
      </c>
      <c r="BX248" s="136">
        <f t="shared" si="121"/>
        <v>0</v>
      </c>
      <c r="BY248" s="136">
        <f t="shared" si="122"/>
        <v>0</v>
      </c>
      <c r="BZ248" s="136">
        <f t="shared" si="123"/>
        <v>0</v>
      </c>
      <c r="CA248" s="136">
        <f t="shared" si="124"/>
        <v>0</v>
      </c>
      <c r="CB248" s="136">
        <f t="shared" si="125"/>
        <v>0</v>
      </c>
      <c r="CC248" s="136" t="str">
        <f t="shared" si="126"/>
        <v/>
      </c>
      <c r="CD248" s="136">
        <f t="shared" si="127"/>
        <v>0</v>
      </c>
      <c r="CE248" s="136">
        <f t="shared" si="128"/>
        <v>0</v>
      </c>
      <c r="CF248" s="136" t="str">
        <f t="shared" si="129"/>
        <v/>
      </c>
      <c r="CG248" s="25"/>
      <c r="CH248" s="25"/>
      <c r="CI248" s="25"/>
      <c r="CJ248" s="25"/>
      <c r="CK248" s="25"/>
      <c r="CL248" s="25"/>
    </row>
    <row r="249" spans="53:90" x14ac:dyDescent="0.25">
      <c r="BA249" s="138">
        <f t="shared" si="66"/>
        <v>14</v>
      </c>
      <c r="BB249" s="136" t="str">
        <f t="shared" si="99"/>
        <v>Other Unnatural Causes</v>
      </c>
      <c r="BC249" s="136">
        <f t="shared" si="100"/>
        <v>0</v>
      </c>
      <c r="BD249" s="136">
        <f t="shared" si="101"/>
        <v>0</v>
      </c>
      <c r="BE249" s="136">
        <f t="shared" si="102"/>
        <v>1</v>
      </c>
      <c r="BF249" s="136">
        <f t="shared" si="103"/>
        <v>0</v>
      </c>
      <c r="BG249" s="136">
        <f t="shared" si="104"/>
        <v>4</v>
      </c>
      <c r="BH249" s="136">
        <f t="shared" si="105"/>
        <v>0</v>
      </c>
      <c r="BI249" s="136">
        <f t="shared" si="106"/>
        <v>5</v>
      </c>
      <c r="BJ249" s="136">
        <f t="shared" si="107"/>
        <v>5</v>
      </c>
      <c r="BK249" s="136" t="str">
        <f t="shared" si="108"/>
        <v/>
      </c>
      <c r="BL249" s="136">
        <f t="shared" si="109"/>
        <v>0</v>
      </c>
      <c r="BM249" s="136">
        <f t="shared" si="110"/>
        <v>0</v>
      </c>
      <c r="BN249" s="136">
        <f t="shared" si="111"/>
        <v>1</v>
      </c>
      <c r="BO249" s="136">
        <f t="shared" si="112"/>
        <v>3</v>
      </c>
      <c r="BP249" s="136">
        <f t="shared" si="113"/>
        <v>1</v>
      </c>
      <c r="BQ249" s="136">
        <f t="shared" si="114"/>
        <v>0</v>
      </c>
      <c r="BR249" s="136">
        <f t="shared" si="115"/>
        <v>5</v>
      </c>
      <c r="BS249" s="136">
        <f t="shared" si="116"/>
        <v>5</v>
      </c>
      <c r="BT249" s="136" t="str">
        <f t="shared" si="117"/>
        <v/>
      </c>
      <c r="BU249" s="136">
        <f t="shared" si="118"/>
        <v>0</v>
      </c>
      <c r="BV249" s="136">
        <f t="shared" si="119"/>
        <v>0</v>
      </c>
      <c r="BW249" s="136">
        <f t="shared" si="120"/>
        <v>0</v>
      </c>
      <c r="BX249" s="136">
        <f t="shared" si="121"/>
        <v>0</v>
      </c>
      <c r="BY249" s="136">
        <f t="shared" si="122"/>
        <v>0</v>
      </c>
      <c r="BZ249" s="136">
        <f t="shared" si="123"/>
        <v>0</v>
      </c>
      <c r="CA249" s="136">
        <f t="shared" si="124"/>
        <v>0</v>
      </c>
      <c r="CB249" s="136">
        <f t="shared" si="125"/>
        <v>0</v>
      </c>
      <c r="CC249" s="136" t="str">
        <f t="shared" si="126"/>
        <v/>
      </c>
      <c r="CD249" s="136">
        <f t="shared" si="127"/>
        <v>10</v>
      </c>
      <c r="CE249" s="136">
        <f t="shared" si="128"/>
        <v>10</v>
      </c>
      <c r="CF249" s="136" t="str">
        <f t="shared" si="129"/>
        <v/>
      </c>
      <c r="CG249" s="25"/>
      <c r="CH249" s="25"/>
      <c r="CI249" s="25"/>
      <c r="CJ249" s="25"/>
      <c r="CK249" s="25"/>
      <c r="CL249" s="25"/>
    </row>
    <row r="250" spans="53:90" x14ac:dyDescent="0.25">
      <c r="BA250" s="138">
        <f t="shared" si="66"/>
        <v>15</v>
      </c>
      <c r="BB250" s="136" t="str">
        <f t="shared" si="99"/>
        <v>Causes not known</v>
      </c>
      <c r="BC250" s="136">
        <f t="shared" si="100"/>
        <v>0</v>
      </c>
      <c r="BD250" s="136">
        <f t="shared" si="101"/>
        <v>0</v>
      </c>
      <c r="BE250" s="136">
        <f t="shared" si="102"/>
        <v>1</v>
      </c>
      <c r="BF250" s="136">
        <f t="shared" si="103"/>
        <v>8</v>
      </c>
      <c r="BG250" s="136">
        <f t="shared" si="104"/>
        <v>3</v>
      </c>
      <c r="BH250" s="136">
        <f t="shared" si="105"/>
        <v>1</v>
      </c>
      <c r="BI250" s="136">
        <f t="shared" si="106"/>
        <v>13</v>
      </c>
      <c r="BJ250" s="136">
        <f t="shared" si="107"/>
        <v>13</v>
      </c>
      <c r="BK250" s="136" t="str">
        <f t="shared" si="108"/>
        <v/>
      </c>
      <c r="BL250" s="136">
        <f t="shared" si="109"/>
        <v>0</v>
      </c>
      <c r="BM250" s="136">
        <f t="shared" si="110"/>
        <v>0</v>
      </c>
      <c r="BN250" s="136">
        <f t="shared" si="111"/>
        <v>1</v>
      </c>
      <c r="BO250" s="136">
        <f t="shared" si="112"/>
        <v>2</v>
      </c>
      <c r="BP250" s="136">
        <f t="shared" si="113"/>
        <v>0</v>
      </c>
      <c r="BQ250" s="136">
        <f t="shared" si="114"/>
        <v>0</v>
      </c>
      <c r="BR250" s="136">
        <f t="shared" si="115"/>
        <v>3</v>
      </c>
      <c r="BS250" s="136">
        <f t="shared" si="116"/>
        <v>3</v>
      </c>
      <c r="BT250" s="136" t="str">
        <f t="shared" si="117"/>
        <v/>
      </c>
      <c r="BU250" s="136">
        <f t="shared" si="118"/>
        <v>0</v>
      </c>
      <c r="BV250" s="136">
        <f t="shared" si="119"/>
        <v>0</v>
      </c>
      <c r="BW250" s="136">
        <f t="shared" si="120"/>
        <v>0</v>
      </c>
      <c r="BX250" s="136">
        <f t="shared" si="121"/>
        <v>0</v>
      </c>
      <c r="BY250" s="136">
        <f t="shared" si="122"/>
        <v>0</v>
      </c>
      <c r="BZ250" s="136">
        <f t="shared" si="123"/>
        <v>0</v>
      </c>
      <c r="CA250" s="136">
        <f t="shared" si="124"/>
        <v>0</v>
      </c>
      <c r="CB250" s="136">
        <f t="shared" si="125"/>
        <v>0</v>
      </c>
      <c r="CC250" s="136" t="str">
        <f t="shared" si="126"/>
        <v/>
      </c>
      <c r="CD250" s="136">
        <f t="shared" si="127"/>
        <v>16</v>
      </c>
      <c r="CE250" s="136">
        <f t="shared" si="128"/>
        <v>16</v>
      </c>
      <c r="CF250" s="136" t="str">
        <f t="shared" si="129"/>
        <v/>
      </c>
      <c r="CG250" s="25"/>
      <c r="CH250" s="25"/>
      <c r="CI250" s="25"/>
      <c r="CJ250" s="25"/>
      <c r="CK250" s="25"/>
      <c r="CL250" s="25"/>
    </row>
    <row r="251" spans="53:90" x14ac:dyDescent="0.25">
      <c r="BA251" s="138">
        <f t="shared" si="66"/>
        <v>16</v>
      </c>
      <c r="BB251" s="136" t="str">
        <f t="shared" si="99"/>
        <v>Total (sum of Sl. 1 to 15)</v>
      </c>
      <c r="BC251" s="136">
        <f t="shared" si="100"/>
        <v>3</v>
      </c>
      <c r="BD251" s="136">
        <f t="shared" si="101"/>
        <v>6</v>
      </c>
      <c r="BE251" s="136">
        <f t="shared" si="102"/>
        <v>152</v>
      </c>
      <c r="BF251" s="136">
        <f t="shared" si="103"/>
        <v>155</v>
      </c>
      <c r="BG251" s="136">
        <f t="shared" si="104"/>
        <v>103</v>
      </c>
      <c r="BH251" s="136">
        <f t="shared" si="105"/>
        <v>70</v>
      </c>
      <c r="BI251" s="136">
        <f t="shared" si="106"/>
        <v>489</v>
      </c>
      <c r="BJ251" s="136">
        <f t="shared" si="107"/>
        <v>489</v>
      </c>
      <c r="BK251" s="136" t="str">
        <f t="shared" si="108"/>
        <v/>
      </c>
      <c r="BL251" s="136">
        <f t="shared" si="109"/>
        <v>2</v>
      </c>
      <c r="BM251" s="136">
        <f t="shared" si="110"/>
        <v>2</v>
      </c>
      <c r="BN251" s="136">
        <f t="shared" si="111"/>
        <v>14</v>
      </c>
      <c r="BO251" s="136">
        <f t="shared" si="112"/>
        <v>18</v>
      </c>
      <c r="BP251" s="136">
        <f t="shared" si="113"/>
        <v>15</v>
      </c>
      <c r="BQ251" s="136">
        <f t="shared" si="114"/>
        <v>22</v>
      </c>
      <c r="BR251" s="136">
        <f t="shared" si="115"/>
        <v>73</v>
      </c>
      <c r="BS251" s="136">
        <f t="shared" si="116"/>
        <v>73</v>
      </c>
      <c r="BT251" s="136" t="str">
        <f t="shared" si="117"/>
        <v/>
      </c>
      <c r="BU251" s="136">
        <f t="shared" si="118"/>
        <v>0</v>
      </c>
      <c r="BV251" s="136">
        <f t="shared" si="119"/>
        <v>0</v>
      </c>
      <c r="BW251" s="136">
        <f t="shared" si="120"/>
        <v>0</v>
      </c>
      <c r="BX251" s="136">
        <f t="shared" si="121"/>
        <v>0</v>
      </c>
      <c r="BY251" s="136">
        <f t="shared" si="122"/>
        <v>0</v>
      </c>
      <c r="BZ251" s="136">
        <f t="shared" si="123"/>
        <v>0</v>
      </c>
      <c r="CA251" s="136">
        <f t="shared" si="124"/>
        <v>0</v>
      </c>
      <c r="CB251" s="136">
        <f t="shared" si="125"/>
        <v>0</v>
      </c>
      <c r="CC251" s="136" t="str">
        <f t="shared" si="126"/>
        <v/>
      </c>
      <c r="CD251" s="136">
        <f t="shared" si="127"/>
        <v>562</v>
      </c>
      <c r="CE251" s="136">
        <f t="shared" si="128"/>
        <v>562</v>
      </c>
      <c r="CF251" s="136" t="str">
        <f t="shared" si="129"/>
        <v/>
      </c>
      <c r="CG251" s="25"/>
      <c r="CH251" s="25"/>
      <c r="CI251" s="25"/>
      <c r="CJ251" s="25"/>
      <c r="CK251" s="25"/>
      <c r="CL251" s="25"/>
    </row>
    <row r="252" spans="53:90" ht="24.95" customHeight="1" x14ac:dyDescent="0.25">
      <c r="BA252" s="618" t="str">
        <f>A53</f>
        <v>SL-12.1.1 ABNORMAL VARIATION IN "ROAD RAGE INCIDENTS" DATA</v>
      </c>
      <c r="BB252" s="618"/>
      <c r="BC252" s="473" t="str">
        <f>D53</f>
        <v/>
      </c>
      <c r="BD252" s="473" t="str">
        <f t="shared" si="101"/>
        <v/>
      </c>
      <c r="BE252" s="473" t="str">
        <f t="shared" si="102"/>
        <v/>
      </c>
      <c r="BF252" s="473" t="str">
        <f t="shared" si="103"/>
        <v/>
      </c>
      <c r="BG252" s="473" t="str">
        <f t="shared" si="104"/>
        <v/>
      </c>
      <c r="BH252" s="473" t="str">
        <f t="shared" si="105"/>
        <v/>
      </c>
      <c r="BI252" s="473" t="str">
        <f t="shared" si="106"/>
        <v/>
      </c>
      <c r="BJ252" s="473" t="str">
        <f t="shared" si="107"/>
        <v/>
      </c>
      <c r="BK252" s="473"/>
      <c r="BL252" s="473" t="str">
        <f t="shared" si="109"/>
        <v/>
      </c>
      <c r="BM252" s="473" t="str">
        <f t="shared" si="110"/>
        <v/>
      </c>
      <c r="BN252" s="473" t="str">
        <f t="shared" si="111"/>
        <v/>
      </c>
      <c r="BO252" s="473" t="str">
        <f t="shared" si="112"/>
        <v/>
      </c>
      <c r="BP252" s="473" t="str">
        <f t="shared" si="113"/>
        <v/>
      </c>
      <c r="BQ252" s="473" t="str">
        <f t="shared" si="114"/>
        <v/>
      </c>
      <c r="BR252" s="473" t="str">
        <f t="shared" si="115"/>
        <v/>
      </c>
      <c r="BS252" s="473" t="str">
        <f t="shared" si="116"/>
        <v/>
      </c>
      <c r="BT252" s="473"/>
      <c r="BU252" s="473" t="str">
        <f t="shared" si="118"/>
        <v/>
      </c>
      <c r="BV252" s="473" t="str">
        <f t="shared" si="119"/>
        <v/>
      </c>
      <c r="BW252" s="473" t="str">
        <f t="shared" si="120"/>
        <v/>
      </c>
      <c r="BX252" s="473" t="str">
        <f t="shared" si="121"/>
        <v/>
      </c>
      <c r="BY252" s="473" t="str">
        <f t="shared" si="122"/>
        <v/>
      </c>
      <c r="BZ252" s="473" t="str">
        <f t="shared" si="123"/>
        <v/>
      </c>
      <c r="CA252" s="473" t="str">
        <f t="shared" si="124"/>
        <v/>
      </c>
      <c r="CB252" s="473" t="str">
        <f t="shared" si="125"/>
        <v/>
      </c>
      <c r="CC252" s="473"/>
      <c r="CD252" s="473" t="str">
        <f t="shared" si="127"/>
        <v/>
      </c>
      <c r="CE252" s="473" t="str">
        <f t="shared" si="128"/>
        <v/>
      </c>
      <c r="CF252" s="136"/>
      <c r="CG252" s="25"/>
      <c r="CH252" s="25"/>
      <c r="CI252" s="25"/>
      <c r="CJ252" s="25"/>
      <c r="CK252" s="25"/>
      <c r="CL252" s="25"/>
    </row>
    <row r="253" spans="53:90" ht="24.95" customHeight="1" x14ac:dyDescent="0.25">
      <c r="BA253" s="618" t="str">
        <f t="shared" ref="BA253:BA254" si="130">A54</f>
        <v>SL-14 ABNORMAL VARIATION IN "OTHER UNNATURAL CAUSES" DATA</v>
      </c>
      <c r="BB253" s="618"/>
      <c r="BC253" s="473" t="str">
        <f t="shared" ref="BC253:BC254" si="131">D54</f>
        <v/>
      </c>
      <c r="BD253" s="473" t="str">
        <f t="shared" si="101"/>
        <v/>
      </c>
      <c r="BE253" s="473" t="str">
        <f t="shared" si="102"/>
        <v/>
      </c>
      <c r="BF253" s="473" t="str">
        <f t="shared" si="103"/>
        <v/>
      </c>
      <c r="BG253" s="473" t="str">
        <f t="shared" si="104"/>
        <v/>
      </c>
      <c r="BH253" s="473" t="str">
        <f t="shared" si="105"/>
        <v/>
      </c>
      <c r="BI253" s="473" t="str">
        <f t="shared" si="106"/>
        <v/>
      </c>
      <c r="BJ253" s="473" t="str">
        <f t="shared" si="107"/>
        <v/>
      </c>
      <c r="BK253" s="473"/>
      <c r="BL253" s="473" t="str">
        <f t="shared" si="109"/>
        <v/>
      </c>
      <c r="BM253" s="473" t="str">
        <f t="shared" si="110"/>
        <v/>
      </c>
      <c r="BN253" s="473" t="str">
        <f t="shared" si="111"/>
        <v/>
      </c>
      <c r="BO253" s="473" t="str">
        <f t="shared" si="112"/>
        <v/>
      </c>
      <c r="BP253" s="473" t="str">
        <f t="shared" si="113"/>
        <v/>
      </c>
      <c r="BQ253" s="473" t="str">
        <f t="shared" si="114"/>
        <v/>
      </c>
      <c r="BR253" s="473" t="str">
        <f t="shared" si="115"/>
        <v/>
      </c>
      <c r="BS253" s="473" t="str">
        <f t="shared" si="116"/>
        <v/>
      </c>
      <c r="BT253" s="473"/>
      <c r="BU253" s="473" t="str">
        <f t="shared" si="118"/>
        <v/>
      </c>
      <c r="BV253" s="473" t="str">
        <f t="shared" si="119"/>
        <v/>
      </c>
      <c r="BW253" s="473" t="str">
        <f t="shared" si="120"/>
        <v/>
      </c>
      <c r="BX253" s="473" t="str">
        <f t="shared" si="121"/>
        <v/>
      </c>
      <c r="BY253" s="473" t="str">
        <f t="shared" si="122"/>
        <v/>
      </c>
      <c r="BZ253" s="473" t="str">
        <f t="shared" si="123"/>
        <v/>
      </c>
      <c r="CA253" s="473" t="str">
        <f t="shared" si="124"/>
        <v/>
      </c>
      <c r="CB253" s="473" t="str">
        <f t="shared" si="125"/>
        <v/>
      </c>
      <c r="CC253" s="473"/>
      <c r="CD253" s="473" t="str">
        <f t="shared" ref="CD253:CD254" si="132">AE54</f>
        <v/>
      </c>
      <c r="CE253" s="473" t="str">
        <f t="shared" si="128"/>
        <v/>
      </c>
      <c r="CF253" s="136"/>
      <c r="CG253" s="25"/>
      <c r="CH253" s="25"/>
      <c r="CI253" s="25"/>
      <c r="CJ253" s="25"/>
      <c r="CK253" s="25"/>
      <c r="CL253" s="25"/>
    </row>
    <row r="254" spans="53:90" ht="24.95" customHeight="1" x14ac:dyDescent="0.25">
      <c r="BA254" s="618" t="str">
        <f t="shared" si="130"/>
        <v>SL-15 ABNORMAL VARIATION IN "CAUSES NOT KNOWN" DATA</v>
      </c>
      <c r="BB254" s="618"/>
      <c r="BC254" s="473" t="str">
        <f t="shared" si="131"/>
        <v/>
      </c>
      <c r="BD254" s="473" t="str">
        <f t="shared" si="101"/>
        <v/>
      </c>
      <c r="BE254" s="473" t="str">
        <f t="shared" si="102"/>
        <v/>
      </c>
      <c r="BF254" s="473" t="str">
        <f t="shared" si="103"/>
        <v/>
      </c>
      <c r="BG254" s="473" t="str">
        <f t="shared" si="104"/>
        <v/>
      </c>
      <c r="BH254" s="473" t="str">
        <f t="shared" si="105"/>
        <v/>
      </c>
      <c r="BI254" s="473" t="str">
        <f t="shared" si="106"/>
        <v/>
      </c>
      <c r="BJ254" s="473" t="str">
        <f t="shared" si="107"/>
        <v/>
      </c>
      <c r="BK254" s="473"/>
      <c r="BL254" s="473" t="str">
        <f t="shared" si="109"/>
        <v/>
      </c>
      <c r="BM254" s="473" t="str">
        <f t="shared" si="110"/>
        <v/>
      </c>
      <c r="BN254" s="473" t="str">
        <f t="shared" si="111"/>
        <v/>
      </c>
      <c r="BO254" s="473" t="str">
        <f t="shared" si="112"/>
        <v/>
      </c>
      <c r="BP254" s="473" t="str">
        <f t="shared" si="113"/>
        <v/>
      </c>
      <c r="BQ254" s="473" t="str">
        <f t="shared" si="114"/>
        <v/>
      </c>
      <c r="BR254" s="473" t="str">
        <f t="shared" si="115"/>
        <v/>
      </c>
      <c r="BS254" s="473" t="str">
        <f t="shared" si="116"/>
        <v/>
      </c>
      <c r="BT254" s="473"/>
      <c r="BU254" s="473" t="str">
        <f t="shared" si="118"/>
        <v/>
      </c>
      <c r="BV254" s="473" t="str">
        <f t="shared" si="119"/>
        <v/>
      </c>
      <c r="BW254" s="473" t="str">
        <f t="shared" si="120"/>
        <v/>
      </c>
      <c r="BX254" s="473" t="str">
        <f t="shared" si="121"/>
        <v/>
      </c>
      <c r="BY254" s="473" t="str">
        <f t="shared" si="122"/>
        <v/>
      </c>
      <c r="BZ254" s="473" t="str">
        <f t="shared" si="123"/>
        <v/>
      </c>
      <c r="CA254" s="473" t="str">
        <f t="shared" si="124"/>
        <v/>
      </c>
      <c r="CB254" s="473" t="str">
        <f t="shared" si="125"/>
        <v/>
      </c>
      <c r="CC254" s="473"/>
      <c r="CD254" s="473" t="str">
        <f t="shared" si="132"/>
        <v/>
      </c>
      <c r="CE254" s="473" t="str">
        <f t="shared" si="128"/>
        <v/>
      </c>
      <c r="CF254" s="136"/>
      <c r="CG254" s="25"/>
      <c r="CH254" s="25"/>
      <c r="CI254" s="25"/>
      <c r="CJ254" s="25"/>
      <c r="CK254" s="25"/>
      <c r="CL254" s="25"/>
    </row>
    <row r="255" spans="53:90" x14ac:dyDescent="0.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c r="CF255" s="25"/>
      <c r="CG255" s="25"/>
      <c r="CH255" s="25"/>
      <c r="CI255" s="25"/>
      <c r="CJ255" s="25"/>
      <c r="CK255" s="25"/>
      <c r="CL255" s="25"/>
    </row>
    <row r="500" spans="1:26" x14ac:dyDescent="0.25">
      <c r="A500" s="189" t="s">
        <v>450</v>
      </c>
      <c r="B500" s="189" t="s">
        <v>451</v>
      </c>
      <c r="C500" s="189" t="s">
        <v>452</v>
      </c>
      <c r="D500" s="189" t="s">
        <v>453</v>
      </c>
      <c r="E500" s="189" t="s">
        <v>1365</v>
      </c>
      <c r="F500" s="189" t="s">
        <v>454</v>
      </c>
      <c r="G500" s="189" t="s">
        <v>455</v>
      </c>
      <c r="H500" s="189" t="s">
        <v>456</v>
      </c>
      <c r="I500" s="189" t="s">
        <v>457</v>
      </c>
      <c r="J500" s="189" t="s">
        <v>458</v>
      </c>
      <c r="K500" s="189" t="s">
        <v>459</v>
      </c>
      <c r="L500" s="189" t="s">
        <v>1366</v>
      </c>
      <c r="M500" s="189" t="s">
        <v>460</v>
      </c>
      <c r="N500" s="189" t="s">
        <v>461</v>
      </c>
      <c r="O500" s="189" t="s">
        <v>462</v>
      </c>
      <c r="P500" s="189" t="s">
        <v>463</v>
      </c>
      <c r="Q500" s="189" t="s">
        <v>464</v>
      </c>
      <c r="R500" s="189" t="s">
        <v>465</v>
      </c>
      <c r="S500" s="189" t="s">
        <v>1367</v>
      </c>
      <c r="T500" s="189" t="s">
        <v>466</v>
      </c>
      <c r="U500" s="189" t="s">
        <v>467</v>
      </c>
      <c r="V500" s="189" t="s">
        <v>468</v>
      </c>
      <c r="W500" s="189" t="s">
        <v>469</v>
      </c>
      <c r="X500" s="189" t="s">
        <v>470</v>
      </c>
      <c r="Y500" s="189" t="s">
        <v>471</v>
      </c>
      <c r="Z500" s="189" t="s">
        <v>150</v>
      </c>
    </row>
    <row r="501" spans="1:26" x14ac:dyDescent="0.25">
      <c r="A501" s="348">
        <f>IF(ADSI!$G$12="",ADSI!$H$16,ADSI!$H$12)</f>
        <v>6</v>
      </c>
      <c r="B501" s="348" t="str">
        <f ca="1">IF(ADSI!$G$12="",ADSI!$H$16,ADSI!$H$14)</f>
        <v/>
      </c>
      <c r="C501" s="388">
        <f>A9</f>
        <v>200</v>
      </c>
      <c r="D501" s="348">
        <f>ADSI!$K$12</f>
        <v>2021</v>
      </c>
      <c r="E501" s="346">
        <f>D9</f>
        <v>0</v>
      </c>
      <c r="F501" s="346">
        <f t="shared" ref="F501:K501" si="133">E9</f>
        <v>0</v>
      </c>
      <c r="G501" s="346">
        <f t="shared" si="133"/>
        <v>0</v>
      </c>
      <c r="H501" s="346">
        <f t="shared" si="133"/>
        <v>0</v>
      </c>
      <c r="I501" s="346">
        <f t="shared" si="133"/>
        <v>0</v>
      </c>
      <c r="J501" s="346">
        <f t="shared" si="133"/>
        <v>0</v>
      </c>
      <c r="K501" s="346">
        <f t="shared" si="133"/>
        <v>0</v>
      </c>
      <c r="L501" s="346">
        <f>M9</f>
        <v>0</v>
      </c>
      <c r="M501" s="346">
        <f t="shared" ref="M501:R501" si="134">N9</f>
        <v>0</v>
      </c>
      <c r="N501" s="346">
        <f t="shared" si="134"/>
        <v>0</v>
      </c>
      <c r="O501" s="346">
        <f t="shared" si="134"/>
        <v>0</v>
      </c>
      <c r="P501" s="346">
        <f t="shared" si="134"/>
        <v>0</v>
      </c>
      <c r="Q501" s="346">
        <f t="shared" si="134"/>
        <v>0</v>
      </c>
      <c r="R501" s="346">
        <f t="shared" si="134"/>
        <v>0</v>
      </c>
      <c r="S501" s="346">
        <f>V9</f>
        <v>0</v>
      </c>
      <c r="T501" s="346">
        <f t="shared" ref="T501:Y501" si="135">W9</f>
        <v>0</v>
      </c>
      <c r="U501" s="346">
        <f t="shared" si="135"/>
        <v>0</v>
      </c>
      <c r="V501" s="346">
        <f t="shared" si="135"/>
        <v>0</v>
      </c>
      <c r="W501" s="346">
        <f t="shared" si="135"/>
        <v>0</v>
      </c>
      <c r="X501" s="346">
        <f t="shared" si="135"/>
        <v>0</v>
      </c>
      <c r="Y501" s="346">
        <f t="shared" si="135"/>
        <v>0</v>
      </c>
      <c r="Z501" s="346">
        <f>AE9</f>
        <v>0</v>
      </c>
    </row>
    <row r="502" spans="1:26" x14ac:dyDescent="0.25">
      <c r="A502" s="348">
        <f>IF(ADSI!$G$12="",ADSI!$H$16,ADSI!$H$12)</f>
        <v>6</v>
      </c>
      <c r="B502" s="348" t="str">
        <f ca="1">IF(ADSI!$G$12="",ADSI!$H$16,ADSI!$H$14)</f>
        <v/>
      </c>
      <c r="C502" s="388">
        <f t="shared" ref="C502:C544" si="136">A10</f>
        <v>201</v>
      </c>
      <c r="D502" s="348">
        <f>ADSI!$K$12</f>
        <v>2021</v>
      </c>
      <c r="E502" s="346">
        <f t="shared" ref="E502:K502" si="137">D10</f>
        <v>0</v>
      </c>
      <c r="F502" s="346">
        <f t="shared" si="137"/>
        <v>0</v>
      </c>
      <c r="G502" s="346">
        <f t="shared" si="137"/>
        <v>0</v>
      </c>
      <c r="H502" s="346">
        <f t="shared" si="137"/>
        <v>0</v>
      </c>
      <c r="I502" s="346">
        <f t="shared" si="137"/>
        <v>0</v>
      </c>
      <c r="J502" s="346">
        <f t="shared" si="137"/>
        <v>0</v>
      </c>
      <c r="K502" s="346">
        <f t="shared" si="137"/>
        <v>0</v>
      </c>
      <c r="L502" s="346">
        <f t="shared" ref="L502:R502" si="138">M10</f>
        <v>0</v>
      </c>
      <c r="M502" s="346">
        <f t="shared" si="138"/>
        <v>0</v>
      </c>
      <c r="N502" s="346">
        <f t="shared" si="138"/>
        <v>0</v>
      </c>
      <c r="O502" s="346">
        <f t="shared" si="138"/>
        <v>0</v>
      </c>
      <c r="P502" s="346">
        <f t="shared" si="138"/>
        <v>0</v>
      </c>
      <c r="Q502" s="346">
        <f t="shared" si="138"/>
        <v>0</v>
      </c>
      <c r="R502" s="346">
        <f t="shared" si="138"/>
        <v>0</v>
      </c>
      <c r="S502" s="346">
        <f t="shared" ref="S502:S544" si="139">V10</f>
        <v>0</v>
      </c>
      <c r="T502" s="346">
        <f t="shared" ref="T502:T544" si="140">W10</f>
        <v>0</v>
      </c>
      <c r="U502" s="346">
        <f t="shared" ref="U502:U544" si="141">X10</f>
        <v>0</v>
      </c>
      <c r="V502" s="346">
        <f t="shared" ref="V502:V544" si="142">Y10</f>
        <v>0</v>
      </c>
      <c r="W502" s="346">
        <f t="shared" ref="W502:W544" si="143">Z10</f>
        <v>0</v>
      </c>
      <c r="X502" s="346">
        <f t="shared" ref="X502:X544" si="144">AA10</f>
        <v>0</v>
      </c>
      <c r="Y502" s="346">
        <f t="shared" ref="Y502:Y544" si="145">AB10</f>
        <v>0</v>
      </c>
      <c r="Z502" s="346">
        <f t="shared" ref="Z502:Z544" si="146">AE10</f>
        <v>0</v>
      </c>
    </row>
    <row r="503" spans="1:26" x14ac:dyDescent="0.25">
      <c r="A503" s="348">
        <f>IF(ADSI!$G$12="",ADSI!$H$16,ADSI!$H$12)</f>
        <v>6</v>
      </c>
      <c r="B503" s="348" t="str">
        <f ca="1">IF(ADSI!$G$12="",ADSI!$H$16,ADSI!$H$14)</f>
        <v/>
      </c>
      <c r="C503" s="388">
        <f t="shared" si="136"/>
        <v>202</v>
      </c>
      <c r="D503" s="348">
        <f>ADSI!$K$12</f>
        <v>2021</v>
      </c>
      <c r="E503" s="346">
        <f t="shared" ref="E503:K503" si="147">D11</f>
        <v>0</v>
      </c>
      <c r="F503" s="346">
        <f t="shared" si="147"/>
        <v>0</v>
      </c>
      <c r="G503" s="346">
        <f t="shared" si="147"/>
        <v>1</v>
      </c>
      <c r="H503" s="346">
        <f t="shared" si="147"/>
        <v>2</v>
      </c>
      <c r="I503" s="346">
        <f t="shared" si="147"/>
        <v>2</v>
      </c>
      <c r="J503" s="346">
        <f t="shared" si="147"/>
        <v>0</v>
      </c>
      <c r="K503" s="346">
        <f t="shared" si="147"/>
        <v>5</v>
      </c>
      <c r="L503" s="346">
        <f t="shared" ref="L503:R503" si="148">M11</f>
        <v>0</v>
      </c>
      <c r="M503" s="346">
        <f t="shared" si="148"/>
        <v>0</v>
      </c>
      <c r="N503" s="346">
        <f t="shared" si="148"/>
        <v>0</v>
      </c>
      <c r="O503" s="346">
        <f t="shared" si="148"/>
        <v>0</v>
      </c>
      <c r="P503" s="346">
        <f t="shared" si="148"/>
        <v>0</v>
      </c>
      <c r="Q503" s="346">
        <f t="shared" si="148"/>
        <v>0</v>
      </c>
      <c r="R503" s="346">
        <f t="shared" si="148"/>
        <v>0</v>
      </c>
      <c r="S503" s="346">
        <f t="shared" si="139"/>
        <v>0</v>
      </c>
      <c r="T503" s="346">
        <f t="shared" si="140"/>
        <v>0</v>
      </c>
      <c r="U503" s="346">
        <f t="shared" si="141"/>
        <v>0</v>
      </c>
      <c r="V503" s="346">
        <f t="shared" si="142"/>
        <v>0</v>
      </c>
      <c r="W503" s="346">
        <f t="shared" si="143"/>
        <v>0</v>
      </c>
      <c r="X503" s="346">
        <f t="shared" si="144"/>
        <v>0</v>
      </c>
      <c r="Y503" s="346">
        <f t="shared" si="145"/>
        <v>0</v>
      </c>
      <c r="Z503" s="346">
        <f t="shared" si="146"/>
        <v>5</v>
      </c>
    </row>
    <row r="504" spans="1:26" x14ac:dyDescent="0.25">
      <c r="A504" s="348">
        <f>IF(ADSI!$G$12="",ADSI!$H$16,ADSI!$H$12)</f>
        <v>6</v>
      </c>
      <c r="B504" s="348" t="str">
        <f ca="1">IF(ADSI!$G$12="",ADSI!$H$16,ADSI!$H$14)</f>
        <v/>
      </c>
      <c r="C504" s="388">
        <f t="shared" si="136"/>
        <v>203</v>
      </c>
      <c r="D504" s="348">
        <f>ADSI!$K$12</f>
        <v>2021</v>
      </c>
      <c r="E504" s="346">
        <f t="shared" ref="E504:K504" si="149">D12</f>
        <v>0</v>
      </c>
      <c r="F504" s="346">
        <f t="shared" si="149"/>
        <v>0</v>
      </c>
      <c r="G504" s="346">
        <f t="shared" si="149"/>
        <v>1</v>
      </c>
      <c r="H504" s="346">
        <f t="shared" si="149"/>
        <v>0</v>
      </c>
      <c r="I504" s="346">
        <f t="shared" si="149"/>
        <v>0</v>
      </c>
      <c r="J504" s="346">
        <f t="shared" si="149"/>
        <v>0</v>
      </c>
      <c r="K504" s="346">
        <f t="shared" si="149"/>
        <v>1</v>
      </c>
      <c r="L504" s="346">
        <f t="shared" ref="L504:R504" si="150">M12</f>
        <v>0</v>
      </c>
      <c r="M504" s="346">
        <f t="shared" si="150"/>
        <v>0</v>
      </c>
      <c r="N504" s="346">
        <f t="shared" si="150"/>
        <v>0</v>
      </c>
      <c r="O504" s="346">
        <f t="shared" si="150"/>
        <v>0</v>
      </c>
      <c r="P504" s="346">
        <f t="shared" si="150"/>
        <v>0</v>
      </c>
      <c r="Q504" s="346">
        <f t="shared" si="150"/>
        <v>0</v>
      </c>
      <c r="R504" s="346">
        <f t="shared" si="150"/>
        <v>0</v>
      </c>
      <c r="S504" s="346">
        <f t="shared" si="139"/>
        <v>0</v>
      </c>
      <c r="T504" s="346">
        <f t="shared" si="140"/>
        <v>0</v>
      </c>
      <c r="U504" s="346">
        <f t="shared" si="141"/>
        <v>0</v>
      </c>
      <c r="V504" s="346">
        <f t="shared" si="142"/>
        <v>0</v>
      </c>
      <c r="W504" s="346">
        <f t="shared" si="143"/>
        <v>0</v>
      </c>
      <c r="X504" s="346">
        <f t="shared" si="144"/>
        <v>0</v>
      </c>
      <c r="Y504" s="346">
        <f t="shared" si="145"/>
        <v>0</v>
      </c>
      <c r="Z504" s="346">
        <f t="shared" si="146"/>
        <v>1</v>
      </c>
    </row>
    <row r="505" spans="1:26" x14ac:dyDescent="0.25">
      <c r="A505" s="348">
        <f>IF(ADSI!$G$12="",ADSI!$H$16,ADSI!$H$12)</f>
        <v>6</v>
      </c>
      <c r="B505" s="348" t="str">
        <f ca="1">IF(ADSI!$G$12="",ADSI!$H$16,ADSI!$H$14)</f>
        <v/>
      </c>
      <c r="C505" s="388">
        <f t="shared" si="136"/>
        <v>204</v>
      </c>
      <c r="D505" s="348">
        <f>ADSI!$K$12</f>
        <v>2021</v>
      </c>
      <c r="E505" s="346">
        <f t="shared" ref="E505:K505" si="151">D13</f>
        <v>0</v>
      </c>
      <c r="F505" s="346">
        <f t="shared" si="151"/>
        <v>0</v>
      </c>
      <c r="G505" s="346">
        <f t="shared" si="151"/>
        <v>0</v>
      </c>
      <c r="H505" s="346">
        <f t="shared" si="151"/>
        <v>0</v>
      </c>
      <c r="I505" s="346">
        <f t="shared" si="151"/>
        <v>0</v>
      </c>
      <c r="J505" s="346">
        <f t="shared" si="151"/>
        <v>0</v>
      </c>
      <c r="K505" s="346">
        <f t="shared" si="151"/>
        <v>0</v>
      </c>
      <c r="L505" s="346">
        <f t="shared" ref="L505:R505" si="152">M13</f>
        <v>0</v>
      </c>
      <c r="M505" s="346">
        <f t="shared" si="152"/>
        <v>0</v>
      </c>
      <c r="N505" s="346">
        <f t="shared" si="152"/>
        <v>0</v>
      </c>
      <c r="O505" s="346">
        <f t="shared" si="152"/>
        <v>0</v>
      </c>
      <c r="P505" s="346">
        <f t="shared" si="152"/>
        <v>0</v>
      </c>
      <c r="Q505" s="346">
        <f t="shared" si="152"/>
        <v>0</v>
      </c>
      <c r="R505" s="346">
        <f t="shared" si="152"/>
        <v>0</v>
      </c>
      <c r="S505" s="346">
        <f t="shared" si="139"/>
        <v>0</v>
      </c>
      <c r="T505" s="346">
        <f t="shared" si="140"/>
        <v>0</v>
      </c>
      <c r="U505" s="346">
        <f t="shared" si="141"/>
        <v>0</v>
      </c>
      <c r="V505" s="346">
        <f t="shared" si="142"/>
        <v>0</v>
      </c>
      <c r="W505" s="346">
        <f t="shared" si="143"/>
        <v>0</v>
      </c>
      <c r="X505" s="346">
        <f t="shared" si="144"/>
        <v>0</v>
      </c>
      <c r="Y505" s="346">
        <f t="shared" si="145"/>
        <v>0</v>
      </c>
      <c r="Z505" s="346">
        <f t="shared" si="146"/>
        <v>0</v>
      </c>
    </row>
    <row r="506" spans="1:26" x14ac:dyDescent="0.25">
      <c r="A506" s="348">
        <f>IF(ADSI!$G$12="",ADSI!$H$16,ADSI!$H$12)</f>
        <v>6</v>
      </c>
      <c r="B506" s="348" t="str">
        <f ca="1">IF(ADSI!$G$12="",ADSI!$H$16,ADSI!$H$14)</f>
        <v/>
      </c>
      <c r="C506" s="388">
        <f t="shared" si="136"/>
        <v>205</v>
      </c>
      <c r="D506" s="348">
        <f>ADSI!$K$12</f>
        <v>2021</v>
      </c>
      <c r="E506" s="346">
        <f t="shared" ref="E506:K506" si="153">D14</f>
        <v>0</v>
      </c>
      <c r="F506" s="346">
        <f t="shared" si="153"/>
        <v>0</v>
      </c>
      <c r="G506" s="346">
        <f t="shared" si="153"/>
        <v>0</v>
      </c>
      <c r="H506" s="346">
        <f t="shared" si="153"/>
        <v>0</v>
      </c>
      <c r="I506" s="346">
        <f t="shared" si="153"/>
        <v>0</v>
      </c>
      <c r="J506" s="346">
        <f t="shared" si="153"/>
        <v>0</v>
      </c>
      <c r="K506" s="346">
        <f t="shared" si="153"/>
        <v>0</v>
      </c>
      <c r="L506" s="346">
        <f t="shared" ref="L506:R506" si="154">M14</f>
        <v>0</v>
      </c>
      <c r="M506" s="346">
        <f t="shared" si="154"/>
        <v>0</v>
      </c>
      <c r="N506" s="346">
        <f t="shared" si="154"/>
        <v>0</v>
      </c>
      <c r="O506" s="346">
        <f t="shared" si="154"/>
        <v>0</v>
      </c>
      <c r="P506" s="346">
        <f t="shared" si="154"/>
        <v>0</v>
      </c>
      <c r="Q506" s="346">
        <f t="shared" si="154"/>
        <v>0</v>
      </c>
      <c r="R506" s="346">
        <f t="shared" si="154"/>
        <v>0</v>
      </c>
      <c r="S506" s="346">
        <f t="shared" si="139"/>
        <v>0</v>
      </c>
      <c r="T506" s="346">
        <f t="shared" si="140"/>
        <v>0</v>
      </c>
      <c r="U506" s="346">
        <f t="shared" si="141"/>
        <v>0</v>
      </c>
      <c r="V506" s="346">
        <f t="shared" si="142"/>
        <v>0</v>
      </c>
      <c r="W506" s="346">
        <f t="shared" si="143"/>
        <v>0</v>
      </c>
      <c r="X506" s="346">
        <f t="shared" si="144"/>
        <v>0</v>
      </c>
      <c r="Y506" s="346">
        <f t="shared" si="145"/>
        <v>0</v>
      </c>
      <c r="Z506" s="346">
        <f t="shared" si="146"/>
        <v>0</v>
      </c>
    </row>
    <row r="507" spans="1:26" x14ac:dyDescent="0.25">
      <c r="A507" s="348">
        <f>IF(ADSI!$G$12="",ADSI!$H$16,ADSI!$H$12)</f>
        <v>6</v>
      </c>
      <c r="B507" s="348" t="str">
        <f ca="1">IF(ADSI!$G$12="",ADSI!$H$16,ADSI!$H$14)</f>
        <v/>
      </c>
      <c r="C507" s="388">
        <f t="shared" si="136"/>
        <v>206</v>
      </c>
      <c r="D507" s="348">
        <f>ADSI!$K$12</f>
        <v>2021</v>
      </c>
      <c r="E507" s="346">
        <f t="shared" ref="E507:K507" si="155">D15</f>
        <v>0</v>
      </c>
      <c r="F507" s="346">
        <f t="shared" si="155"/>
        <v>0</v>
      </c>
      <c r="G507" s="346">
        <f t="shared" si="155"/>
        <v>0</v>
      </c>
      <c r="H507" s="346">
        <f t="shared" si="155"/>
        <v>0</v>
      </c>
      <c r="I507" s="346">
        <f t="shared" si="155"/>
        <v>0</v>
      </c>
      <c r="J507" s="346">
        <f t="shared" si="155"/>
        <v>0</v>
      </c>
      <c r="K507" s="346">
        <f t="shared" si="155"/>
        <v>0</v>
      </c>
      <c r="L507" s="346">
        <f t="shared" ref="L507:R507" si="156">M15</f>
        <v>0</v>
      </c>
      <c r="M507" s="346">
        <f t="shared" si="156"/>
        <v>0</v>
      </c>
      <c r="N507" s="346">
        <f t="shared" si="156"/>
        <v>0</v>
      </c>
      <c r="O507" s="346">
        <f t="shared" si="156"/>
        <v>0</v>
      </c>
      <c r="P507" s="346">
        <f t="shared" si="156"/>
        <v>0</v>
      </c>
      <c r="Q507" s="346">
        <f t="shared" si="156"/>
        <v>0</v>
      </c>
      <c r="R507" s="346">
        <f t="shared" si="156"/>
        <v>0</v>
      </c>
      <c r="S507" s="346">
        <f t="shared" si="139"/>
        <v>0</v>
      </c>
      <c r="T507" s="346">
        <f t="shared" si="140"/>
        <v>0</v>
      </c>
      <c r="U507" s="346">
        <f t="shared" si="141"/>
        <v>0</v>
      </c>
      <c r="V507" s="346">
        <f t="shared" si="142"/>
        <v>0</v>
      </c>
      <c r="W507" s="346">
        <f t="shared" si="143"/>
        <v>0</v>
      </c>
      <c r="X507" s="346">
        <f t="shared" si="144"/>
        <v>0</v>
      </c>
      <c r="Y507" s="346">
        <f t="shared" si="145"/>
        <v>0</v>
      </c>
      <c r="Z507" s="346">
        <f t="shared" si="146"/>
        <v>0</v>
      </c>
    </row>
    <row r="508" spans="1:26" x14ac:dyDescent="0.25">
      <c r="A508" s="348">
        <f>IF(ADSI!$G$12="",ADSI!$H$16,ADSI!$H$12)</f>
        <v>6</v>
      </c>
      <c r="B508" s="348" t="str">
        <f ca="1">IF(ADSI!$G$12="",ADSI!$H$16,ADSI!$H$14)</f>
        <v/>
      </c>
      <c r="C508" s="388">
        <f t="shared" si="136"/>
        <v>207</v>
      </c>
      <c r="D508" s="348">
        <f>ADSI!$K$12</f>
        <v>2021</v>
      </c>
      <c r="E508" s="346">
        <f t="shared" ref="E508:K508" si="157">D16</f>
        <v>0</v>
      </c>
      <c r="F508" s="346">
        <f t="shared" si="157"/>
        <v>0</v>
      </c>
      <c r="G508" s="346">
        <f t="shared" si="157"/>
        <v>0</v>
      </c>
      <c r="H508" s="346">
        <f t="shared" si="157"/>
        <v>2</v>
      </c>
      <c r="I508" s="346">
        <f t="shared" si="157"/>
        <v>2</v>
      </c>
      <c r="J508" s="346">
        <f t="shared" si="157"/>
        <v>0</v>
      </c>
      <c r="K508" s="346">
        <f t="shared" si="157"/>
        <v>4</v>
      </c>
      <c r="L508" s="346">
        <f t="shared" ref="L508:R508" si="158">M16</f>
        <v>0</v>
      </c>
      <c r="M508" s="346">
        <f t="shared" si="158"/>
        <v>0</v>
      </c>
      <c r="N508" s="346">
        <f t="shared" si="158"/>
        <v>0</v>
      </c>
      <c r="O508" s="346">
        <f t="shared" si="158"/>
        <v>0</v>
      </c>
      <c r="P508" s="346">
        <f t="shared" si="158"/>
        <v>0</v>
      </c>
      <c r="Q508" s="346">
        <f t="shared" si="158"/>
        <v>0</v>
      </c>
      <c r="R508" s="346">
        <f t="shared" si="158"/>
        <v>0</v>
      </c>
      <c r="S508" s="346">
        <f t="shared" si="139"/>
        <v>0</v>
      </c>
      <c r="T508" s="346">
        <f t="shared" si="140"/>
        <v>0</v>
      </c>
      <c r="U508" s="346">
        <f t="shared" si="141"/>
        <v>0</v>
      </c>
      <c r="V508" s="346">
        <f t="shared" si="142"/>
        <v>0</v>
      </c>
      <c r="W508" s="346">
        <f t="shared" si="143"/>
        <v>0</v>
      </c>
      <c r="X508" s="346">
        <f t="shared" si="144"/>
        <v>0</v>
      </c>
      <c r="Y508" s="346">
        <f t="shared" si="145"/>
        <v>0</v>
      </c>
      <c r="Z508" s="346">
        <f t="shared" si="146"/>
        <v>4</v>
      </c>
    </row>
    <row r="509" spans="1:26" x14ac:dyDescent="0.25">
      <c r="A509" s="348">
        <f>IF(ADSI!$G$12="",ADSI!$H$16,ADSI!$H$12)</f>
        <v>6</v>
      </c>
      <c r="B509" s="348" t="str">
        <f ca="1">IF(ADSI!$G$12="",ADSI!$H$16,ADSI!$H$14)</f>
        <v/>
      </c>
      <c r="C509" s="388">
        <f t="shared" si="136"/>
        <v>208</v>
      </c>
      <c r="D509" s="348">
        <f>ADSI!$K$12</f>
        <v>2021</v>
      </c>
      <c r="E509" s="346">
        <f t="shared" ref="E509:K509" si="159">D17</f>
        <v>1</v>
      </c>
      <c r="F509" s="346">
        <f t="shared" si="159"/>
        <v>4</v>
      </c>
      <c r="G509" s="346">
        <f t="shared" si="159"/>
        <v>34</v>
      </c>
      <c r="H509" s="346">
        <f t="shared" si="159"/>
        <v>33</v>
      </c>
      <c r="I509" s="346">
        <f t="shared" si="159"/>
        <v>21</v>
      </c>
      <c r="J509" s="346">
        <f t="shared" si="159"/>
        <v>11</v>
      </c>
      <c r="K509" s="346">
        <f t="shared" si="159"/>
        <v>104</v>
      </c>
      <c r="L509" s="346">
        <f t="shared" ref="L509:R509" si="160">M17</f>
        <v>1</v>
      </c>
      <c r="M509" s="346">
        <f t="shared" si="160"/>
        <v>2</v>
      </c>
      <c r="N509" s="346">
        <f t="shared" si="160"/>
        <v>2</v>
      </c>
      <c r="O509" s="346">
        <f t="shared" si="160"/>
        <v>1</v>
      </c>
      <c r="P509" s="346">
        <f t="shared" si="160"/>
        <v>3</v>
      </c>
      <c r="Q509" s="346">
        <f t="shared" si="160"/>
        <v>2</v>
      </c>
      <c r="R509" s="346">
        <f t="shared" si="160"/>
        <v>11</v>
      </c>
      <c r="S509" s="346">
        <f t="shared" si="139"/>
        <v>0</v>
      </c>
      <c r="T509" s="346">
        <f t="shared" si="140"/>
        <v>0</v>
      </c>
      <c r="U509" s="346">
        <f t="shared" si="141"/>
        <v>0</v>
      </c>
      <c r="V509" s="346">
        <f t="shared" si="142"/>
        <v>0</v>
      </c>
      <c r="W509" s="346">
        <f t="shared" si="143"/>
        <v>0</v>
      </c>
      <c r="X509" s="346">
        <f t="shared" si="144"/>
        <v>0</v>
      </c>
      <c r="Y509" s="346">
        <f t="shared" si="145"/>
        <v>0</v>
      </c>
      <c r="Z509" s="346">
        <f t="shared" si="146"/>
        <v>115</v>
      </c>
    </row>
    <row r="510" spans="1:26" x14ac:dyDescent="0.25">
      <c r="A510" s="348">
        <f>IF(ADSI!$G$12="",ADSI!$H$16,ADSI!$H$12)</f>
        <v>6</v>
      </c>
      <c r="B510" s="348" t="str">
        <f ca="1">IF(ADSI!$G$12="",ADSI!$H$16,ADSI!$H$14)</f>
        <v/>
      </c>
      <c r="C510" s="388">
        <f t="shared" si="136"/>
        <v>209</v>
      </c>
      <c r="D510" s="348">
        <f>ADSI!$K$12</f>
        <v>2021</v>
      </c>
      <c r="E510" s="346">
        <f t="shared" ref="E510:K510" si="161">D18</f>
        <v>0</v>
      </c>
      <c r="F510" s="346">
        <f t="shared" si="161"/>
        <v>0</v>
      </c>
      <c r="G510" s="346">
        <f t="shared" si="161"/>
        <v>0</v>
      </c>
      <c r="H510" s="346">
        <f t="shared" si="161"/>
        <v>0</v>
      </c>
      <c r="I510" s="346">
        <f t="shared" si="161"/>
        <v>0</v>
      </c>
      <c r="J510" s="346">
        <f t="shared" si="161"/>
        <v>0</v>
      </c>
      <c r="K510" s="346">
        <f t="shared" si="161"/>
        <v>0</v>
      </c>
      <c r="L510" s="346">
        <f t="shared" ref="L510:R510" si="162">M18</f>
        <v>0</v>
      </c>
      <c r="M510" s="346">
        <f t="shared" si="162"/>
        <v>0</v>
      </c>
      <c r="N510" s="346">
        <f t="shared" si="162"/>
        <v>0</v>
      </c>
      <c r="O510" s="346">
        <f t="shared" si="162"/>
        <v>0</v>
      </c>
      <c r="P510" s="346">
        <f t="shared" si="162"/>
        <v>0</v>
      </c>
      <c r="Q510" s="346">
        <f t="shared" si="162"/>
        <v>0</v>
      </c>
      <c r="R510" s="346">
        <f t="shared" si="162"/>
        <v>0</v>
      </c>
      <c r="S510" s="346">
        <f t="shared" si="139"/>
        <v>0</v>
      </c>
      <c r="T510" s="346">
        <f t="shared" si="140"/>
        <v>0</v>
      </c>
      <c r="U510" s="346">
        <f t="shared" si="141"/>
        <v>0</v>
      </c>
      <c r="V510" s="346">
        <f t="shared" si="142"/>
        <v>0</v>
      </c>
      <c r="W510" s="346">
        <f t="shared" si="143"/>
        <v>0</v>
      </c>
      <c r="X510" s="346">
        <f t="shared" si="144"/>
        <v>0</v>
      </c>
      <c r="Y510" s="346">
        <f t="shared" si="145"/>
        <v>0</v>
      </c>
      <c r="Z510" s="346">
        <f t="shared" si="146"/>
        <v>0</v>
      </c>
    </row>
    <row r="511" spans="1:26" x14ac:dyDescent="0.25">
      <c r="A511" s="348">
        <f>IF(ADSI!$G$12="",ADSI!$H$16,ADSI!$H$12)</f>
        <v>6</v>
      </c>
      <c r="B511" s="348" t="str">
        <f ca="1">IF(ADSI!$G$12="",ADSI!$H$16,ADSI!$H$14)</f>
        <v/>
      </c>
      <c r="C511" s="388">
        <f t="shared" si="136"/>
        <v>210</v>
      </c>
      <c r="D511" s="348">
        <f>ADSI!$K$12</f>
        <v>2021</v>
      </c>
      <c r="E511" s="346">
        <f t="shared" ref="E511:K511" si="163">D19</f>
        <v>1</v>
      </c>
      <c r="F511" s="346">
        <f t="shared" si="163"/>
        <v>4</v>
      </c>
      <c r="G511" s="346">
        <f t="shared" si="163"/>
        <v>26</v>
      </c>
      <c r="H511" s="346">
        <f t="shared" si="163"/>
        <v>26</v>
      </c>
      <c r="I511" s="346">
        <f t="shared" si="163"/>
        <v>20</v>
      </c>
      <c r="J511" s="346">
        <f t="shared" si="163"/>
        <v>11</v>
      </c>
      <c r="K511" s="346">
        <f t="shared" si="163"/>
        <v>88</v>
      </c>
      <c r="L511" s="346">
        <f t="shared" ref="L511:R511" si="164">M19</f>
        <v>1</v>
      </c>
      <c r="M511" s="346">
        <f t="shared" si="164"/>
        <v>2</v>
      </c>
      <c r="N511" s="346">
        <f t="shared" si="164"/>
        <v>1</v>
      </c>
      <c r="O511" s="346">
        <f t="shared" si="164"/>
        <v>1</v>
      </c>
      <c r="P511" s="346">
        <f t="shared" si="164"/>
        <v>3</v>
      </c>
      <c r="Q511" s="346">
        <f t="shared" si="164"/>
        <v>2</v>
      </c>
      <c r="R511" s="346">
        <f t="shared" si="164"/>
        <v>10</v>
      </c>
      <c r="S511" s="346">
        <f t="shared" si="139"/>
        <v>0</v>
      </c>
      <c r="T511" s="346">
        <f t="shared" si="140"/>
        <v>0</v>
      </c>
      <c r="U511" s="346">
        <f t="shared" si="141"/>
        <v>0</v>
      </c>
      <c r="V511" s="346">
        <f t="shared" si="142"/>
        <v>0</v>
      </c>
      <c r="W511" s="346">
        <f t="shared" si="143"/>
        <v>0</v>
      </c>
      <c r="X511" s="346">
        <f t="shared" si="144"/>
        <v>0</v>
      </c>
      <c r="Y511" s="346">
        <f t="shared" si="145"/>
        <v>0</v>
      </c>
      <c r="Z511" s="346">
        <f t="shared" si="146"/>
        <v>98</v>
      </c>
    </row>
    <row r="512" spans="1:26" x14ac:dyDescent="0.25">
      <c r="A512" s="348">
        <f>IF(ADSI!$G$12="",ADSI!$H$16,ADSI!$H$12)</f>
        <v>6</v>
      </c>
      <c r="B512" s="348" t="str">
        <f ca="1">IF(ADSI!$G$12="",ADSI!$H$16,ADSI!$H$14)</f>
        <v/>
      </c>
      <c r="C512" s="388">
        <f t="shared" si="136"/>
        <v>211</v>
      </c>
      <c r="D512" s="348">
        <f>ADSI!$K$12</f>
        <v>2021</v>
      </c>
      <c r="E512" s="346">
        <f t="shared" ref="E512:K512" si="165">D20</f>
        <v>0</v>
      </c>
      <c r="F512" s="346">
        <f t="shared" si="165"/>
        <v>0</v>
      </c>
      <c r="G512" s="346">
        <f t="shared" si="165"/>
        <v>8</v>
      </c>
      <c r="H512" s="346">
        <f t="shared" si="165"/>
        <v>7</v>
      </c>
      <c r="I512" s="346">
        <f t="shared" si="165"/>
        <v>1</v>
      </c>
      <c r="J512" s="346">
        <f t="shared" si="165"/>
        <v>0</v>
      </c>
      <c r="K512" s="346">
        <f t="shared" si="165"/>
        <v>16</v>
      </c>
      <c r="L512" s="346">
        <f t="shared" ref="L512:R512" si="166">M20</f>
        <v>0</v>
      </c>
      <c r="M512" s="346">
        <f t="shared" si="166"/>
        <v>0</v>
      </c>
      <c r="N512" s="346">
        <f t="shared" si="166"/>
        <v>1</v>
      </c>
      <c r="O512" s="346">
        <f t="shared" si="166"/>
        <v>0</v>
      </c>
      <c r="P512" s="346">
        <f t="shared" si="166"/>
        <v>0</v>
      </c>
      <c r="Q512" s="346">
        <f t="shared" si="166"/>
        <v>0</v>
      </c>
      <c r="R512" s="346">
        <f t="shared" si="166"/>
        <v>1</v>
      </c>
      <c r="S512" s="346">
        <f t="shared" si="139"/>
        <v>0</v>
      </c>
      <c r="T512" s="346">
        <f t="shared" si="140"/>
        <v>0</v>
      </c>
      <c r="U512" s="346">
        <f t="shared" si="141"/>
        <v>0</v>
      </c>
      <c r="V512" s="346">
        <f t="shared" si="142"/>
        <v>0</v>
      </c>
      <c r="W512" s="346">
        <f t="shared" si="143"/>
        <v>0</v>
      </c>
      <c r="X512" s="346">
        <f t="shared" si="144"/>
        <v>0</v>
      </c>
      <c r="Y512" s="346">
        <f t="shared" si="145"/>
        <v>0</v>
      </c>
      <c r="Z512" s="346">
        <f t="shared" si="146"/>
        <v>17</v>
      </c>
    </row>
    <row r="513" spans="1:26" x14ac:dyDescent="0.25">
      <c r="A513" s="348">
        <f>IF(ADSI!$G$12="",ADSI!$H$16,ADSI!$H$12)</f>
        <v>6</v>
      </c>
      <c r="B513" s="348" t="str">
        <f ca="1">IF(ADSI!$G$12="",ADSI!$H$16,ADSI!$H$14)</f>
        <v/>
      </c>
      <c r="C513" s="388">
        <f t="shared" si="136"/>
        <v>212</v>
      </c>
      <c r="D513" s="348">
        <f>ADSI!$K$12</f>
        <v>2021</v>
      </c>
      <c r="E513" s="346">
        <f t="shared" ref="E513:K513" si="167">D21</f>
        <v>0</v>
      </c>
      <c r="F513" s="346">
        <f t="shared" si="167"/>
        <v>0</v>
      </c>
      <c r="G513" s="346">
        <f t="shared" si="167"/>
        <v>5</v>
      </c>
      <c r="H513" s="346">
        <f t="shared" si="167"/>
        <v>10</v>
      </c>
      <c r="I513" s="346">
        <f t="shared" si="167"/>
        <v>6</v>
      </c>
      <c r="J513" s="346">
        <f t="shared" si="167"/>
        <v>2</v>
      </c>
      <c r="K513" s="346">
        <f t="shared" si="167"/>
        <v>23</v>
      </c>
      <c r="L513" s="346">
        <f t="shared" ref="L513:R513" si="168">M21</f>
        <v>0</v>
      </c>
      <c r="M513" s="346">
        <f t="shared" si="168"/>
        <v>0</v>
      </c>
      <c r="N513" s="346">
        <f t="shared" si="168"/>
        <v>2</v>
      </c>
      <c r="O513" s="346">
        <f t="shared" si="168"/>
        <v>0</v>
      </c>
      <c r="P513" s="346">
        <f t="shared" si="168"/>
        <v>0</v>
      </c>
      <c r="Q513" s="346">
        <f t="shared" si="168"/>
        <v>0</v>
      </c>
      <c r="R513" s="346">
        <f t="shared" si="168"/>
        <v>2</v>
      </c>
      <c r="S513" s="346">
        <f t="shared" si="139"/>
        <v>0</v>
      </c>
      <c r="T513" s="346">
        <f t="shared" si="140"/>
        <v>0</v>
      </c>
      <c r="U513" s="346">
        <f t="shared" si="141"/>
        <v>0</v>
      </c>
      <c r="V513" s="346">
        <f t="shared" si="142"/>
        <v>0</v>
      </c>
      <c r="W513" s="346">
        <f t="shared" si="143"/>
        <v>0</v>
      </c>
      <c r="X513" s="346">
        <f t="shared" si="144"/>
        <v>0</v>
      </c>
      <c r="Y513" s="346">
        <f t="shared" si="145"/>
        <v>0</v>
      </c>
      <c r="Z513" s="346">
        <f t="shared" si="146"/>
        <v>25</v>
      </c>
    </row>
    <row r="514" spans="1:26" x14ac:dyDescent="0.25">
      <c r="A514" s="348">
        <f>IF(ADSI!$G$12="",ADSI!$H$16,ADSI!$H$12)</f>
        <v>6</v>
      </c>
      <c r="B514" s="348" t="str">
        <f ca="1">IF(ADSI!$G$12="",ADSI!$H$16,ADSI!$H$14)</f>
        <v/>
      </c>
      <c r="C514" s="388">
        <f t="shared" si="136"/>
        <v>213</v>
      </c>
      <c r="D514" s="348">
        <f>ADSI!$K$12</f>
        <v>2021</v>
      </c>
      <c r="E514" s="346">
        <f t="shared" ref="E514:K514" si="169">D22</f>
        <v>0</v>
      </c>
      <c r="F514" s="346">
        <f t="shared" si="169"/>
        <v>0</v>
      </c>
      <c r="G514" s="346">
        <f t="shared" si="169"/>
        <v>1</v>
      </c>
      <c r="H514" s="346">
        <f t="shared" si="169"/>
        <v>0</v>
      </c>
      <c r="I514" s="346">
        <f t="shared" si="169"/>
        <v>0</v>
      </c>
      <c r="J514" s="346">
        <f t="shared" si="169"/>
        <v>0</v>
      </c>
      <c r="K514" s="346">
        <f t="shared" si="169"/>
        <v>1</v>
      </c>
      <c r="L514" s="346">
        <f t="shared" ref="L514:R514" si="170">M22</f>
        <v>0</v>
      </c>
      <c r="M514" s="346">
        <f t="shared" si="170"/>
        <v>0</v>
      </c>
      <c r="N514" s="346">
        <f t="shared" si="170"/>
        <v>0</v>
      </c>
      <c r="O514" s="346">
        <f t="shared" si="170"/>
        <v>0</v>
      </c>
      <c r="P514" s="346">
        <f t="shared" si="170"/>
        <v>0</v>
      </c>
      <c r="Q514" s="346">
        <f t="shared" si="170"/>
        <v>0</v>
      </c>
      <c r="R514" s="346">
        <f t="shared" si="170"/>
        <v>0</v>
      </c>
      <c r="S514" s="346">
        <f t="shared" si="139"/>
        <v>0</v>
      </c>
      <c r="T514" s="346">
        <f t="shared" si="140"/>
        <v>0</v>
      </c>
      <c r="U514" s="346">
        <f t="shared" si="141"/>
        <v>0</v>
      </c>
      <c r="V514" s="346">
        <f t="shared" si="142"/>
        <v>0</v>
      </c>
      <c r="W514" s="346">
        <f t="shared" si="143"/>
        <v>0</v>
      </c>
      <c r="X514" s="346">
        <f t="shared" si="144"/>
        <v>0</v>
      </c>
      <c r="Y514" s="346">
        <f t="shared" si="145"/>
        <v>0</v>
      </c>
      <c r="Z514" s="346">
        <f t="shared" si="146"/>
        <v>1</v>
      </c>
    </row>
    <row r="515" spans="1:26" x14ac:dyDescent="0.25">
      <c r="A515" s="348">
        <f>IF(ADSI!$G$12="",ADSI!$H$16,ADSI!$H$12)</f>
        <v>6</v>
      </c>
      <c r="B515" s="348" t="str">
        <f ca="1">IF(ADSI!$G$12="",ADSI!$H$16,ADSI!$H$14)</f>
        <v/>
      </c>
      <c r="C515" s="388">
        <f t="shared" si="136"/>
        <v>214</v>
      </c>
      <c r="D515" s="348">
        <f>ADSI!$K$12</f>
        <v>2021</v>
      </c>
      <c r="E515" s="346">
        <f t="shared" ref="E515:K515" si="171">D23</f>
        <v>0</v>
      </c>
      <c r="F515" s="346">
        <f t="shared" si="171"/>
        <v>0</v>
      </c>
      <c r="G515" s="346">
        <f t="shared" si="171"/>
        <v>0</v>
      </c>
      <c r="H515" s="346">
        <f t="shared" si="171"/>
        <v>0</v>
      </c>
      <c r="I515" s="346">
        <f t="shared" si="171"/>
        <v>0</v>
      </c>
      <c r="J515" s="346">
        <f t="shared" si="171"/>
        <v>0</v>
      </c>
      <c r="K515" s="346">
        <f t="shared" si="171"/>
        <v>0</v>
      </c>
      <c r="L515" s="346">
        <f t="shared" ref="L515:R515" si="172">M23</f>
        <v>0</v>
      </c>
      <c r="M515" s="346">
        <f t="shared" si="172"/>
        <v>0</v>
      </c>
      <c r="N515" s="346">
        <f t="shared" si="172"/>
        <v>0</v>
      </c>
      <c r="O515" s="346">
        <f t="shared" si="172"/>
        <v>0</v>
      </c>
      <c r="P515" s="346">
        <f t="shared" si="172"/>
        <v>0</v>
      </c>
      <c r="Q515" s="346">
        <f t="shared" si="172"/>
        <v>0</v>
      </c>
      <c r="R515" s="346">
        <f t="shared" si="172"/>
        <v>0</v>
      </c>
      <c r="S515" s="346">
        <f t="shared" si="139"/>
        <v>0</v>
      </c>
      <c r="T515" s="346">
        <f t="shared" si="140"/>
        <v>0</v>
      </c>
      <c r="U515" s="346">
        <f t="shared" si="141"/>
        <v>0</v>
      </c>
      <c r="V515" s="346">
        <f t="shared" si="142"/>
        <v>0</v>
      </c>
      <c r="W515" s="346">
        <f t="shared" si="143"/>
        <v>0</v>
      </c>
      <c r="X515" s="346">
        <f t="shared" si="144"/>
        <v>0</v>
      </c>
      <c r="Y515" s="346">
        <f t="shared" si="145"/>
        <v>0</v>
      </c>
      <c r="Z515" s="346">
        <f t="shared" si="146"/>
        <v>0</v>
      </c>
    </row>
    <row r="516" spans="1:26" x14ac:dyDescent="0.25">
      <c r="A516" s="348">
        <f>IF(ADSI!$G$12="",ADSI!$H$16,ADSI!$H$12)</f>
        <v>6</v>
      </c>
      <c r="B516" s="348" t="str">
        <f ca="1">IF(ADSI!$G$12="",ADSI!$H$16,ADSI!$H$14)</f>
        <v/>
      </c>
      <c r="C516" s="388">
        <f t="shared" si="136"/>
        <v>215</v>
      </c>
      <c r="D516" s="348">
        <f>ADSI!$K$12</f>
        <v>2021</v>
      </c>
      <c r="E516" s="346">
        <f t="shared" ref="E516:K516" si="173">D24</f>
        <v>0</v>
      </c>
      <c r="F516" s="346">
        <f t="shared" si="173"/>
        <v>0</v>
      </c>
      <c r="G516" s="346">
        <f t="shared" si="173"/>
        <v>1</v>
      </c>
      <c r="H516" s="346">
        <f t="shared" si="173"/>
        <v>0</v>
      </c>
      <c r="I516" s="346">
        <f t="shared" si="173"/>
        <v>0</v>
      </c>
      <c r="J516" s="346">
        <f t="shared" si="173"/>
        <v>0</v>
      </c>
      <c r="K516" s="346">
        <f t="shared" si="173"/>
        <v>1</v>
      </c>
      <c r="L516" s="346">
        <f t="shared" ref="L516:R516" si="174">M24</f>
        <v>0</v>
      </c>
      <c r="M516" s="346">
        <f t="shared" si="174"/>
        <v>0</v>
      </c>
      <c r="N516" s="346">
        <f t="shared" si="174"/>
        <v>0</v>
      </c>
      <c r="O516" s="346">
        <f t="shared" si="174"/>
        <v>0</v>
      </c>
      <c r="P516" s="346">
        <f t="shared" si="174"/>
        <v>0</v>
      </c>
      <c r="Q516" s="346">
        <f t="shared" si="174"/>
        <v>0</v>
      </c>
      <c r="R516" s="346">
        <f t="shared" si="174"/>
        <v>0</v>
      </c>
      <c r="S516" s="346">
        <f t="shared" si="139"/>
        <v>0</v>
      </c>
      <c r="T516" s="346">
        <f t="shared" si="140"/>
        <v>0</v>
      </c>
      <c r="U516" s="346">
        <f t="shared" si="141"/>
        <v>0</v>
      </c>
      <c r="V516" s="346">
        <f t="shared" si="142"/>
        <v>0</v>
      </c>
      <c r="W516" s="346">
        <f t="shared" si="143"/>
        <v>0</v>
      </c>
      <c r="X516" s="346">
        <f t="shared" si="144"/>
        <v>0</v>
      </c>
      <c r="Y516" s="346">
        <f t="shared" si="145"/>
        <v>0</v>
      </c>
      <c r="Z516" s="346">
        <f t="shared" si="146"/>
        <v>1</v>
      </c>
    </row>
    <row r="517" spans="1:26" x14ac:dyDescent="0.25">
      <c r="A517" s="348">
        <f>IF(ADSI!$G$12="",ADSI!$H$16,ADSI!$H$12)</f>
        <v>6</v>
      </c>
      <c r="B517" s="348" t="str">
        <f ca="1">IF(ADSI!$G$12="",ADSI!$H$16,ADSI!$H$14)</f>
        <v/>
      </c>
      <c r="C517" s="388">
        <f t="shared" si="136"/>
        <v>216</v>
      </c>
      <c r="D517" s="348">
        <f>ADSI!$K$12</f>
        <v>2021</v>
      </c>
      <c r="E517" s="346">
        <f t="shared" ref="E517:K517" si="175">D25</f>
        <v>0</v>
      </c>
      <c r="F517" s="346">
        <f t="shared" si="175"/>
        <v>0</v>
      </c>
      <c r="G517" s="346">
        <f t="shared" si="175"/>
        <v>0</v>
      </c>
      <c r="H517" s="346">
        <f t="shared" si="175"/>
        <v>0</v>
      </c>
      <c r="I517" s="346">
        <f t="shared" si="175"/>
        <v>0</v>
      </c>
      <c r="J517" s="346">
        <f t="shared" si="175"/>
        <v>0</v>
      </c>
      <c r="K517" s="346">
        <f t="shared" si="175"/>
        <v>0</v>
      </c>
      <c r="L517" s="346">
        <f t="shared" ref="L517:R517" si="176">M25</f>
        <v>0</v>
      </c>
      <c r="M517" s="346">
        <f t="shared" si="176"/>
        <v>0</v>
      </c>
      <c r="N517" s="346">
        <f t="shared" si="176"/>
        <v>0</v>
      </c>
      <c r="O517" s="346">
        <f t="shared" si="176"/>
        <v>0</v>
      </c>
      <c r="P517" s="346">
        <f t="shared" si="176"/>
        <v>0</v>
      </c>
      <c r="Q517" s="346">
        <f t="shared" si="176"/>
        <v>0</v>
      </c>
      <c r="R517" s="346">
        <f t="shared" si="176"/>
        <v>0</v>
      </c>
      <c r="S517" s="346">
        <f t="shared" si="139"/>
        <v>0</v>
      </c>
      <c r="T517" s="346">
        <f t="shared" si="140"/>
        <v>0</v>
      </c>
      <c r="U517" s="346">
        <f t="shared" si="141"/>
        <v>0</v>
      </c>
      <c r="V517" s="346">
        <f t="shared" si="142"/>
        <v>0</v>
      </c>
      <c r="W517" s="346">
        <f t="shared" si="143"/>
        <v>0</v>
      </c>
      <c r="X517" s="346">
        <f t="shared" si="144"/>
        <v>0</v>
      </c>
      <c r="Y517" s="346">
        <f t="shared" si="145"/>
        <v>0</v>
      </c>
      <c r="Z517" s="346">
        <f t="shared" si="146"/>
        <v>0</v>
      </c>
    </row>
    <row r="518" spans="1:26" x14ac:dyDescent="0.25">
      <c r="A518" s="348">
        <f>IF(ADSI!$G$12="",ADSI!$H$16,ADSI!$H$12)</f>
        <v>6</v>
      </c>
      <c r="B518" s="348" t="str">
        <f ca="1">IF(ADSI!$G$12="",ADSI!$H$16,ADSI!$H$14)</f>
        <v/>
      </c>
      <c r="C518" s="388">
        <f t="shared" si="136"/>
        <v>217</v>
      </c>
      <c r="D518" s="348">
        <f>ADSI!$K$12</f>
        <v>2021</v>
      </c>
      <c r="E518" s="346">
        <f t="shared" ref="E518:K518" si="177">D26</f>
        <v>0</v>
      </c>
      <c r="F518" s="346">
        <f t="shared" si="177"/>
        <v>0</v>
      </c>
      <c r="G518" s="346">
        <f t="shared" si="177"/>
        <v>0</v>
      </c>
      <c r="H518" s="346">
        <f t="shared" si="177"/>
        <v>0</v>
      </c>
      <c r="I518" s="346">
        <f t="shared" si="177"/>
        <v>0</v>
      </c>
      <c r="J518" s="346">
        <f t="shared" si="177"/>
        <v>0</v>
      </c>
      <c r="K518" s="346">
        <f t="shared" si="177"/>
        <v>0</v>
      </c>
      <c r="L518" s="346">
        <f t="shared" ref="L518:R518" si="178">M26</f>
        <v>0</v>
      </c>
      <c r="M518" s="346">
        <f t="shared" si="178"/>
        <v>0</v>
      </c>
      <c r="N518" s="346">
        <f t="shared" si="178"/>
        <v>0</v>
      </c>
      <c r="O518" s="346">
        <f t="shared" si="178"/>
        <v>0</v>
      </c>
      <c r="P518" s="346">
        <f t="shared" si="178"/>
        <v>0</v>
      </c>
      <c r="Q518" s="346">
        <f t="shared" si="178"/>
        <v>0</v>
      </c>
      <c r="R518" s="346">
        <f t="shared" si="178"/>
        <v>0</v>
      </c>
      <c r="S518" s="346">
        <f t="shared" si="139"/>
        <v>0</v>
      </c>
      <c r="T518" s="346">
        <f t="shared" si="140"/>
        <v>0</v>
      </c>
      <c r="U518" s="346">
        <f t="shared" si="141"/>
        <v>0</v>
      </c>
      <c r="V518" s="346">
        <f t="shared" si="142"/>
        <v>0</v>
      </c>
      <c r="W518" s="346">
        <f t="shared" si="143"/>
        <v>0</v>
      </c>
      <c r="X518" s="346">
        <f t="shared" si="144"/>
        <v>0</v>
      </c>
      <c r="Y518" s="346">
        <f t="shared" si="145"/>
        <v>0</v>
      </c>
      <c r="Z518" s="346">
        <f t="shared" si="146"/>
        <v>0</v>
      </c>
    </row>
    <row r="519" spans="1:26" x14ac:dyDescent="0.25">
      <c r="A519" s="348">
        <f>IF(ADSI!$G$12="",ADSI!$H$16,ADSI!$H$12)</f>
        <v>6</v>
      </c>
      <c r="B519" s="348" t="str">
        <f ca="1">IF(ADSI!$G$12="",ADSI!$H$16,ADSI!$H$14)</f>
        <v/>
      </c>
      <c r="C519" s="388">
        <f t="shared" si="136"/>
        <v>218</v>
      </c>
      <c r="D519" s="348">
        <f>ADSI!$K$12</f>
        <v>2021</v>
      </c>
      <c r="E519" s="346">
        <f t="shared" ref="E519:K519" si="179">D27</f>
        <v>0</v>
      </c>
      <c r="F519" s="346">
        <f t="shared" si="179"/>
        <v>2</v>
      </c>
      <c r="G519" s="346">
        <f t="shared" si="179"/>
        <v>19</v>
      </c>
      <c r="H519" s="346">
        <f t="shared" si="179"/>
        <v>28</v>
      </c>
      <c r="I519" s="346">
        <f t="shared" si="179"/>
        <v>20</v>
      </c>
      <c r="J519" s="346">
        <f t="shared" si="179"/>
        <v>24</v>
      </c>
      <c r="K519" s="346">
        <f t="shared" si="179"/>
        <v>93</v>
      </c>
      <c r="L519" s="346">
        <f t="shared" ref="L519:R519" si="180">M27</f>
        <v>1</v>
      </c>
      <c r="M519" s="346">
        <f t="shared" si="180"/>
        <v>0</v>
      </c>
      <c r="N519" s="346">
        <f t="shared" si="180"/>
        <v>0</v>
      </c>
      <c r="O519" s="346">
        <f t="shared" si="180"/>
        <v>1</v>
      </c>
      <c r="P519" s="346">
        <f t="shared" si="180"/>
        <v>1</v>
      </c>
      <c r="Q519" s="346">
        <f t="shared" si="180"/>
        <v>6</v>
      </c>
      <c r="R519" s="346">
        <f t="shared" si="180"/>
        <v>9</v>
      </c>
      <c r="S519" s="346">
        <f t="shared" si="139"/>
        <v>0</v>
      </c>
      <c r="T519" s="346">
        <f t="shared" si="140"/>
        <v>0</v>
      </c>
      <c r="U519" s="346">
        <f t="shared" si="141"/>
        <v>0</v>
      </c>
      <c r="V519" s="346">
        <f t="shared" si="142"/>
        <v>0</v>
      </c>
      <c r="W519" s="346">
        <f t="shared" si="143"/>
        <v>0</v>
      </c>
      <c r="X519" s="346">
        <f t="shared" si="144"/>
        <v>0</v>
      </c>
      <c r="Y519" s="346">
        <f t="shared" si="145"/>
        <v>0</v>
      </c>
      <c r="Z519" s="346">
        <f t="shared" si="146"/>
        <v>102</v>
      </c>
    </row>
    <row r="520" spans="1:26" x14ac:dyDescent="0.25">
      <c r="A520" s="348">
        <f>IF(ADSI!$G$12="",ADSI!$H$16,ADSI!$H$12)</f>
        <v>6</v>
      </c>
      <c r="B520" s="348" t="str">
        <f ca="1">IF(ADSI!$G$12="",ADSI!$H$16,ADSI!$H$14)</f>
        <v/>
      </c>
      <c r="C520" s="388">
        <f t="shared" si="136"/>
        <v>219</v>
      </c>
      <c r="D520" s="348">
        <f>ADSI!$K$12</f>
        <v>2021</v>
      </c>
      <c r="E520" s="346">
        <f t="shared" ref="E520:K520" si="181">D28</f>
        <v>0</v>
      </c>
      <c r="F520" s="346">
        <f t="shared" si="181"/>
        <v>1</v>
      </c>
      <c r="G520" s="346">
        <f t="shared" si="181"/>
        <v>15</v>
      </c>
      <c r="H520" s="346">
        <f t="shared" si="181"/>
        <v>19</v>
      </c>
      <c r="I520" s="346">
        <f t="shared" si="181"/>
        <v>18</v>
      </c>
      <c r="J520" s="346">
        <f t="shared" si="181"/>
        <v>19</v>
      </c>
      <c r="K520" s="346">
        <f t="shared" si="181"/>
        <v>72</v>
      </c>
      <c r="L520" s="346">
        <f t="shared" ref="L520:R520" si="182">M28</f>
        <v>1</v>
      </c>
      <c r="M520" s="346">
        <f t="shared" si="182"/>
        <v>0</v>
      </c>
      <c r="N520" s="346">
        <f t="shared" si="182"/>
        <v>0</v>
      </c>
      <c r="O520" s="346">
        <f t="shared" si="182"/>
        <v>1</v>
      </c>
      <c r="P520" s="346">
        <f t="shared" si="182"/>
        <v>1</v>
      </c>
      <c r="Q520" s="346">
        <f t="shared" si="182"/>
        <v>2</v>
      </c>
      <c r="R520" s="346">
        <f t="shared" si="182"/>
        <v>5</v>
      </c>
      <c r="S520" s="346">
        <f t="shared" si="139"/>
        <v>0</v>
      </c>
      <c r="T520" s="346">
        <f t="shared" si="140"/>
        <v>0</v>
      </c>
      <c r="U520" s="346">
        <f t="shared" si="141"/>
        <v>0</v>
      </c>
      <c r="V520" s="346">
        <f t="shared" si="142"/>
        <v>0</v>
      </c>
      <c r="W520" s="346">
        <f t="shared" si="143"/>
        <v>0</v>
      </c>
      <c r="X520" s="346">
        <f t="shared" si="144"/>
        <v>0</v>
      </c>
      <c r="Y520" s="346">
        <f t="shared" si="145"/>
        <v>0</v>
      </c>
      <c r="Z520" s="346">
        <f t="shared" si="146"/>
        <v>77</v>
      </c>
    </row>
    <row r="521" spans="1:26" x14ac:dyDescent="0.25">
      <c r="A521" s="348">
        <f>IF(ADSI!$G$12="",ADSI!$H$16,ADSI!$H$12)</f>
        <v>6</v>
      </c>
      <c r="B521" s="348" t="str">
        <f ca="1">IF(ADSI!$G$12="",ADSI!$H$16,ADSI!$H$14)</f>
        <v/>
      </c>
      <c r="C521" s="388">
        <f t="shared" si="136"/>
        <v>220</v>
      </c>
      <c r="D521" s="348">
        <f>ADSI!$K$12</f>
        <v>2021</v>
      </c>
      <c r="E521" s="346">
        <f t="shared" ref="E521:K521" si="183">D29</f>
        <v>0</v>
      </c>
      <c r="F521" s="346">
        <f t="shared" si="183"/>
        <v>0</v>
      </c>
      <c r="G521" s="346">
        <f t="shared" si="183"/>
        <v>3</v>
      </c>
      <c r="H521" s="346">
        <f t="shared" si="183"/>
        <v>1</v>
      </c>
      <c r="I521" s="346">
        <f t="shared" si="183"/>
        <v>1</v>
      </c>
      <c r="J521" s="346">
        <f t="shared" si="183"/>
        <v>2</v>
      </c>
      <c r="K521" s="346">
        <f t="shared" si="183"/>
        <v>7</v>
      </c>
      <c r="L521" s="346">
        <f t="shared" ref="L521:R521" si="184">M29</f>
        <v>0</v>
      </c>
      <c r="M521" s="346">
        <f t="shared" si="184"/>
        <v>0</v>
      </c>
      <c r="N521" s="346">
        <f t="shared" si="184"/>
        <v>0</v>
      </c>
      <c r="O521" s="346">
        <f t="shared" si="184"/>
        <v>0</v>
      </c>
      <c r="P521" s="346">
        <f t="shared" si="184"/>
        <v>0</v>
      </c>
      <c r="Q521" s="346">
        <f t="shared" si="184"/>
        <v>1</v>
      </c>
      <c r="R521" s="346">
        <f t="shared" si="184"/>
        <v>1</v>
      </c>
      <c r="S521" s="346">
        <f t="shared" si="139"/>
        <v>0</v>
      </c>
      <c r="T521" s="346">
        <f t="shared" si="140"/>
        <v>0</v>
      </c>
      <c r="U521" s="346">
        <f t="shared" si="141"/>
        <v>0</v>
      </c>
      <c r="V521" s="346">
        <f t="shared" si="142"/>
        <v>0</v>
      </c>
      <c r="W521" s="346">
        <f t="shared" si="143"/>
        <v>0</v>
      </c>
      <c r="X521" s="346">
        <f t="shared" si="144"/>
        <v>0</v>
      </c>
      <c r="Y521" s="346">
        <f t="shared" si="145"/>
        <v>0</v>
      </c>
      <c r="Z521" s="346">
        <f t="shared" si="146"/>
        <v>8</v>
      </c>
    </row>
    <row r="522" spans="1:26" x14ac:dyDescent="0.25">
      <c r="A522" s="348">
        <f>IF(ADSI!$G$12="",ADSI!$H$16,ADSI!$H$12)</f>
        <v>6</v>
      </c>
      <c r="B522" s="348" t="str">
        <f ca="1">IF(ADSI!$G$12="",ADSI!$H$16,ADSI!$H$14)</f>
        <v/>
      </c>
      <c r="C522" s="388">
        <f t="shared" si="136"/>
        <v>221</v>
      </c>
      <c r="D522" s="348">
        <f>ADSI!$K$12</f>
        <v>2021</v>
      </c>
      <c r="E522" s="346">
        <f t="shared" ref="E522:K522" si="185">D30</f>
        <v>0</v>
      </c>
      <c r="F522" s="346">
        <f t="shared" si="185"/>
        <v>1</v>
      </c>
      <c r="G522" s="346">
        <f t="shared" si="185"/>
        <v>0</v>
      </c>
      <c r="H522" s="346">
        <f t="shared" si="185"/>
        <v>0</v>
      </c>
      <c r="I522" s="346">
        <f t="shared" si="185"/>
        <v>0</v>
      </c>
      <c r="J522" s="346">
        <f t="shared" si="185"/>
        <v>0</v>
      </c>
      <c r="K522" s="346">
        <f t="shared" si="185"/>
        <v>1</v>
      </c>
      <c r="L522" s="346">
        <f t="shared" ref="L522:R522" si="186">M30</f>
        <v>0</v>
      </c>
      <c r="M522" s="346">
        <f t="shared" si="186"/>
        <v>0</v>
      </c>
      <c r="N522" s="346">
        <f t="shared" si="186"/>
        <v>0</v>
      </c>
      <c r="O522" s="346">
        <f t="shared" si="186"/>
        <v>0</v>
      </c>
      <c r="P522" s="346">
        <f t="shared" si="186"/>
        <v>0</v>
      </c>
      <c r="Q522" s="346">
        <f t="shared" si="186"/>
        <v>0</v>
      </c>
      <c r="R522" s="346">
        <f t="shared" si="186"/>
        <v>0</v>
      </c>
      <c r="S522" s="346">
        <f t="shared" si="139"/>
        <v>0</v>
      </c>
      <c r="T522" s="346">
        <f t="shared" si="140"/>
        <v>0</v>
      </c>
      <c r="U522" s="346">
        <f t="shared" si="141"/>
        <v>0</v>
      </c>
      <c r="V522" s="346">
        <f t="shared" si="142"/>
        <v>0</v>
      </c>
      <c r="W522" s="346">
        <f t="shared" si="143"/>
        <v>0</v>
      </c>
      <c r="X522" s="346">
        <f t="shared" si="144"/>
        <v>0</v>
      </c>
      <c r="Y522" s="346">
        <f t="shared" si="145"/>
        <v>0</v>
      </c>
      <c r="Z522" s="346">
        <f t="shared" si="146"/>
        <v>1</v>
      </c>
    </row>
    <row r="523" spans="1:26" x14ac:dyDescent="0.25">
      <c r="A523" s="348">
        <f>IF(ADSI!$G$12="",ADSI!$H$16,ADSI!$H$12)</f>
        <v>6</v>
      </c>
      <c r="B523" s="348" t="str">
        <f ca="1">IF(ADSI!$G$12="",ADSI!$H$16,ADSI!$H$14)</f>
        <v/>
      </c>
      <c r="C523" s="388">
        <f>A31</f>
        <v>222</v>
      </c>
      <c r="D523" s="348">
        <f>ADSI!$K$12</f>
        <v>2021</v>
      </c>
      <c r="E523" s="346">
        <f t="shared" ref="E523:K523" si="187">D31</f>
        <v>0</v>
      </c>
      <c r="F523" s="346">
        <f t="shared" si="187"/>
        <v>0</v>
      </c>
      <c r="G523" s="346">
        <f t="shared" si="187"/>
        <v>0</v>
      </c>
      <c r="H523" s="346">
        <f t="shared" si="187"/>
        <v>0</v>
      </c>
      <c r="I523" s="346">
        <f t="shared" si="187"/>
        <v>0</v>
      </c>
      <c r="J523" s="346">
        <f t="shared" si="187"/>
        <v>0</v>
      </c>
      <c r="K523" s="346">
        <f t="shared" si="187"/>
        <v>0</v>
      </c>
      <c r="L523" s="346">
        <f t="shared" ref="L523:R523" si="188">M31</f>
        <v>0</v>
      </c>
      <c r="M523" s="346">
        <f t="shared" si="188"/>
        <v>0</v>
      </c>
      <c r="N523" s="346">
        <f t="shared" si="188"/>
        <v>0</v>
      </c>
      <c r="O523" s="346">
        <f t="shared" si="188"/>
        <v>0</v>
      </c>
      <c r="P523" s="346">
        <f t="shared" si="188"/>
        <v>0</v>
      </c>
      <c r="Q523" s="346">
        <f t="shared" si="188"/>
        <v>0</v>
      </c>
      <c r="R523" s="346">
        <f t="shared" si="188"/>
        <v>0</v>
      </c>
      <c r="S523" s="346">
        <f t="shared" si="139"/>
        <v>0</v>
      </c>
      <c r="T523" s="346">
        <f t="shared" si="140"/>
        <v>0</v>
      </c>
      <c r="U523" s="346">
        <f t="shared" si="141"/>
        <v>0</v>
      </c>
      <c r="V523" s="346">
        <f t="shared" si="142"/>
        <v>0</v>
      </c>
      <c r="W523" s="346">
        <f t="shared" si="143"/>
        <v>0</v>
      </c>
      <c r="X523" s="346">
        <f t="shared" si="144"/>
        <v>0</v>
      </c>
      <c r="Y523" s="346">
        <f t="shared" si="145"/>
        <v>0</v>
      </c>
      <c r="Z523" s="346">
        <f t="shared" si="146"/>
        <v>0</v>
      </c>
    </row>
    <row r="524" spans="1:26" x14ac:dyDescent="0.25">
      <c r="A524" s="348">
        <f>IF(ADSI!$G$12="",ADSI!$H$16,ADSI!$H$12)</f>
        <v>6</v>
      </c>
      <c r="B524" s="348" t="str">
        <f ca="1">IF(ADSI!$G$12="",ADSI!$H$16,ADSI!$H$14)</f>
        <v/>
      </c>
      <c r="C524" s="388">
        <f t="shared" si="136"/>
        <v>223</v>
      </c>
      <c r="D524" s="348">
        <f>ADSI!$K$12</f>
        <v>2021</v>
      </c>
      <c r="E524" s="346">
        <f t="shared" ref="E524:K524" si="189">D32</f>
        <v>0</v>
      </c>
      <c r="F524" s="346">
        <f t="shared" si="189"/>
        <v>0</v>
      </c>
      <c r="G524" s="346">
        <f t="shared" si="189"/>
        <v>0</v>
      </c>
      <c r="H524" s="346">
        <f t="shared" si="189"/>
        <v>0</v>
      </c>
      <c r="I524" s="346">
        <f t="shared" si="189"/>
        <v>0</v>
      </c>
      <c r="J524" s="346">
        <f t="shared" si="189"/>
        <v>0</v>
      </c>
      <c r="K524" s="346">
        <f t="shared" si="189"/>
        <v>0</v>
      </c>
      <c r="L524" s="346">
        <f t="shared" ref="L524:R524" si="190">M32</f>
        <v>0</v>
      </c>
      <c r="M524" s="346">
        <f t="shared" si="190"/>
        <v>0</v>
      </c>
      <c r="N524" s="346">
        <f t="shared" si="190"/>
        <v>0</v>
      </c>
      <c r="O524" s="346">
        <f t="shared" si="190"/>
        <v>0</v>
      </c>
      <c r="P524" s="346">
        <f t="shared" si="190"/>
        <v>0</v>
      </c>
      <c r="Q524" s="346">
        <f t="shared" si="190"/>
        <v>0</v>
      </c>
      <c r="R524" s="346">
        <f t="shared" si="190"/>
        <v>0</v>
      </c>
      <c r="S524" s="346">
        <f t="shared" si="139"/>
        <v>0</v>
      </c>
      <c r="T524" s="346">
        <f t="shared" si="140"/>
        <v>0</v>
      </c>
      <c r="U524" s="346">
        <f t="shared" si="141"/>
        <v>0</v>
      </c>
      <c r="V524" s="346">
        <f t="shared" si="142"/>
        <v>0</v>
      </c>
      <c r="W524" s="346">
        <f t="shared" si="143"/>
        <v>0</v>
      </c>
      <c r="X524" s="346">
        <f t="shared" si="144"/>
        <v>0</v>
      </c>
      <c r="Y524" s="346">
        <f t="shared" si="145"/>
        <v>0</v>
      </c>
      <c r="Z524" s="346">
        <f t="shared" si="146"/>
        <v>0</v>
      </c>
    </row>
    <row r="525" spans="1:26" x14ac:dyDescent="0.25">
      <c r="A525" s="348">
        <f>IF(ADSI!$G$12="",ADSI!$H$16,ADSI!$H$12)</f>
        <v>6</v>
      </c>
      <c r="B525" s="348" t="str">
        <f ca="1">IF(ADSI!$G$12="",ADSI!$H$16,ADSI!$H$14)</f>
        <v/>
      </c>
      <c r="C525" s="388">
        <f t="shared" si="136"/>
        <v>224</v>
      </c>
      <c r="D525" s="348">
        <f>ADSI!$K$12</f>
        <v>2021</v>
      </c>
      <c r="E525" s="346">
        <f t="shared" ref="E525:K525" si="191">D33</f>
        <v>0</v>
      </c>
      <c r="F525" s="346">
        <f t="shared" si="191"/>
        <v>0</v>
      </c>
      <c r="G525" s="346">
        <f t="shared" si="191"/>
        <v>1</v>
      </c>
      <c r="H525" s="346">
        <f t="shared" si="191"/>
        <v>8</v>
      </c>
      <c r="I525" s="346">
        <f t="shared" si="191"/>
        <v>1</v>
      </c>
      <c r="J525" s="346">
        <f t="shared" si="191"/>
        <v>3</v>
      </c>
      <c r="K525" s="346">
        <f t="shared" si="191"/>
        <v>13</v>
      </c>
      <c r="L525" s="346">
        <f t="shared" ref="L525:R525" si="192">M33</f>
        <v>0</v>
      </c>
      <c r="M525" s="346">
        <f t="shared" si="192"/>
        <v>0</v>
      </c>
      <c r="N525" s="346">
        <f t="shared" si="192"/>
        <v>0</v>
      </c>
      <c r="O525" s="346">
        <f t="shared" si="192"/>
        <v>0</v>
      </c>
      <c r="P525" s="346">
        <f t="shared" si="192"/>
        <v>0</v>
      </c>
      <c r="Q525" s="346">
        <f t="shared" si="192"/>
        <v>3</v>
      </c>
      <c r="R525" s="346">
        <f t="shared" si="192"/>
        <v>3</v>
      </c>
      <c r="S525" s="346">
        <f t="shared" si="139"/>
        <v>0</v>
      </c>
      <c r="T525" s="346">
        <f t="shared" si="140"/>
        <v>0</v>
      </c>
      <c r="U525" s="346">
        <f t="shared" si="141"/>
        <v>0</v>
      </c>
      <c r="V525" s="346">
        <f t="shared" si="142"/>
        <v>0</v>
      </c>
      <c r="W525" s="346">
        <f t="shared" si="143"/>
        <v>0</v>
      </c>
      <c r="X525" s="346">
        <f t="shared" si="144"/>
        <v>0</v>
      </c>
      <c r="Y525" s="346">
        <f t="shared" si="145"/>
        <v>0</v>
      </c>
      <c r="Z525" s="346">
        <f t="shared" si="146"/>
        <v>16</v>
      </c>
    </row>
    <row r="526" spans="1:26" x14ac:dyDescent="0.25">
      <c r="A526" s="348">
        <f>IF(ADSI!$G$12="",ADSI!$H$16,ADSI!$H$12)</f>
        <v>6</v>
      </c>
      <c r="B526" s="348" t="str">
        <f ca="1">IF(ADSI!$G$12="",ADSI!$H$16,ADSI!$H$14)</f>
        <v/>
      </c>
      <c r="C526" s="388">
        <f>A34</f>
        <v>225</v>
      </c>
      <c r="D526" s="348">
        <f>ADSI!$K$12</f>
        <v>2021</v>
      </c>
      <c r="E526" s="346">
        <f t="shared" ref="E526:K526" si="193">D34</f>
        <v>0</v>
      </c>
      <c r="F526" s="346">
        <f t="shared" si="193"/>
        <v>0</v>
      </c>
      <c r="G526" s="346">
        <f t="shared" si="193"/>
        <v>3</v>
      </c>
      <c r="H526" s="346">
        <f t="shared" si="193"/>
        <v>0</v>
      </c>
      <c r="I526" s="346">
        <f t="shared" si="193"/>
        <v>0</v>
      </c>
      <c r="J526" s="346">
        <f t="shared" si="193"/>
        <v>0</v>
      </c>
      <c r="K526" s="346">
        <f t="shared" si="193"/>
        <v>3</v>
      </c>
      <c r="L526" s="346">
        <f t="shared" ref="L526:R526" si="194">M34</f>
        <v>0</v>
      </c>
      <c r="M526" s="346">
        <f t="shared" si="194"/>
        <v>0</v>
      </c>
      <c r="N526" s="346">
        <f t="shared" si="194"/>
        <v>0</v>
      </c>
      <c r="O526" s="346">
        <f t="shared" si="194"/>
        <v>0</v>
      </c>
      <c r="P526" s="346">
        <f t="shared" si="194"/>
        <v>0</v>
      </c>
      <c r="Q526" s="346">
        <f t="shared" si="194"/>
        <v>0</v>
      </c>
      <c r="R526" s="346">
        <f t="shared" si="194"/>
        <v>0</v>
      </c>
      <c r="S526" s="346">
        <f t="shared" si="139"/>
        <v>0</v>
      </c>
      <c r="T526" s="346">
        <f t="shared" si="140"/>
        <v>0</v>
      </c>
      <c r="U526" s="346">
        <f t="shared" si="141"/>
        <v>0</v>
      </c>
      <c r="V526" s="346">
        <f t="shared" si="142"/>
        <v>0</v>
      </c>
      <c r="W526" s="346">
        <f t="shared" si="143"/>
        <v>0</v>
      </c>
      <c r="X526" s="346">
        <f t="shared" si="144"/>
        <v>0</v>
      </c>
      <c r="Y526" s="346">
        <f t="shared" si="145"/>
        <v>0</v>
      </c>
      <c r="Z526" s="346">
        <f t="shared" si="146"/>
        <v>3</v>
      </c>
    </row>
    <row r="527" spans="1:26" x14ac:dyDescent="0.25">
      <c r="A527" s="348">
        <f>IF(ADSI!$G$12="",ADSI!$H$16,ADSI!$H$12)</f>
        <v>6</v>
      </c>
      <c r="B527" s="348" t="str">
        <f ca="1">IF(ADSI!$G$12="",ADSI!$H$16,ADSI!$H$14)</f>
        <v/>
      </c>
      <c r="C527" s="388">
        <f t="shared" si="136"/>
        <v>226</v>
      </c>
      <c r="D527" s="348">
        <f>ADSI!$K$12</f>
        <v>2021</v>
      </c>
      <c r="E527" s="346">
        <f t="shared" ref="E527:K527" si="195">D35</f>
        <v>0</v>
      </c>
      <c r="F527" s="346">
        <f t="shared" si="195"/>
        <v>0</v>
      </c>
      <c r="G527" s="346">
        <f t="shared" si="195"/>
        <v>0</v>
      </c>
      <c r="H527" s="346">
        <f t="shared" si="195"/>
        <v>0</v>
      </c>
      <c r="I527" s="346">
        <f t="shared" si="195"/>
        <v>0</v>
      </c>
      <c r="J527" s="346">
        <f t="shared" si="195"/>
        <v>3</v>
      </c>
      <c r="K527" s="346">
        <f t="shared" si="195"/>
        <v>3</v>
      </c>
      <c r="L527" s="346">
        <f t="shared" ref="L527:R527" si="196">M35</f>
        <v>0</v>
      </c>
      <c r="M527" s="346">
        <f t="shared" si="196"/>
        <v>0</v>
      </c>
      <c r="N527" s="346">
        <f t="shared" si="196"/>
        <v>1</v>
      </c>
      <c r="O527" s="346">
        <f t="shared" si="196"/>
        <v>1</v>
      </c>
      <c r="P527" s="346">
        <f t="shared" si="196"/>
        <v>1</v>
      </c>
      <c r="Q527" s="346">
        <f t="shared" si="196"/>
        <v>3</v>
      </c>
      <c r="R527" s="346">
        <f t="shared" si="196"/>
        <v>6</v>
      </c>
      <c r="S527" s="346">
        <f t="shared" si="139"/>
        <v>0</v>
      </c>
      <c r="T527" s="346">
        <f t="shared" si="140"/>
        <v>0</v>
      </c>
      <c r="U527" s="346">
        <f t="shared" si="141"/>
        <v>0</v>
      </c>
      <c r="V527" s="346">
        <f t="shared" si="142"/>
        <v>0</v>
      </c>
      <c r="W527" s="346">
        <f t="shared" si="143"/>
        <v>0</v>
      </c>
      <c r="X527" s="346">
        <f t="shared" si="144"/>
        <v>0</v>
      </c>
      <c r="Y527" s="346">
        <f t="shared" si="145"/>
        <v>0</v>
      </c>
      <c r="Z527" s="346">
        <f t="shared" si="146"/>
        <v>9</v>
      </c>
    </row>
    <row r="528" spans="1:26" x14ac:dyDescent="0.25">
      <c r="A528" s="348">
        <f>IF(ADSI!$G$12="",ADSI!$H$16,ADSI!$H$12)</f>
        <v>6</v>
      </c>
      <c r="B528" s="348" t="str">
        <f ca="1">IF(ADSI!$G$12="",ADSI!$H$16,ADSI!$H$14)</f>
        <v/>
      </c>
      <c r="C528" s="388">
        <f>A36</f>
        <v>227</v>
      </c>
      <c r="D528" s="348">
        <f>ADSI!$K$12</f>
        <v>2021</v>
      </c>
      <c r="E528" s="346">
        <f t="shared" ref="E528:K528" si="197">D36</f>
        <v>0</v>
      </c>
      <c r="F528" s="346">
        <f t="shared" si="197"/>
        <v>0</v>
      </c>
      <c r="G528" s="346">
        <f t="shared" si="197"/>
        <v>0</v>
      </c>
      <c r="H528" s="346">
        <f t="shared" si="197"/>
        <v>0</v>
      </c>
      <c r="I528" s="346">
        <f t="shared" si="197"/>
        <v>0</v>
      </c>
      <c r="J528" s="346">
        <f t="shared" si="197"/>
        <v>1</v>
      </c>
      <c r="K528" s="346">
        <f t="shared" si="197"/>
        <v>1</v>
      </c>
      <c r="L528" s="346">
        <f t="shared" ref="L528:R528" si="198">M36</f>
        <v>0</v>
      </c>
      <c r="M528" s="346">
        <f t="shared" si="198"/>
        <v>0</v>
      </c>
      <c r="N528" s="346">
        <f t="shared" si="198"/>
        <v>0</v>
      </c>
      <c r="O528" s="346">
        <f t="shared" si="198"/>
        <v>0</v>
      </c>
      <c r="P528" s="346">
        <f t="shared" si="198"/>
        <v>0</v>
      </c>
      <c r="Q528" s="346">
        <f t="shared" si="198"/>
        <v>0</v>
      </c>
      <c r="R528" s="346">
        <f t="shared" si="198"/>
        <v>0</v>
      </c>
      <c r="S528" s="346">
        <f t="shared" si="139"/>
        <v>0</v>
      </c>
      <c r="T528" s="346">
        <f t="shared" si="140"/>
        <v>0</v>
      </c>
      <c r="U528" s="346">
        <f t="shared" si="141"/>
        <v>0</v>
      </c>
      <c r="V528" s="346">
        <f t="shared" si="142"/>
        <v>0</v>
      </c>
      <c r="W528" s="346">
        <f t="shared" si="143"/>
        <v>0</v>
      </c>
      <c r="X528" s="346">
        <f t="shared" si="144"/>
        <v>0</v>
      </c>
      <c r="Y528" s="346">
        <f t="shared" si="145"/>
        <v>0</v>
      </c>
      <c r="Z528" s="346">
        <f t="shared" si="146"/>
        <v>1</v>
      </c>
    </row>
    <row r="529" spans="1:26" x14ac:dyDescent="0.25">
      <c r="A529" s="348">
        <f>IF(ADSI!$G$12="",ADSI!$H$16,ADSI!$H$12)</f>
        <v>6</v>
      </c>
      <c r="B529" s="348" t="str">
        <f ca="1">IF(ADSI!$G$12="",ADSI!$H$16,ADSI!$H$14)</f>
        <v/>
      </c>
      <c r="C529" s="388">
        <f t="shared" si="136"/>
        <v>228</v>
      </c>
      <c r="D529" s="348">
        <f>ADSI!$K$12</f>
        <v>2021</v>
      </c>
      <c r="E529" s="346">
        <f t="shared" ref="E529:K529" si="199">D37</f>
        <v>0</v>
      </c>
      <c r="F529" s="346">
        <f t="shared" si="199"/>
        <v>0</v>
      </c>
      <c r="G529" s="346">
        <f t="shared" si="199"/>
        <v>0</v>
      </c>
      <c r="H529" s="346">
        <f t="shared" si="199"/>
        <v>0</v>
      </c>
      <c r="I529" s="346">
        <f t="shared" si="199"/>
        <v>0</v>
      </c>
      <c r="J529" s="346">
        <f t="shared" si="199"/>
        <v>0</v>
      </c>
      <c r="K529" s="346">
        <f t="shared" si="199"/>
        <v>0</v>
      </c>
      <c r="L529" s="346">
        <f t="shared" ref="L529:R529" si="200">M37</f>
        <v>0</v>
      </c>
      <c r="M529" s="346">
        <f t="shared" si="200"/>
        <v>0</v>
      </c>
      <c r="N529" s="346">
        <f t="shared" si="200"/>
        <v>0</v>
      </c>
      <c r="O529" s="346">
        <f t="shared" si="200"/>
        <v>0</v>
      </c>
      <c r="P529" s="346">
        <f t="shared" si="200"/>
        <v>0</v>
      </c>
      <c r="Q529" s="346">
        <f t="shared" si="200"/>
        <v>0</v>
      </c>
      <c r="R529" s="346">
        <f t="shared" si="200"/>
        <v>0</v>
      </c>
      <c r="S529" s="346">
        <f t="shared" si="139"/>
        <v>0</v>
      </c>
      <c r="T529" s="346">
        <f t="shared" si="140"/>
        <v>0</v>
      </c>
      <c r="U529" s="346">
        <f t="shared" si="141"/>
        <v>0</v>
      </c>
      <c r="V529" s="346">
        <f t="shared" si="142"/>
        <v>0</v>
      </c>
      <c r="W529" s="346">
        <f t="shared" si="143"/>
        <v>0</v>
      </c>
      <c r="X529" s="346">
        <f t="shared" si="144"/>
        <v>0</v>
      </c>
      <c r="Y529" s="346">
        <f t="shared" si="145"/>
        <v>0</v>
      </c>
      <c r="Z529" s="346">
        <f t="shared" si="146"/>
        <v>0</v>
      </c>
    </row>
    <row r="530" spans="1:26" x14ac:dyDescent="0.25">
      <c r="A530" s="348">
        <f>IF(ADSI!$G$12="",ADSI!$H$16,ADSI!$H$12)</f>
        <v>6</v>
      </c>
      <c r="B530" s="348" t="str">
        <f ca="1">IF(ADSI!$G$12="",ADSI!$H$16,ADSI!$H$14)</f>
        <v/>
      </c>
      <c r="C530" s="388">
        <f t="shared" si="136"/>
        <v>229</v>
      </c>
      <c r="D530" s="348">
        <f>ADSI!$K$12</f>
        <v>2021</v>
      </c>
      <c r="E530" s="346">
        <f t="shared" ref="E530:K530" si="201">D38</f>
        <v>0</v>
      </c>
      <c r="F530" s="346">
        <f t="shared" si="201"/>
        <v>0</v>
      </c>
      <c r="G530" s="346">
        <f t="shared" si="201"/>
        <v>0</v>
      </c>
      <c r="H530" s="346">
        <f t="shared" si="201"/>
        <v>0</v>
      </c>
      <c r="I530" s="346">
        <f t="shared" si="201"/>
        <v>0</v>
      </c>
      <c r="J530" s="346">
        <f t="shared" si="201"/>
        <v>0</v>
      </c>
      <c r="K530" s="346">
        <f t="shared" si="201"/>
        <v>0</v>
      </c>
      <c r="L530" s="346">
        <f t="shared" ref="L530:R530" si="202">M38</f>
        <v>0</v>
      </c>
      <c r="M530" s="346">
        <f t="shared" si="202"/>
        <v>0</v>
      </c>
      <c r="N530" s="346">
        <f t="shared" si="202"/>
        <v>0</v>
      </c>
      <c r="O530" s="346">
        <f t="shared" si="202"/>
        <v>1</v>
      </c>
      <c r="P530" s="346">
        <f t="shared" si="202"/>
        <v>0</v>
      </c>
      <c r="Q530" s="346">
        <f t="shared" si="202"/>
        <v>0</v>
      </c>
      <c r="R530" s="346">
        <f t="shared" si="202"/>
        <v>1</v>
      </c>
      <c r="S530" s="346">
        <f t="shared" si="139"/>
        <v>0</v>
      </c>
      <c r="T530" s="346">
        <f t="shared" si="140"/>
        <v>0</v>
      </c>
      <c r="U530" s="346">
        <f t="shared" si="141"/>
        <v>0</v>
      </c>
      <c r="V530" s="346">
        <f t="shared" si="142"/>
        <v>0</v>
      </c>
      <c r="W530" s="346">
        <f t="shared" si="143"/>
        <v>0</v>
      </c>
      <c r="X530" s="346">
        <f t="shared" si="144"/>
        <v>0</v>
      </c>
      <c r="Y530" s="346">
        <f t="shared" si="145"/>
        <v>0</v>
      </c>
      <c r="Z530" s="346">
        <f t="shared" si="146"/>
        <v>1</v>
      </c>
    </row>
    <row r="531" spans="1:26" x14ac:dyDescent="0.25">
      <c r="A531" s="348">
        <f>IF(ADSI!$G$12="",ADSI!$H$16,ADSI!$H$12)</f>
        <v>6</v>
      </c>
      <c r="B531" s="348" t="str">
        <f ca="1">IF(ADSI!$G$12="",ADSI!$H$16,ADSI!$H$14)</f>
        <v/>
      </c>
      <c r="C531" s="388">
        <f>A39</f>
        <v>230</v>
      </c>
      <c r="D531" s="348">
        <f>ADSI!$K$12</f>
        <v>2021</v>
      </c>
      <c r="E531" s="346">
        <f t="shared" ref="E531:K531" si="203">D39</f>
        <v>0</v>
      </c>
      <c r="F531" s="346">
        <f t="shared" si="203"/>
        <v>0</v>
      </c>
      <c r="G531" s="346">
        <f t="shared" si="203"/>
        <v>0</v>
      </c>
      <c r="H531" s="346">
        <f t="shared" si="203"/>
        <v>0</v>
      </c>
      <c r="I531" s="346">
        <f t="shared" si="203"/>
        <v>0</v>
      </c>
      <c r="J531" s="346">
        <f t="shared" si="203"/>
        <v>2</v>
      </c>
      <c r="K531" s="346">
        <f t="shared" si="203"/>
        <v>2</v>
      </c>
      <c r="L531" s="346">
        <f t="shared" ref="L531:R531" si="204">M39</f>
        <v>0</v>
      </c>
      <c r="M531" s="346">
        <f t="shared" si="204"/>
        <v>0</v>
      </c>
      <c r="N531" s="346">
        <f t="shared" si="204"/>
        <v>1</v>
      </c>
      <c r="O531" s="346">
        <f t="shared" si="204"/>
        <v>0</v>
      </c>
      <c r="P531" s="346">
        <f t="shared" si="204"/>
        <v>0</v>
      </c>
      <c r="Q531" s="346">
        <f t="shared" si="204"/>
        <v>0</v>
      </c>
      <c r="R531" s="346">
        <f t="shared" si="204"/>
        <v>1</v>
      </c>
      <c r="S531" s="346">
        <f t="shared" si="139"/>
        <v>0</v>
      </c>
      <c r="T531" s="346">
        <f t="shared" si="140"/>
        <v>0</v>
      </c>
      <c r="U531" s="346">
        <f t="shared" si="141"/>
        <v>0</v>
      </c>
      <c r="V531" s="346">
        <f t="shared" si="142"/>
        <v>0</v>
      </c>
      <c r="W531" s="346">
        <f t="shared" si="143"/>
        <v>0</v>
      </c>
      <c r="X531" s="346">
        <f t="shared" si="144"/>
        <v>0</v>
      </c>
      <c r="Y531" s="346">
        <f t="shared" si="145"/>
        <v>0</v>
      </c>
      <c r="Z531" s="346">
        <f t="shared" si="146"/>
        <v>3</v>
      </c>
    </row>
    <row r="532" spans="1:26" x14ac:dyDescent="0.25">
      <c r="A532" s="348">
        <f>IF(ADSI!$G$12="",ADSI!$H$16,ADSI!$H$12)</f>
        <v>6</v>
      </c>
      <c r="B532" s="348" t="str">
        <f ca="1">IF(ADSI!$G$12="",ADSI!$H$16,ADSI!$H$14)</f>
        <v/>
      </c>
      <c r="C532" s="388">
        <f t="shared" si="136"/>
        <v>231</v>
      </c>
      <c r="D532" s="348">
        <f>ADSI!$K$12</f>
        <v>2021</v>
      </c>
      <c r="E532" s="346">
        <f t="shared" ref="E532:K532" si="205">D40</f>
        <v>0</v>
      </c>
      <c r="F532" s="346">
        <f t="shared" si="205"/>
        <v>0</v>
      </c>
      <c r="G532" s="346">
        <f t="shared" si="205"/>
        <v>0</v>
      </c>
      <c r="H532" s="346">
        <f t="shared" si="205"/>
        <v>0</v>
      </c>
      <c r="I532" s="346">
        <f t="shared" si="205"/>
        <v>0</v>
      </c>
      <c r="J532" s="346">
        <f t="shared" si="205"/>
        <v>0</v>
      </c>
      <c r="K532" s="346">
        <f t="shared" si="205"/>
        <v>0</v>
      </c>
      <c r="L532" s="346">
        <f t="shared" ref="L532:R532" si="206">M40</f>
        <v>0</v>
      </c>
      <c r="M532" s="346">
        <f t="shared" si="206"/>
        <v>0</v>
      </c>
      <c r="N532" s="346">
        <f t="shared" si="206"/>
        <v>0</v>
      </c>
      <c r="O532" s="346">
        <f t="shared" si="206"/>
        <v>0</v>
      </c>
      <c r="P532" s="346">
        <f t="shared" si="206"/>
        <v>1</v>
      </c>
      <c r="Q532" s="346">
        <f t="shared" si="206"/>
        <v>3</v>
      </c>
      <c r="R532" s="346">
        <f t="shared" si="206"/>
        <v>4</v>
      </c>
      <c r="S532" s="346">
        <f t="shared" si="139"/>
        <v>0</v>
      </c>
      <c r="T532" s="346">
        <f t="shared" si="140"/>
        <v>0</v>
      </c>
      <c r="U532" s="346">
        <f t="shared" si="141"/>
        <v>0</v>
      </c>
      <c r="V532" s="346">
        <f t="shared" si="142"/>
        <v>0</v>
      </c>
      <c r="W532" s="346">
        <f t="shared" si="143"/>
        <v>0</v>
      </c>
      <c r="X532" s="346">
        <f t="shared" si="144"/>
        <v>0</v>
      </c>
      <c r="Y532" s="346">
        <f t="shared" si="145"/>
        <v>0</v>
      </c>
      <c r="Z532" s="346">
        <f t="shared" si="146"/>
        <v>4</v>
      </c>
    </row>
    <row r="533" spans="1:26" x14ac:dyDescent="0.25">
      <c r="A533" s="348">
        <f>IF(ADSI!$G$12="",ADSI!$H$16,ADSI!$H$12)</f>
        <v>6</v>
      </c>
      <c r="B533" s="348" t="str">
        <f ca="1">IF(ADSI!$G$12="",ADSI!$H$16,ADSI!$H$14)</f>
        <v/>
      </c>
      <c r="C533" s="388">
        <f t="shared" si="136"/>
        <v>232</v>
      </c>
      <c r="D533" s="348">
        <f>ADSI!$K$12</f>
        <v>2021</v>
      </c>
      <c r="E533" s="346">
        <f t="shared" ref="E533:K533" si="207">D41</f>
        <v>1</v>
      </c>
      <c r="F533" s="346">
        <f t="shared" si="207"/>
        <v>0</v>
      </c>
      <c r="G533" s="346">
        <f t="shared" si="207"/>
        <v>0</v>
      </c>
      <c r="H533" s="346">
        <f t="shared" si="207"/>
        <v>0</v>
      </c>
      <c r="I533" s="346">
        <f t="shared" si="207"/>
        <v>0</v>
      </c>
      <c r="J533" s="346">
        <f t="shared" si="207"/>
        <v>0</v>
      </c>
      <c r="K533" s="346">
        <f t="shared" si="207"/>
        <v>1</v>
      </c>
      <c r="L533" s="346">
        <f t="shared" ref="L533:R533" si="208">M41</f>
        <v>0</v>
      </c>
      <c r="M533" s="346">
        <f t="shared" si="208"/>
        <v>0</v>
      </c>
      <c r="N533" s="346">
        <f t="shared" si="208"/>
        <v>0</v>
      </c>
      <c r="O533" s="346">
        <f t="shared" si="208"/>
        <v>0</v>
      </c>
      <c r="P533" s="346">
        <f t="shared" si="208"/>
        <v>0</v>
      </c>
      <c r="Q533" s="346">
        <f t="shared" si="208"/>
        <v>0</v>
      </c>
      <c r="R533" s="346">
        <f t="shared" si="208"/>
        <v>0</v>
      </c>
      <c r="S533" s="346">
        <f t="shared" si="139"/>
        <v>0</v>
      </c>
      <c r="T533" s="346">
        <f t="shared" si="140"/>
        <v>0</v>
      </c>
      <c r="U533" s="346">
        <f t="shared" si="141"/>
        <v>0</v>
      </c>
      <c r="V533" s="346">
        <f t="shared" si="142"/>
        <v>0</v>
      </c>
      <c r="W533" s="346">
        <f t="shared" si="143"/>
        <v>0</v>
      </c>
      <c r="X533" s="346">
        <f t="shared" si="144"/>
        <v>0</v>
      </c>
      <c r="Y533" s="346">
        <f t="shared" si="145"/>
        <v>0</v>
      </c>
      <c r="Z533" s="346">
        <f t="shared" si="146"/>
        <v>1</v>
      </c>
    </row>
    <row r="534" spans="1:26" x14ac:dyDescent="0.25">
      <c r="A534" s="348">
        <f>IF(ADSI!$G$12="",ADSI!$H$16,ADSI!$H$12)</f>
        <v>6</v>
      </c>
      <c r="B534" s="348" t="str">
        <f ca="1">IF(ADSI!$G$12="",ADSI!$H$16,ADSI!$H$14)</f>
        <v/>
      </c>
      <c r="C534" s="388">
        <f>A42</f>
        <v>233</v>
      </c>
      <c r="D534" s="348">
        <f>ADSI!$K$12</f>
        <v>2021</v>
      </c>
      <c r="E534" s="346">
        <f t="shared" ref="E534:K534" si="209">D42</f>
        <v>0</v>
      </c>
      <c r="F534" s="346">
        <f t="shared" si="209"/>
        <v>0</v>
      </c>
      <c r="G534" s="346">
        <f t="shared" si="209"/>
        <v>0</v>
      </c>
      <c r="H534" s="346">
        <f t="shared" si="209"/>
        <v>0</v>
      </c>
      <c r="I534" s="346">
        <f t="shared" si="209"/>
        <v>0</v>
      </c>
      <c r="J534" s="346">
        <f t="shared" si="209"/>
        <v>0</v>
      </c>
      <c r="K534" s="346">
        <f t="shared" si="209"/>
        <v>0</v>
      </c>
      <c r="L534" s="346">
        <f t="shared" ref="L534:R534" si="210">M42</f>
        <v>0</v>
      </c>
      <c r="M534" s="346">
        <f t="shared" si="210"/>
        <v>0</v>
      </c>
      <c r="N534" s="346">
        <f t="shared" si="210"/>
        <v>0</v>
      </c>
      <c r="O534" s="346">
        <f t="shared" si="210"/>
        <v>0</v>
      </c>
      <c r="P534" s="346">
        <f t="shared" si="210"/>
        <v>0</v>
      </c>
      <c r="Q534" s="346">
        <f t="shared" si="210"/>
        <v>0</v>
      </c>
      <c r="R534" s="346">
        <f t="shared" si="210"/>
        <v>0</v>
      </c>
      <c r="S534" s="346">
        <f t="shared" si="139"/>
        <v>0</v>
      </c>
      <c r="T534" s="346">
        <f t="shared" si="140"/>
        <v>0</v>
      </c>
      <c r="U534" s="346">
        <f t="shared" si="141"/>
        <v>0</v>
      </c>
      <c r="V534" s="346">
        <f t="shared" si="142"/>
        <v>0</v>
      </c>
      <c r="W534" s="346">
        <f t="shared" si="143"/>
        <v>0</v>
      </c>
      <c r="X534" s="346">
        <f t="shared" si="144"/>
        <v>0</v>
      </c>
      <c r="Y534" s="346">
        <f t="shared" si="145"/>
        <v>0</v>
      </c>
      <c r="Z534" s="346">
        <f t="shared" si="146"/>
        <v>0</v>
      </c>
    </row>
    <row r="535" spans="1:26" x14ac:dyDescent="0.25">
      <c r="A535" s="348">
        <f>IF(ADSI!$G$12="",ADSI!$H$16,ADSI!$H$12)</f>
        <v>6</v>
      </c>
      <c r="B535" s="348" t="str">
        <f ca="1">IF(ADSI!$G$12="",ADSI!$H$16,ADSI!$H$14)</f>
        <v/>
      </c>
      <c r="C535" s="388">
        <f t="shared" si="136"/>
        <v>234</v>
      </c>
      <c r="D535" s="348">
        <f>ADSI!$K$12</f>
        <v>2021</v>
      </c>
      <c r="E535" s="346">
        <f t="shared" ref="E535:K535" si="211">D43</f>
        <v>1</v>
      </c>
      <c r="F535" s="346">
        <f t="shared" si="211"/>
        <v>0</v>
      </c>
      <c r="G535" s="346">
        <f t="shared" si="211"/>
        <v>87</v>
      </c>
      <c r="H535" s="346">
        <f t="shared" si="211"/>
        <v>74</v>
      </c>
      <c r="I535" s="346">
        <f t="shared" si="211"/>
        <v>47</v>
      </c>
      <c r="J535" s="346">
        <f t="shared" si="211"/>
        <v>29</v>
      </c>
      <c r="K535" s="346">
        <f t="shared" si="211"/>
        <v>238</v>
      </c>
      <c r="L535" s="346">
        <f t="shared" ref="L535:R535" si="212">M43</f>
        <v>0</v>
      </c>
      <c r="M535" s="346">
        <f t="shared" si="212"/>
        <v>0</v>
      </c>
      <c r="N535" s="346">
        <f t="shared" si="212"/>
        <v>7</v>
      </c>
      <c r="O535" s="346">
        <f t="shared" si="212"/>
        <v>10</v>
      </c>
      <c r="P535" s="346">
        <f t="shared" si="212"/>
        <v>9</v>
      </c>
      <c r="Q535" s="346">
        <f t="shared" si="212"/>
        <v>11</v>
      </c>
      <c r="R535" s="346">
        <f t="shared" si="212"/>
        <v>37</v>
      </c>
      <c r="S535" s="346">
        <f t="shared" si="139"/>
        <v>0</v>
      </c>
      <c r="T535" s="346">
        <f t="shared" si="140"/>
        <v>0</v>
      </c>
      <c r="U535" s="346">
        <f t="shared" si="141"/>
        <v>0</v>
      </c>
      <c r="V535" s="346">
        <f t="shared" si="142"/>
        <v>0</v>
      </c>
      <c r="W535" s="346">
        <f t="shared" si="143"/>
        <v>0</v>
      </c>
      <c r="X535" s="346">
        <f t="shared" si="144"/>
        <v>0</v>
      </c>
      <c r="Y535" s="346">
        <f t="shared" si="145"/>
        <v>0</v>
      </c>
      <c r="Z535" s="346">
        <f t="shared" si="146"/>
        <v>275</v>
      </c>
    </row>
    <row r="536" spans="1:26" x14ac:dyDescent="0.25">
      <c r="A536" s="348">
        <f>IF(ADSI!$G$12="",ADSI!$H$16,ADSI!$H$12)</f>
        <v>6</v>
      </c>
      <c r="B536" s="348" t="str">
        <f ca="1">IF(ADSI!$G$12="",ADSI!$H$16,ADSI!$H$14)</f>
        <v/>
      </c>
      <c r="C536" s="388">
        <f t="shared" si="136"/>
        <v>235</v>
      </c>
      <c r="D536" s="348">
        <f>ADSI!$K$12</f>
        <v>2021</v>
      </c>
      <c r="E536" s="346">
        <f t="shared" ref="E536:K536" si="213">D44</f>
        <v>1</v>
      </c>
      <c r="F536" s="346">
        <f t="shared" si="213"/>
        <v>0</v>
      </c>
      <c r="G536" s="346">
        <f t="shared" si="213"/>
        <v>72</v>
      </c>
      <c r="H536" s="346">
        <f t="shared" si="213"/>
        <v>55</v>
      </c>
      <c r="I536" s="346">
        <f t="shared" si="213"/>
        <v>38</v>
      </c>
      <c r="J536" s="346">
        <f t="shared" si="213"/>
        <v>27</v>
      </c>
      <c r="K536" s="346">
        <f t="shared" si="213"/>
        <v>193</v>
      </c>
      <c r="L536" s="346">
        <f t="shared" ref="L536:R536" si="214">M44</f>
        <v>0</v>
      </c>
      <c r="M536" s="346">
        <f t="shared" si="214"/>
        <v>0</v>
      </c>
      <c r="N536" s="346">
        <f t="shared" si="214"/>
        <v>6</v>
      </c>
      <c r="O536" s="346">
        <f t="shared" si="214"/>
        <v>9</v>
      </c>
      <c r="P536" s="346">
        <f t="shared" si="214"/>
        <v>8</v>
      </c>
      <c r="Q536" s="346">
        <f t="shared" si="214"/>
        <v>10</v>
      </c>
      <c r="R536" s="346">
        <f t="shared" si="214"/>
        <v>33</v>
      </c>
      <c r="S536" s="346">
        <f t="shared" si="139"/>
        <v>0</v>
      </c>
      <c r="T536" s="346">
        <f t="shared" si="140"/>
        <v>0</v>
      </c>
      <c r="U536" s="346">
        <f t="shared" si="141"/>
        <v>0</v>
      </c>
      <c r="V536" s="346">
        <f t="shared" si="142"/>
        <v>0</v>
      </c>
      <c r="W536" s="346">
        <f t="shared" si="143"/>
        <v>0</v>
      </c>
      <c r="X536" s="346">
        <f t="shared" si="144"/>
        <v>0</v>
      </c>
      <c r="Y536" s="346">
        <f t="shared" si="145"/>
        <v>0</v>
      </c>
      <c r="Z536" s="346">
        <f t="shared" si="146"/>
        <v>226</v>
      </c>
    </row>
    <row r="537" spans="1:26" x14ac:dyDescent="0.25">
      <c r="A537" s="348">
        <f>IF(ADSI!$G$12="",ADSI!$H$16,ADSI!$H$12)</f>
        <v>6</v>
      </c>
      <c r="B537" s="348" t="str">
        <f ca="1">IF(ADSI!$G$12="",ADSI!$H$16,ADSI!$H$14)</f>
        <v/>
      </c>
      <c r="C537" s="388">
        <f t="shared" si="136"/>
        <v>236</v>
      </c>
      <c r="D537" s="348">
        <f>ADSI!$K$12</f>
        <v>2021</v>
      </c>
      <c r="E537" s="346">
        <f t="shared" ref="E537:K537" si="215">D45</f>
        <v>0</v>
      </c>
      <c r="F537" s="346">
        <f t="shared" si="215"/>
        <v>0</v>
      </c>
      <c r="G537" s="346">
        <f t="shared" si="215"/>
        <v>0</v>
      </c>
      <c r="H537" s="346">
        <f t="shared" si="215"/>
        <v>0</v>
      </c>
      <c r="I537" s="346">
        <f t="shared" si="215"/>
        <v>0</v>
      </c>
      <c r="J537" s="346">
        <f t="shared" si="215"/>
        <v>0</v>
      </c>
      <c r="K537" s="346">
        <f t="shared" si="215"/>
        <v>0</v>
      </c>
      <c r="L537" s="346">
        <f t="shared" ref="L537:R537" si="216">M45</f>
        <v>0</v>
      </c>
      <c r="M537" s="346">
        <f t="shared" si="216"/>
        <v>0</v>
      </c>
      <c r="N537" s="346">
        <f t="shared" si="216"/>
        <v>0</v>
      </c>
      <c r="O537" s="346">
        <f t="shared" si="216"/>
        <v>0</v>
      </c>
      <c r="P537" s="346">
        <f t="shared" si="216"/>
        <v>0</v>
      </c>
      <c r="Q537" s="346">
        <f t="shared" si="216"/>
        <v>0</v>
      </c>
      <c r="R537" s="346">
        <f t="shared" si="216"/>
        <v>0</v>
      </c>
      <c r="S537" s="346">
        <f t="shared" si="139"/>
        <v>0</v>
      </c>
      <c r="T537" s="346">
        <f t="shared" si="140"/>
        <v>0</v>
      </c>
      <c r="U537" s="346">
        <f t="shared" si="141"/>
        <v>0</v>
      </c>
      <c r="V537" s="346">
        <f t="shared" si="142"/>
        <v>0</v>
      </c>
      <c r="W537" s="346">
        <f t="shared" si="143"/>
        <v>0</v>
      </c>
      <c r="X537" s="346">
        <f t="shared" si="144"/>
        <v>0</v>
      </c>
      <c r="Y537" s="346">
        <f t="shared" si="145"/>
        <v>0</v>
      </c>
      <c r="Z537" s="346">
        <f t="shared" si="146"/>
        <v>0</v>
      </c>
    </row>
    <row r="538" spans="1:26" x14ac:dyDescent="0.25">
      <c r="A538" s="348">
        <f>IF(ADSI!$G$12="",ADSI!$H$16,ADSI!$H$12)</f>
        <v>6</v>
      </c>
      <c r="B538" s="348" t="str">
        <f ca="1">IF(ADSI!$G$12="",ADSI!$H$16,ADSI!$H$14)</f>
        <v/>
      </c>
      <c r="C538" s="388">
        <f t="shared" si="136"/>
        <v>237</v>
      </c>
      <c r="D538" s="348">
        <f>ADSI!$K$12</f>
        <v>2021</v>
      </c>
      <c r="E538" s="346">
        <f t="shared" ref="E538:K538" si="217">D46</f>
        <v>1</v>
      </c>
      <c r="F538" s="346">
        <f t="shared" si="217"/>
        <v>0</v>
      </c>
      <c r="G538" s="346">
        <f t="shared" si="217"/>
        <v>72</v>
      </c>
      <c r="H538" s="346">
        <f t="shared" si="217"/>
        <v>55</v>
      </c>
      <c r="I538" s="346">
        <f t="shared" si="217"/>
        <v>38</v>
      </c>
      <c r="J538" s="346">
        <f t="shared" si="217"/>
        <v>27</v>
      </c>
      <c r="K538" s="346">
        <f t="shared" si="217"/>
        <v>193</v>
      </c>
      <c r="L538" s="346">
        <f t="shared" ref="L538:R538" si="218">M46</f>
        <v>0</v>
      </c>
      <c r="M538" s="346">
        <f t="shared" si="218"/>
        <v>0</v>
      </c>
      <c r="N538" s="346">
        <f t="shared" si="218"/>
        <v>6</v>
      </c>
      <c r="O538" s="346">
        <f t="shared" si="218"/>
        <v>9</v>
      </c>
      <c r="P538" s="346">
        <f t="shared" si="218"/>
        <v>8</v>
      </c>
      <c r="Q538" s="346">
        <f t="shared" si="218"/>
        <v>10</v>
      </c>
      <c r="R538" s="346">
        <f t="shared" si="218"/>
        <v>33</v>
      </c>
      <c r="S538" s="346">
        <f t="shared" si="139"/>
        <v>0</v>
      </c>
      <c r="T538" s="346">
        <f t="shared" si="140"/>
        <v>0</v>
      </c>
      <c r="U538" s="346">
        <f t="shared" si="141"/>
        <v>0</v>
      </c>
      <c r="V538" s="346">
        <f t="shared" si="142"/>
        <v>0</v>
      </c>
      <c r="W538" s="346">
        <f t="shared" si="143"/>
        <v>0</v>
      </c>
      <c r="X538" s="346">
        <f t="shared" si="144"/>
        <v>0</v>
      </c>
      <c r="Y538" s="346">
        <f t="shared" si="145"/>
        <v>0</v>
      </c>
      <c r="Z538" s="346">
        <f t="shared" si="146"/>
        <v>226</v>
      </c>
    </row>
    <row r="539" spans="1:26" x14ac:dyDescent="0.25">
      <c r="A539" s="348">
        <f>IF(ADSI!$G$12="",ADSI!$H$16,ADSI!$H$12)</f>
        <v>6</v>
      </c>
      <c r="B539" s="348" t="str">
        <f ca="1">IF(ADSI!$G$12="",ADSI!$H$16,ADSI!$H$14)</f>
        <v/>
      </c>
      <c r="C539" s="388">
        <f t="shared" si="136"/>
        <v>238</v>
      </c>
      <c r="D539" s="348">
        <f>ADSI!$K$12</f>
        <v>2021</v>
      </c>
      <c r="E539" s="346">
        <f t="shared" ref="E539:K539" si="219">D47</f>
        <v>0</v>
      </c>
      <c r="F539" s="346">
        <f t="shared" si="219"/>
        <v>0</v>
      </c>
      <c r="G539" s="346">
        <f t="shared" si="219"/>
        <v>0</v>
      </c>
      <c r="H539" s="346">
        <f t="shared" si="219"/>
        <v>0</v>
      </c>
      <c r="I539" s="346">
        <f t="shared" si="219"/>
        <v>0</v>
      </c>
      <c r="J539" s="346">
        <f t="shared" si="219"/>
        <v>0</v>
      </c>
      <c r="K539" s="346">
        <f t="shared" si="219"/>
        <v>0</v>
      </c>
      <c r="L539" s="346">
        <f t="shared" ref="L539:R539" si="220">M47</f>
        <v>0</v>
      </c>
      <c r="M539" s="346">
        <f t="shared" si="220"/>
        <v>0</v>
      </c>
      <c r="N539" s="346">
        <f t="shared" si="220"/>
        <v>0</v>
      </c>
      <c r="O539" s="346">
        <f t="shared" si="220"/>
        <v>0</v>
      </c>
      <c r="P539" s="346">
        <f t="shared" si="220"/>
        <v>0</v>
      </c>
      <c r="Q539" s="346">
        <f t="shared" si="220"/>
        <v>0</v>
      </c>
      <c r="R539" s="346">
        <f t="shared" si="220"/>
        <v>0</v>
      </c>
      <c r="S539" s="346">
        <f t="shared" si="139"/>
        <v>0</v>
      </c>
      <c r="T539" s="346">
        <f t="shared" si="140"/>
        <v>0</v>
      </c>
      <c r="U539" s="346">
        <f t="shared" si="141"/>
        <v>0</v>
      </c>
      <c r="V539" s="346">
        <f t="shared" si="142"/>
        <v>0</v>
      </c>
      <c r="W539" s="346">
        <f t="shared" si="143"/>
        <v>0</v>
      </c>
      <c r="X539" s="346">
        <f t="shared" si="144"/>
        <v>0</v>
      </c>
      <c r="Y539" s="346">
        <f t="shared" si="145"/>
        <v>0</v>
      </c>
      <c r="Z539" s="346">
        <f t="shared" si="146"/>
        <v>0</v>
      </c>
    </row>
    <row r="540" spans="1:26" x14ac:dyDescent="0.25">
      <c r="A540" s="348">
        <f>IF(ADSI!$G$12="",ADSI!$H$16,ADSI!$H$12)</f>
        <v>6</v>
      </c>
      <c r="B540" s="348" t="str">
        <f ca="1">IF(ADSI!$G$12="",ADSI!$H$16,ADSI!$H$14)</f>
        <v/>
      </c>
      <c r="C540" s="388">
        <f t="shared" si="136"/>
        <v>239</v>
      </c>
      <c r="D540" s="348">
        <f>ADSI!$K$12</f>
        <v>2021</v>
      </c>
      <c r="E540" s="346">
        <f t="shared" ref="E540:K540" si="221">D48</f>
        <v>0</v>
      </c>
      <c r="F540" s="346">
        <f t="shared" si="221"/>
        <v>0</v>
      </c>
      <c r="G540" s="346">
        <f t="shared" si="221"/>
        <v>15</v>
      </c>
      <c r="H540" s="346">
        <f t="shared" si="221"/>
        <v>19</v>
      </c>
      <c r="I540" s="346">
        <f t="shared" si="221"/>
        <v>9</v>
      </c>
      <c r="J540" s="346">
        <f t="shared" si="221"/>
        <v>2</v>
      </c>
      <c r="K540" s="346">
        <f t="shared" si="221"/>
        <v>45</v>
      </c>
      <c r="L540" s="346">
        <f t="shared" ref="L540:R540" si="222">M48</f>
        <v>0</v>
      </c>
      <c r="M540" s="346">
        <f t="shared" si="222"/>
        <v>0</v>
      </c>
      <c r="N540" s="346">
        <f t="shared" si="222"/>
        <v>1</v>
      </c>
      <c r="O540" s="346">
        <f t="shared" si="222"/>
        <v>1</v>
      </c>
      <c r="P540" s="346">
        <f t="shared" si="222"/>
        <v>1</v>
      </c>
      <c r="Q540" s="346">
        <f t="shared" si="222"/>
        <v>1</v>
      </c>
      <c r="R540" s="346">
        <f t="shared" si="222"/>
        <v>4</v>
      </c>
      <c r="S540" s="346">
        <f t="shared" si="139"/>
        <v>0</v>
      </c>
      <c r="T540" s="346">
        <f t="shared" si="140"/>
        <v>0</v>
      </c>
      <c r="U540" s="346">
        <f t="shared" si="141"/>
        <v>0</v>
      </c>
      <c r="V540" s="346">
        <f t="shared" si="142"/>
        <v>0</v>
      </c>
      <c r="W540" s="346">
        <f t="shared" si="143"/>
        <v>0</v>
      </c>
      <c r="X540" s="346">
        <f t="shared" si="144"/>
        <v>0</v>
      </c>
      <c r="Y540" s="346">
        <f t="shared" si="145"/>
        <v>0</v>
      </c>
      <c r="Z540" s="346">
        <f t="shared" si="146"/>
        <v>49</v>
      </c>
    </row>
    <row r="541" spans="1:26" x14ac:dyDescent="0.25">
      <c r="A541" s="348">
        <f>IF(ADSI!$G$12="",ADSI!$H$16,ADSI!$H$12)</f>
        <v>6</v>
      </c>
      <c r="B541" s="348" t="str">
        <f ca="1">IF(ADSI!$G$12="",ADSI!$H$16,ADSI!$H$14)</f>
        <v/>
      </c>
      <c r="C541" s="388">
        <f t="shared" si="136"/>
        <v>240</v>
      </c>
      <c r="D541" s="348">
        <f>ADSI!$K$12</f>
        <v>2021</v>
      </c>
      <c r="E541" s="346">
        <f t="shared" ref="E541:K541" si="223">D49</f>
        <v>0</v>
      </c>
      <c r="F541" s="346">
        <f t="shared" si="223"/>
        <v>0</v>
      </c>
      <c r="G541" s="346">
        <f t="shared" si="223"/>
        <v>0</v>
      </c>
      <c r="H541" s="346">
        <f t="shared" si="223"/>
        <v>0</v>
      </c>
      <c r="I541" s="346">
        <f t="shared" si="223"/>
        <v>0</v>
      </c>
      <c r="J541" s="346">
        <f t="shared" si="223"/>
        <v>0</v>
      </c>
      <c r="K541" s="346">
        <f t="shared" si="223"/>
        <v>0</v>
      </c>
      <c r="L541" s="346">
        <f t="shared" ref="L541:R541" si="224">M49</f>
        <v>0</v>
      </c>
      <c r="M541" s="346">
        <f t="shared" si="224"/>
        <v>0</v>
      </c>
      <c r="N541" s="346">
        <f t="shared" si="224"/>
        <v>0</v>
      </c>
      <c r="O541" s="346">
        <f t="shared" si="224"/>
        <v>0</v>
      </c>
      <c r="P541" s="346">
        <f t="shared" si="224"/>
        <v>0</v>
      </c>
      <c r="Q541" s="346">
        <f t="shared" si="224"/>
        <v>0</v>
      </c>
      <c r="R541" s="346">
        <f t="shared" si="224"/>
        <v>0</v>
      </c>
      <c r="S541" s="346">
        <f t="shared" si="139"/>
        <v>0</v>
      </c>
      <c r="T541" s="346">
        <f t="shared" si="140"/>
        <v>0</v>
      </c>
      <c r="U541" s="346">
        <f t="shared" si="141"/>
        <v>0</v>
      </c>
      <c r="V541" s="346">
        <f t="shared" si="142"/>
        <v>0</v>
      </c>
      <c r="W541" s="346">
        <f t="shared" si="143"/>
        <v>0</v>
      </c>
      <c r="X541" s="346">
        <f t="shared" si="144"/>
        <v>0</v>
      </c>
      <c r="Y541" s="346">
        <f t="shared" si="145"/>
        <v>0</v>
      </c>
      <c r="Z541" s="346">
        <f t="shared" si="146"/>
        <v>0</v>
      </c>
    </row>
    <row r="542" spans="1:26" x14ac:dyDescent="0.25">
      <c r="A542" s="348">
        <f>IF(ADSI!$G$12="",ADSI!$H$16,ADSI!$H$12)</f>
        <v>6</v>
      </c>
      <c r="B542" s="348" t="str">
        <f ca="1">IF(ADSI!$G$12="",ADSI!$H$16,ADSI!$H$14)</f>
        <v/>
      </c>
      <c r="C542" s="388">
        <f t="shared" si="136"/>
        <v>241</v>
      </c>
      <c r="D542" s="348">
        <f>ADSI!$K$12</f>
        <v>2021</v>
      </c>
      <c r="E542" s="346">
        <f t="shared" ref="E542:K542" si="225">D50</f>
        <v>0</v>
      </c>
      <c r="F542" s="346">
        <f t="shared" si="225"/>
        <v>0</v>
      </c>
      <c r="G542" s="346">
        <f t="shared" si="225"/>
        <v>1</v>
      </c>
      <c r="H542" s="346">
        <f t="shared" si="225"/>
        <v>0</v>
      </c>
      <c r="I542" s="346">
        <f t="shared" si="225"/>
        <v>4</v>
      </c>
      <c r="J542" s="346">
        <f t="shared" si="225"/>
        <v>0</v>
      </c>
      <c r="K542" s="346">
        <f t="shared" si="225"/>
        <v>5</v>
      </c>
      <c r="L542" s="346">
        <f t="shared" ref="L542:R542" si="226">M50</f>
        <v>0</v>
      </c>
      <c r="M542" s="346">
        <f t="shared" si="226"/>
        <v>0</v>
      </c>
      <c r="N542" s="346">
        <f t="shared" si="226"/>
        <v>1</v>
      </c>
      <c r="O542" s="346">
        <f t="shared" si="226"/>
        <v>3</v>
      </c>
      <c r="P542" s="346">
        <f t="shared" si="226"/>
        <v>1</v>
      </c>
      <c r="Q542" s="346">
        <f t="shared" si="226"/>
        <v>0</v>
      </c>
      <c r="R542" s="346">
        <f t="shared" si="226"/>
        <v>5</v>
      </c>
      <c r="S542" s="346">
        <f t="shared" si="139"/>
        <v>0</v>
      </c>
      <c r="T542" s="346">
        <f t="shared" si="140"/>
        <v>0</v>
      </c>
      <c r="U542" s="346">
        <f t="shared" si="141"/>
        <v>0</v>
      </c>
      <c r="V542" s="346">
        <f t="shared" si="142"/>
        <v>0</v>
      </c>
      <c r="W542" s="346">
        <f t="shared" si="143"/>
        <v>0</v>
      </c>
      <c r="X542" s="346">
        <f t="shared" si="144"/>
        <v>0</v>
      </c>
      <c r="Y542" s="346">
        <f t="shared" si="145"/>
        <v>0</v>
      </c>
      <c r="Z542" s="346">
        <f t="shared" si="146"/>
        <v>10</v>
      </c>
    </row>
    <row r="543" spans="1:26" x14ac:dyDescent="0.25">
      <c r="A543" s="348">
        <f>IF(ADSI!$G$12="",ADSI!$H$16,ADSI!$H$12)</f>
        <v>6</v>
      </c>
      <c r="B543" s="348" t="str">
        <f ca="1">IF(ADSI!$G$12="",ADSI!$H$16,ADSI!$H$14)</f>
        <v/>
      </c>
      <c r="C543" s="388">
        <f t="shared" si="136"/>
        <v>242</v>
      </c>
      <c r="D543" s="348">
        <f>ADSI!$K$12</f>
        <v>2021</v>
      </c>
      <c r="E543" s="346">
        <f t="shared" ref="E543:K543" si="227">D51</f>
        <v>0</v>
      </c>
      <c r="F543" s="346">
        <f t="shared" si="227"/>
        <v>0</v>
      </c>
      <c r="G543" s="346">
        <f t="shared" si="227"/>
        <v>1</v>
      </c>
      <c r="H543" s="346">
        <f t="shared" si="227"/>
        <v>8</v>
      </c>
      <c r="I543" s="346">
        <f t="shared" si="227"/>
        <v>3</v>
      </c>
      <c r="J543" s="346">
        <f t="shared" si="227"/>
        <v>1</v>
      </c>
      <c r="K543" s="346">
        <f t="shared" si="227"/>
        <v>13</v>
      </c>
      <c r="L543" s="346">
        <f t="shared" ref="L543:R543" si="228">M51</f>
        <v>0</v>
      </c>
      <c r="M543" s="346">
        <f t="shared" si="228"/>
        <v>0</v>
      </c>
      <c r="N543" s="346">
        <f t="shared" si="228"/>
        <v>1</v>
      </c>
      <c r="O543" s="346">
        <f t="shared" si="228"/>
        <v>2</v>
      </c>
      <c r="P543" s="346">
        <f t="shared" si="228"/>
        <v>0</v>
      </c>
      <c r="Q543" s="346">
        <f t="shared" si="228"/>
        <v>0</v>
      </c>
      <c r="R543" s="346">
        <f t="shared" si="228"/>
        <v>3</v>
      </c>
      <c r="S543" s="346">
        <f t="shared" si="139"/>
        <v>0</v>
      </c>
      <c r="T543" s="346">
        <f t="shared" si="140"/>
        <v>0</v>
      </c>
      <c r="U543" s="346">
        <f t="shared" si="141"/>
        <v>0</v>
      </c>
      <c r="V543" s="346">
        <f t="shared" si="142"/>
        <v>0</v>
      </c>
      <c r="W543" s="346">
        <f t="shared" si="143"/>
        <v>0</v>
      </c>
      <c r="X543" s="346">
        <f t="shared" si="144"/>
        <v>0</v>
      </c>
      <c r="Y543" s="346">
        <f t="shared" si="145"/>
        <v>0</v>
      </c>
      <c r="Z543" s="346">
        <f t="shared" si="146"/>
        <v>16</v>
      </c>
    </row>
    <row r="544" spans="1:26" x14ac:dyDescent="0.25">
      <c r="A544" s="348">
        <f>IF(ADSI!$G$12="",ADSI!$H$16,ADSI!$H$12)</f>
        <v>6</v>
      </c>
      <c r="B544" s="348" t="str">
        <f ca="1">IF(ADSI!$G$12="",ADSI!$H$16,ADSI!$H$14)</f>
        <v/>
      </c>
      <c r="C544" s="388">
        <f t="shared" si="136"/>
        <v>270</v>
      </c>
      <c r="D544" s="348">
        <f>ADSI!$K$12</f>
        <v>2021</v>
      </c>
      <c r="E544" s="346">
        <f t="shared" ref="E544:K544" si="229">D52</f>
        <v>3</v>
      </c>
      <c r="F544" s="346">
        <f t="shared" si="229"/>
        <v>6</v>
      </c>
      <c r="G544" s="346">
        <f t="shared" si="229"/>
        <v>152</v>
      </c>
      <c r="H544" s="346">
        <f t="shared" si="229"/>
        <v>155</v>
      </c>
      <c r="I544" s="346">
        <f t="shared" si="229"/>
        <v>103</v>
      </c>
      <c r="J544" s="346">
        <f t="shared" si="229"/>
        <v>70</v>
      </c>
      <c r="K544" s="346">
        <f t="shared" si="229"/>
        <v>489</v>
      </c>
      <c r="L544" s="346">
        <f t="shared" ref="L544:R544" si="230">M52</f>
        <v>2</v>
      </c>
      <c r="M544" s="346">
        <f t="shared" si="230"/>
        <v>2</v>
      </c>
      <c r="N544" s="346">
        <f t="shared" si="230"/>
        <v>14</v>
      </c>
      <c r="O544" s="346">
        <f t="shared" si="230"/>
        <v>18</v>
      </c>
      <c r="P544" s="346">
        <f t="shared" si="230"/>
        <v>15</v>
      </c>
      <c r="Q544" s="346">
        <f t="shared" si="230"/>
        <v>22</v>
      </c>
      <c r="R544" s="346">
        <f t="shared" si="230"/>
        <v>73</v>
      </c>
      <c r="S544" s="346">
        <f t="shared" si="139"/>
        <v>0</v>
      </c>
      <c r="T544" s="346">
        <f t="shared" si="140"/>
        <v>0</v>
      </c>
      <c r="U544" s="346">
        <f t="shared" si="141"/>
        <v>0</v>
      </c>
      <c r="V544" s="346">
        <f t="shared" si="142"/>
        <v>0</v>
      </c>
      <c r="W544" s="346">
        <f t="shared" si="143"/>
        <v>0</v>
      </c>
      <c r="X544" s="346">
        <f t="shared" si="144"/>
        <v>0</v>
      </c>
      <c r="Y544" s="346">
        <f t="shared" si="145"/>
        <v>0</v>
      </c>
      <c r="Z544" s="346">
        <f t="shared" si="146"/>
        <v>562</v>
      </c>
    </row>
    <row r="545" spans="3:3" x14ac:dyDescent="0.25">
      <c r="C545" s="345"/>
    </row>
  </sheetData>
  <sheetProtection password="C614" sheet="1" objects="1" scenarios="1" selectLockedCells="1"/>
  <mergeCells count="31">
    <mergeCell ref="BA253:BB253"/>
    <mergeCell ref="BA254:BB254"/>
    <mergeCell ref="BA252:BB252"/>
    <mergeCell ref="A53:C53"/>
    <mergeCell ref="A54:C54"/>
    <mergeCell ref="A55:C55"/>
    <mergeCell ref="CD204:CD206"/>
    <mergeCell ref="CE204:CE207"/>
    <mergeCell ref="CF204:CF207"/>
    <mergeCell ref="BA204:BA206"/>
    <mergeCell ref="BB204:BB206"/>
    <mergeCell ref="BC204:CC204"/>
    <mergeCell ref="BC205:BK205"/>
    <mergeCell ref="BL205:BT205"/>
    <mergeCell ref="BU205:CC205"/>
    <mergeCell ref="CB206:CB207"/>
    <mergeCell ref="CC206:CC207"/>
    <mergeCell ref="BS206:BS207"/>
    <mergeCell ref="BT206:BT207"/>
    <mergeCell ref="BJ206:BJ207"/>
    <mergeCell ref="BK206:BK207"/>
    <mergeCell ref="AF5:AF7"/>
    <mergeCell ref="AG5:AG7"/>
    <mergeCell ref="B5:B7"/>
    <mergeCell ref="C5:C7"/>
    <mergeCell ref="AE5:AE7"/>
    <mergeCell ref="A5:A7"/>
    <mergeCell ref="D6:L6"/>
    <mergeCell ref="M6:U6"/>
    <mergeCell ref="V6:AD6"/>
    <mergeCell ref="D5:AD5"/>
  </mergeCells>
  <conditionalFormatting sqref="AF9:AG52">
    <cfRule type="cellIs" dxfId="132" priority="15" operator="equal">
      <formula>FALSE</formula>
    </cfRule>
  </conditionalFormatting>
  <conditionalFormatting sqref="L9:L52">
    <cfRule type="cellIs" dxfId="131" priority="10" operator="equal">
      <formula>FALSE</formula>
    </cfRule>
  </conditionalFormatting>
  <conditionalFormatting sqref="U9:U52">
    <cfRule type="cellIs" dxfId="130" priority="9" operator="equal">
      <formula>FALSE</formula>
    </cfRule>
  </conditionalFormatting>
  <conditionalFormatting sqref="AD9:AD52">
    <cfRule type="cellIs" dxfId="129" priority="8" operator="equal">
      <formula>FALSE</formula>
    </cfRule>
  </conditionalFormatting>
  <conditionalFormatting sqref="D53:K53 M53:T53 V53:AF53">
    <cfRule type="cellIs" dxfId="128" priority="5" operator="equal">
      <formula>"ABVAR"</formula>
    </cfRule>
    <cfRule type="cellIs" dxfId="127" priority="6" operator="equal">
      <formula>FALSE</formula>
    </cfRule>
  </conditionalFormatting>
  <conditionalFormatting sqref="D54:K55 M54:T55 V54:AF55">
    <cfRule type="cellIs" dxfId="126" priority="3" operator="equal">
      <formula>"ABVAR"</formula>
    </cfRule>
    <cfRule type="cellIs" dxfId="125" priority="4" operator="equal">
      <formula>FALSE</formula>
    </cfRule>
  </conditionalFormatting>
  <dataValidations count="1">
    <dataValidation type="whole" allowBlank="1" showInputMessage="1" showErrorMessage="1" sqref="M45:R51 D9:I10 D12:I16 D18:I21 D23:I26 D28:I34 D36:I42 V36:AA42 M9:R10 M12:R16 M18:R21 M23:R26 M28:R34 M36:R42 D45:I51 V9:AA10 V12:AA16 V18:AA21 V23:AA26 V28:AA34 V45:AA51">
      <formula1>0</formula1>
      <formula2>999999999</formula2>
    </dataValidation>
  </dataValidations>
  <pageMargins left="0.39370078740157483" right="0" top="0.39370078740157483" bottom="0.35433070866141736" header="0.15748031496062992" footer="0.19685039370078741"/>
  <pageSetup paperSize="5" orientation="landscape" r:id="rId1"/>
  <headerFooter>
    <oddFooter>&amp;L&amp;9ADSI - &amp;A&amp;C&amp;9&amp;D &amp;T&amp;R&amp;9Page &amp;P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BL522"/>
  <sheetViews>
    <sheetView showGridLines="0" workbookViewId="0">
      <pane xSplit="3" ySplit="7" topLeftCell="D8" activePane="bottomRight" state="frozen"/>
      <selection activeCell="D9" sqref="D9"/>
      <selection pane="topRight" activeCell="D9" sqref="D9"/>
      <selection pane="bottomLeft" activeCell="D9" sqref="D9"/>
      <selection pane="bottomRight" activeCell="D9" sqref="D9"/>
    </sheetView>
  </sheetViews>
  <sheetFormatPr defaultRowHeight="15" x14ac:dyDescent="0.25"/>
  <cols>
    <col min="1" max="2" width="6.7109375" style="4" customWidth="1"/>
    <col min="3" max="3" width="47.5703125" style="4" customWidth="1"/>
    <col min="4" max="4" width="12.7109375" style="4" customWidth="1"/>
    <col min="5" max="8" width="11.7109375" style="4" customWidth="1"/>
    <col min="9" max="9" width="12.7109375" style="4" customWidth="1"/>
    <col min="10" max="12" width="11.7109375" style="4" customWidth="1"/>
    <col min="13" max="13" width="13.7109375" style="4" customWidth="1"/>
    <col min="14" max="14" width="8.7109375" style="4" customWidth="1"/>
    <col min="15" max="52" width="9.140625" style="4"/>
    <col min="53" max="53" width="4.85546875" style="4" customWidth="1"/>
    <col min="54" max="54" width="39.28515625" style="4" customWidth="1"/>
    <col min="55" max="16384" width="9.140625" style="4"/>
  </cols>
  <sheetData>
    <row r="1" spans="1:26" ht="15.75" x14ac:dyDescent="0.25">
      <c r="A1" s="285" t="str">
        <f>ADSI!$B$1</f>
        <v>Goa, , ADSI-2021</v>
      </c>
      <c r="B1" s="292"/>
      <c r="C1" s="292"/>
    </row>
    <row r="2" spans="1:26" ht="15.75" x14ac:dyDescent="0.25">
      <c r="A2" s="286" t="s">
        <v>657</v>
      </c>
      <c r="B2" s="292"/>
      <c r="C2" s="291">
        <f>COUNTIF(E8:E28,FALSE)</f>
        <v>0</v>
      </c>
    </row>
    <row r="3" spans="1:26" ht="15.75" x14ac:dyDescent="0.25">
      <c r="A3" s="289" t="s">
        <v>60</v>
      </c>
      <c r="C3" s="50"/>
      <c r="D3" s="50"/>
      <c r="E3" s="50"/>
      <c r="F3" s="50"/>
      <c r="G3" s="50"/>
      <c r="H3" s="50"/>
      <c r="I3" s="50"/>
      <c r="K3" s="35"/>
      <c r="M3" s="50"/>
      <c r="N3" s="50"/>
      <c r="O3" s="50"/>
      <c r="P3" s="50"/>
      <c r="Q3" s="50"/>
      <c r="R3" s="50"/>
      <c r="S3" s="50"/>
      <c r="T3" s="50"/>
      <c r="U3" s="50"/>
      <c r="V3" s="50"/>
      <c r="W3" s="50"/>
      <c r="X3" s="50"/>
      <c r="Y3" s="50"/>
      <c r="Z3" s="50"/>
    </row>
    <row r="4" spans="1:26" ht="15.75" x14ac:dyDescent="0.25">
      <c r="A4" s="289" t="s">
        <v>1487</v>
      </c>
      <c r="C4" s="51"/>
      <c r="D4" s="51"/>
      <c r="E4" s="51"/>
      <c r="H4" s="51"/>
      <c r="K4" s="143"/>
      <c r="L4" s="144"/>
      <c r="M4" s="51"/>
      <c r="N4" s="51"/>
      <c r="O4" s="51"/>
      <c r="P4" s="51"/>
      <c r="Q4" s="51"/>
      <c r="R4" s="51"/>
      <c r="S4" s="51"/>
      <c r="T4" s="51"/>
      <c r="U4" s="51"/>
      <c r="V4" s="51"/>
      <c r="W4" s="51"/>
      <c r="X4" s="51"/>
      <c r="Y4" s="51"/>
      <c r="Z4" s="51"/>
    </row>
    <row r="5" spans="1:26" ht="23.25" customHeight="1" x14ac:dyDescent="0.25">
      <c r="A5" s="608" t="s">
        <v>249</v>
      </c>
      <c r="B5" s="608" t="s">
        <v>0</v>
      </c>
      <c r="C5" s="634" t="s">
        <v>34</v>
      </c>
      <c r="D5" s="636" t="s">
        <v>35</v>
      </c>
      <c r="E5" s="616" t="s">
        <v>589</v>
      </c>
      <c r="F5" s="638" t="s">
        <v>36</v>
      </c>
      <c r="G5" s="639"/>
      <c r="H5" s="639"/>
      <c r="I5" s="640"/>
      <c r="J5" s="641" t="s">
        <v>37</v>
      </c>
      <c r="K5" s="642"/>
      <c r="L5" s="642"/>
      <c r="M5" s="643"/>
    </row>
    <row r="6" spans="1:26" ht="40.5" customHeight="1" x14ac:dyDescent="0.25">
      <c r="A6" s="609"/>
      <c r="B6" s="609"/>
      <c r="C6" s="635"/>
      <c r="D6" s="637"/>
      <c r="E6" s="617"/>
      <c r="F6" s="217" t="s">
        <v>38</v>
      </c>
      <c r="G6" s="217" t="s">
        <v>39</v>
      </c>
      <c r="H6" s="217" t="s">
        <v>240</v>
      </c>
      <c r="I6" s="217" t="s">
        <v>599</v>
      </c>
      <c r="J6" s="42" t="s">
        <v>38</v>
      </c>
      <c r="K6" s="42" t="s">
        <v>39</v>
      </c>
      <c r="L6" s="42" t="s">
        <v>240</v>
      </c>
      <c r="M6" s="42" t="s">
        <v>600</v>
      </c>
    </row>
    <row r="7" spans="1:26" ht="20.100000000000001" customHeight="1" x14ac:dyDescent="0.25">
      <c r="A7" s="27"/>
      <c r="B7" s="27" t="s">
        <v>181</v>
      </c>
      <c r="C7" s="221" t="s">
        <v>182</v>
      </c>
      <c r="D7" s="29" t="s">
        <v>183</v>
      </c>
      <c r="E7" s="314"/>
      <c r="F7" s="221" t="s">
        <v>184</v>
      </c>
      <c r="G7" s="221" t="s">
        <v>185</v>
      </c>
      <c r="H7" s="221" t="s">
        <v>186</v>
      </c>
      <c r="I7" s="222" t="s">
        <v>187</v>
      </c>
      <c r="J7" s="29" t="s">
        <v>188</v>
      </c>
      <c r="K7" s="29" t="s">
        <v>189</v>
      </c>
      <c r="L7" s="29" t="s">
        <v>190</v>
      </c>
      <c r="M7" s="29" t="s">
        <v>191</v>
      </c>
    </row>
    <row r="8" spans="1:26" ht="20.100000000000001" customHeight="1" x14ac:dyDescent="0.25">
      <c r="A8" s="43">
        <v>300</v>
      </c>
      <c r="B8" s="118">
        <v>1</v>
      </c>
      <c r="C8" s="535" t="s">
        <v>1648</v>
      </c>
      <c r="D8" s="435">
        <f>SUM(D9:D11)</f>
        <v>19</v>
      </c>
      <c r="E8" s="414" t="str">
        <f>IF(AND(OR(I8&gt;0,M8&gt;0),D8=0),FALSE,"")</f>
        <v/>
      </c>
      <c r="F8" s="435">
        <f t="shared" ref="F8:L8" si="0">SUM(F9:F11)</f>
        <v>0</v>
      </c>
      <c r="G8" s="435">
        <f t="shared" si="0"/>
        <v>0</v>
      </c>
      <c r="H8" s="435">
        <f t="shared" si="0"/>
        <v>0</v>
      </c>
      <c r="I8" s="436">
        <f>SUM(F8:H8)</f>
        <v>0</v>
      </c>
      <c r="J8" s="435">
        <f t="shared" si="0"/>
        <v>17</v>
      </c>
      <c r="K8" s="435">
        <f t="shared" si="0"/>
        <v>2</v>
      </c>
      <c r="L8" s="435">
        <f t="shared" si="0"/>
        <v>0</v>
      </c>
      <c r="M8" s="436">
        <f>SUM(J8:L8)</f>
        <v>19</v>
      </c>
      <c r="N8" s="332"/>
    </row>
    <row r="9" spans="1:26" ht="20.100000000000001" customHeight="1" x14ac:dyDescent="0.25">
      <c r="A9" s="43">
        <v>301</v>
      </c>
      <c r="B9" s="118"/>
      <c r="C9" s="181" t="s">
        <v>1472</v>
      </c>
      <c r="D9" s="256">
        <v>0</v>
      </c>
      <c r="E9" s="322" t="str">
        <f t="shared" ref="E9:E28" si="1">IF(AND(OR(I9&gt;0,M9&gt;0),D9=0),FALSE,"")</f>
        <v/>
      </c>
      <c r="F9" s="257">
        <v>0</v>
      </c>
      <c r="G9" s="257">
        <v>0</v>
      </c>
      <c r="H9" s="257">
        <v>0</v>
      </c>
      <c r="I9" s="438">
        <f t="shared" ref="I9:I28" si="2">SUM(F9:H9)</f>
        <v>0</v>
      </c>
      <c r="J9" s="256">
        <v>0</v>
      </c>
      <c r="K9" s="256">
        <v>0</v>
      </c>
      <c r="L9" s="256">
        <v>0</v>
      </c>
      <c r="M9" s="438">
        <f t="shared" ref="M9:M28" si="3">SUM(J9:L9)</f>
        <v>0</v>
      </c>
      <c r="N9" s="332"/>
    </row>
    <row r="10" spans="1:26" ht="20.100000000000001" customHeight="1" x14ac:dyDescent="0.25">
      <c r="A10" s="118">
        <v>302</v>
      </c>
      <c r="B10" s="118"/>
      <c r="C10" s="181" t="s">
        <v>1473</v>
      </c>
      <c r="D10" s="256">
        <v>10</v>
      </c>
      <c r="E10" s="322" t="str">
        <f t="shared" si="1"/>
        <v/>
      </c>
      <c r="F10" s="257">
        <v>0</v>
      </c>
      <c r="G10" s="257">
        <v>0</v>
      </c>
      <c r="H10" s="257">
        <v>0</v>
      </c>
      <c r="I10" s="438">
        <f t="shared" si="2"/>
        <v>0</v>
      </c>
      <c r="J10" s="256">
        <v>9</v>
      </c>
      <c r="K10" s="256">
        <v>1</v>
      </c>
      <c r="L10" s="256">
        <v>0</v>
      </c>
      <c r="M10" s="438">
        <f t="shared" si="3"/>
        <v>10</v>
      </c>
      <c r="N10" s="332"/>
    </row>
    <row r="11" spans="1:26" ht="20.100000000000001" customHeight="1" x14ac:dyDescent="0.25">
      <c r="A11" s="118">
        <v>303</v>
      </c>
      <c r="B11" s="118"/>
      <c r="C11" s="181" t="s">
        <v>1474</v>
      </c>
      <c r="D11" s="256">
        <v>9</v>
      </c>
      <c r="E11" s="322" t="str">
        <f t="shared" si="1"/>
        <v/>
      </c>
      <c r="F11" s="257">
        <v>0</v>
      </c>
      <c r="G11" s="257">
        <v>0</v>
      </c>
      <c r="H11" s="257">
        <v>0</v>
      </c>
      <c r="I11" s="438">
        <f t="shared" si="2"/>
        <v>0</v>
      </c>
      <c r="J11" s="256">
        <v>8</v>
      </c>
      <c r="K11" s="256">
        <v>1</v>
      </c>
      <c r="L11" s="256">
        <v>0</v>
      </c>
      <c r="M11" s="438">
        <f t="shared" si="3"/>
        <v>9</v>
      </c>
      <c r="N11" s="332"/>
    </row>
    <row r="12" spans="1:26" ht="30" x14ac:dyDescent="0.25">
      <c r="A12" s="118">
        <v>304</v>
      </c>
      <c r="B12" s="118">
        <v>2</v>
      </c>
      <c r="C12" s="434" t="s">
        <v>1475</v>
      </c>
      <c r="D12" s="437">
        <f>SUM(D13:D14)</f>
        <v>0</v>
      </c>
      <c r="E12" s="414" t="str">
        <f t="shared" si="1"/>
        <v/>
      </c>
      <c r="F12" s="437">
        <f t="shared" ref="F12:L12" si="4">SUM(F13:F14)</f>
        <v>0</v>
      </c>
      <c r="G12" s="437">
        <f t="shared" si="4"/>
        <v>0</v>
      </c>
      <c r="H12" s="437">
        <f t="shared" si="4"/>
        <v>0</v>
      </c>
      <c r="I12" s="438">
        <f t="shared" si="2"/>
        <v>0</v>
      </c>
      <c r="J12" s="437">
        <f t="shared" si="4"/>
        <v>0</v>
      </c>
      <c r="K12" s="437">
        <f t="shared" si="4"/>
        <v>0</v>
      </c>
      <c r="L12" s="437">
        <f t="shared" si="4"/>
        <v>0</v>
      </c>
      <c r="M12" s="438">
        <f t="shared" si="3"/>
        <v>0</v>
      </c>
      <c r="N12" s="332"/>
    </row>
    <row r="13" spans="1:26" ht="20.100000000000001" customHeight="1" x14ac:dyDescent="0.25">
      <c r="A13" s="118">
        <v>305</v>
      </c>
      <c r="B13" s="118"/>
      <c r="C13" s="181" t="s">
        <v>1476</v>
      </c>
      <c r="D13" s="256">
        <v>0</v>
      </c>
      <c r="E13" s="322" t="str">
        <f t="shared" si="1"/>
        <v/>
      </c>
      <c r="F13" s="257">
        <v>0</v>
      </c>
      <c r="G13" s="257">
        <v>0</v>
      </c>
      <c r="H13" s="257">
        <v>0</v>
      </c>
      <c r="I13" s="438">
        <f t="shared" si="2"/>
        <v>0</v>
      </c>
      <c r="J13" s="257">
        <v>0</v>
      </c>
      <c r="K13" s="256">
        <v>0</v>
      </c>
      <c r="L13" s="256">
        <v>0</v>
      </c>
      <c r="M13" s="438">
        <f t="shared" si="3"/>
        <v>0</v>
      </c>
      <c r="N13" s="332"/>
    </row>
    <row r="14" spans="1:26" ht="20.100000000000001" customHeight="1" x14ac:dyDescent="0.25">
      <c r="A14" s="118">
        <v>306</v>
      </c>
      <c r="B14" s="118"/>
      <c r="C14" s="181" t="s">
        <v>1477</v>
      </c>
      <c r="D14" s="256">
        <v>0</v>
      </c>
      <c r="E14" s="322" t="str">
        <f t="shared" si="1"/>
        <v/>
      </c>
      <c r="F14" s="257">
        <v>0</v>
      </c>
      <c r="G14" s="257">
        <v>0</v>
      </c>
      <c r="H14" s="257">
        <v>0</v>
      </c>
      <c r="I14" s="438">
        <f t="shared" si="2"/>
        <v>0</v>
      </c>
      <c r="J14" s="257">
        <v>0</v>
      </c>
      <c r="K14" s="256">
        <v>0</v>
      </c>
      <c r="L14" s="256">
        <v>0</v>
      </c>
      <c r="M14" s="438">
        <f t="shared" si="3"/>
        <v>0</v>
      </c>
      <c r="N14" s="332"/>
    </row>
    <row r="15" spans="1:26" ht="20.100000000000001" customHeight="1" x14ac:dyDescent="0.25">
      <c r="A15" s="118">
        <v>307</v>
      </c>
      <c r="B15" s="118">
        <v>3</v>
      </c>
      <c r="C15" s="10" t="s">
        <v>253</v>
      </c>
      <c r="D15" s="256">
        <v>0</v>
      </c>
      <c r="E15" s="322" t="str">
        <f t="shared" si="1"/>
        <v/>
      </c>
      <c r="F15" s="257">
        <v>0</v>
      </c>
      <c r="G15" s="257">
        <v>0</v>
      </c>
      <c r="H15" s="257">
        <v>0</v>
      </c>
      <c r="I15" s="438">
        <f t="shared" si="2"/>
        <v>0</v>
      </c>
      <c r="J15" s="256">
        <v>0</v>
      </c>
      <c r="K15" s="256">
        <v>0</v>
      </c>
      <c r="L15" s="256">
        <v>0</v>
      </c>
      <c r="M15" s="438">
        <f t="shared" si="3"/>
        <v>0</v>
      </c>
      <c r="N15" s="332"/>
    </row>
    <row r="16" spans="1:26" ht="20.100000000000001" customHeight="1" x14ac:dyDescent="0.25">
      <c r="A16" s="118">
        <v>308</v>
      </c>
      <c r="B16" s="118">
        <v>4</v>
      </c>
      <c r="C16" s="10" t="s">
        <v>61</v>
      </c>
      <c r="D16" s="256">
        <v>2</v>
      </c>
      <c r="E16" s="322" t="str">
        <f t="shared" si="1"/>
        <v/>
      </c>
      <c r="F16" s="257">
        <v>0</v>
      </c>
      <c r="G16" s="257">
        <v>0</v>
      </c>
      <c r="H16" s="257">
        <v>0</v>
      </c>
      <c r="I16" s="438">
        <f t="shared" si="2"/>
        <v>0</v>
      </c>
      <c r="J16" s="256">
        <v>1</v>
      </c>
      <c r="K16" s="256">
        <v>1</v>
      </c>
      <c r="L16" s="256">
        <v>0</v>
      </c>
      <c r="M16" s="438">
        <f t="shared" si="3"/>
        <v>2</v>
      </c>
      <c r="N16" s="332"/>
    </row>
    <row r="17" spans="1:14" ht="20.100000000000001" customHeight="1" x14ac:dyDescent="0.25">
      <c r="A17" s="118">
        <v>309</v>
      </c>
      <c r="B17" s="118">
        <v>5</v>
      </c>
      <c r="C17" s="434" t="s">
        <v>1478</v>
      </c>
      <c r="D17" s="437">
        <f>SUM(D18:D20,D23:D25)</f>
        <v>6</v>
      </c>
      <c r="E17" s="414" t="str">
        <f t="shared" si="1"/>
        <v/>
      </c>
      <c r="F17" s="437">
        <f t="shared" ref="F17:L17" si="5">SUM(F18:F20,F23:F25)</f>
        <v>0</v>
      </c>
      <c r="G17" s="437">
        <f t="shared" si="5"/>
        <v>0</v>
      </c>
      <c r="H17" s="437">
        <f t="shared" si="5"/>
        <v>0</v>
      </c>
      <c r="I17" s="438">
        <f t="shared" si="2"/>
        <v>0</v>
      </c>
      <c r="J17" s="437">
        <f t="shared" si="5"/>
        <v>4</v>
      </c>
      <c r="K17" s="437">
        <f t="shared" si="5"/>
        <v>2</v>
      </c>
      <c r="L17" s="437">
        <f t="shared" si="5"/>
        <v>0</v>
      </c>
      <c r="M17" s="438">
        <f t="shared" si="3"/>
        <v>6</v>
      </c>
      <c r="N17" s="332"/>
    </row>
    <row r="18" spans="1:14" ht="20.100000000000001" customHeight="1" x14ac:dyDescent="0.25">
      <c r="A18" s="118">
        <v>310</v>
      </c>
      <c r="B18" s="118"/>
      <c r="C18" s="181" t="s">
        <v>1479</v>
      </c>
      <c r="D18" s="258">
        <v>1</v>
      </c>
      <c r="E18" s="322" t="str">
        <f t="shared" si="1"/>
        <v/>
      </c>
      <c r="F18" s="258">
        <v>0</v>
      </c>
      <c r="G18" s="258">
        <v>0</v>
      </c>
      <c r="H18" s="258">
        <v>0</v>
      </c>
      <c r="I18" s="438">
        <f t="shared" si="2"/>
        <v>0</v>
      </c>
      <c r="J18" s="258">
        <v>1</v>
      </c>
      <c r="K18" s="258">
        <v>0</v>
      </c>
      <c r="L18" s="258">
        <v>0</v>
      </c>
      <c r="M18" s="438">
        <f t="shared" si="3"/>
        <v>1</v>
      </c>
      <c r="N18" s="332"/>
    </row>
    <row r="19" spans="1:14" ht="20.100000000000001" customHeight="1" x14ac:dyDescent="0.25">
      <c r="A19" s="118">
        <v>311</v>
      </c>
      <c r="B19" s="118"/>
      <c r="C19" s="181" t="s">
        <v>1480</v>
      </c>
      <c r="D19" s="258">
        <v>3</v>
      </c>
      <c r="E19" s="322" t="str">
        <f t="shared" si="1"/>
        <v/>
      </c>
      <c r="F19" s="258">
        <v>0</v>
      </c>
      <c r="G19" s="258">
        <v>0</v>
      </c>
      <c r="H19" s="258">
        <v>0</v>
      </c>
      <c r="I19" s="438">
        <f t="shared" si="2"/>
        <v>0</v>
      </c>
      <c r="J19" s="258">
        <v>2</v>
      </c>
      <c r="K19" s="258">
        <v>1</v>
      </c>
      <c r="L19" s="258">
        <v>0</v>
      </c>
      <c r="M19" s="438">
        <f t="shared" si="3"/>
        <v>3</v>
      </c>
      <c r="N19" s="332"/>
    </row>
    <row r="20" spans="1:14" ht="20.100000000000001" customHeight="1" x14ac:dyDescent="0.25">
      <c r="A20" s="118">
        <v>312</v>
      </c>
      <c r="B20" s="118"/>
      <c r="C20" s="439" t="s">
        <v>1481</v>
      </c>
      <c r="D20" s="437">
        <f>SUM(D21:D22)</f>
        <v>0</v>
      </c>
      <c r="E20" s="414" t="str">
        <f t="shared" si="1"/>
        <v/>
      </c>
      <c r="F20" s="437">
        <f t="shared" ref="F20:L20" si="6">SUM(F21:F22)</f>
        <v>0</v>
      </c>
      <c r="G20" s="437">
        <f t="shared" si="6"/>
        <v>0</v>
      </c>
      <c r="H20" s="437">
        <f t="shared" si="6"/>
        <v>0</v>
      </c>
      <c r="I20" s="438">
        <f t="shared" si="2"/>
        <v>0</v>
      </c>
      <c r="J20" s="437">
        <f t="shared" si="6"/>
        <v>0</v>
      </c>
      <c r="K20" s="437">
        <f t="shared" si="6"/>
        <v>0</v>
      </c>
      <c r="L20" s="437">
        <f t="shared" si="6"/>
        <v>0</v>
      </c>
      <c r="M20" s="438">
        <f t="shared" si="3"/>
        <v>0</v>
      </c>
      <c r="N20" s="332"/>
    </row>
    <row r="21" spans="1:14" ht="20.100000000000001" customHeight="1" x14ac:dyDescent="0.25">
      <c r="A21" s="118">
        <v>313</v>
      </c>
      <c r="B21" s="118"/>
      <c r="C21" s="255" t="s">
        <v>1482</v>
      </c>
      <c r="D21" s="258">
        <v>0</v>
      </c>
      <c r="E21" s="322" t="str">
        <f t="shared" si="1"/>
        <v/>
      </c>
      <c r="F21" s="258">
        <v>0</v>
      </c>
      <c r="G21" s="258">
        <v>0</v>
      </c>
      <c r="H21" s="258">
        <v>0</v>
      </c>
      <c r="I21" s="438">
        <f t="shared" si="2"/>
        <v>0</v>
      </c>
      <c r="J21" s="258">
        <v>0</v>
      </c>
      <c r="K21" s="258">
        <v>0</v>
      </c>
      <c r="L21" s="258">
        <v>0</v>
      </c>
      <c r="M21" s="438">
        <f t="shared" si="3"/>
        <v>0</v>
      </c>
      <c r="N21" s="332"/>
    </row>
    <row r="22" spans="1:14" ht="20.100000000000001" customHeight="1" x14ac:dyDescent="0.25">
      <c r="A22" s="118">
        <v>314</v>
      </c>
      <c r="B22" s="118"/>
      <c r="C22" s="255" t="s">
        <v>1483</v>
      </c>
      <c r="D22" s="258">
        <v>0</v>
      </c>
      <c r="E22" s="322" t="str">
        <f t="shared" si="1"/>
        <v/>
      </c>
      <c r="F22" s="258">
        <v>0</v>
      </c>
      <c r="G22" s="258">
        <v>0</v>
      </c>
      <c r="H22" s="258">
        <v>0</v>
      </c>
      <c r="I22" s="438">
        <f t="shared" si="2"/>
        <v>0</v>
      </c>
      <c r="J22" s="258">
        <v>0</v>
      </c>
      <c r="K22" s="258">
        <v>0</v>
      </c>
      <c r="L22" s="258">
        <v>0</v>
      </c>
      <c r="M22" s="438">
        <f t="shared" si="3"/>
        <v>0</v>
      </c>
      <c r="N22" s="332"/>
    </row>
    <row r="23" spans="1:14" ht="20.100000000000001" customHeight="1" x14ac:dyDescent="0.25">
      <c r="A23" s="118">
        <v>315</v>
      </c>
      <c r="B23" s="118"/>
      <c r="C23" s="181" t="s">
        <v>1484</v>
      </c>
      <c r="D23" s="258">
        <v>2</v>
      </c>
      <c r="E23" s="322" t="str">
        <f t="shared" si="1"/>
        <v/>
      </c>
      <c r="F23" s="258">
        <v>0</v>
      </c>
      <c r="G23" s="258">
        <v>0</v>
      </c>
      <c r="H23" s="258">
        <v>0</v>
      </c>
      <c r="I23" s="438">
        <f t="shared" si="2"/>
        <v>0</v>
      </c>
      <c r="J23" s="258">
        <v>1</v>
      </c>
      <c r="K23" s="258">
        <v>1</v>
      </c>
      <c r="L23" s="258">
        <v>0</v>
      </c>
      <c r="M23" s="438">
        <f t="shared" si="3"/>
        <v>2</v>
      </c>
      <c r="N23" s="332"/>
    </row>
    <row r="24" spans="1:14" ht="20.100000000000001" customHeight="1" x14ac:dyDescent="0.25">
      <c r="A24" s="118">
        <v>316</v>
      </c>
      <c r="B24" s="118"/>
      <c r="C24" s="181" t="s">
        <v>1485</v>
      </c>
      <c r="D24" s="258">
        <v>0</v>
      </c>
      <c r="E24" s="322" t="str">
        <f t="shared" si="1"/>
        <v/>
      </c>
      <c r="F24" s="258">
        <v>0</v>
      </c>
      <c r="G24" s="258">
        <v>0</v>
      </c>
      <c r="H24" s="258">
        <v>0</v>
      </c>
      <c r="I24" s="438">
        <f t="shared" si="2"/>
        <v>0</v>
      </c>
      <c r="J24" s="258">
        <v>0</v>
      </c>
      <c r="K24" s="258">
        <v>0</v>
      </c>
      <c r="L24" s="258">
        <v>0</v>
      </c>
      <c r="M24" s="438">
        <f t="shared" si="3"/>
        <v>0</v>
      </c>
      <c r="N24" s="332"/>
    </row>
    <row r="25" spans="1:14" ht="20.100000000000001" customHeight="1" x14ac:dyDescent="0.25">
      <c r="A25" s="118">
        <v>317</v>
      </c>
      <c r="B25" s="118"/>
      <c r="C25" s="181" t="s">
        <v>1486</v>
      </c>
      <c r="D25" s="258">
        <v>0</v>
      </c>
      <c r="E25" s="322" t="str">
        <f t="shared" si="1"/>
        <v/>
      </c>
      <c r="F25" s="258">
        <v>0</v>
      </c>
      <c r="G25" s="258">
        <v>0</v>
      </c>
      <c r="H25" s="258">
        <v>0</v>
      </c>
      <c r="I25" s="438">
        <f t="shared" si="2"/>
        <v>0</v>
      </c>
      <c r="J25" s="258">
        <v>0</v>
      </c>
      <c r="K25" s="258">
        <v>0</v>
      </c>
      <c r="L25" s="258">
        <v>0</v>
      </c>
      <c r="M25" s="438">
        <f t="shared" si="3"/>
        <v>0</v>
      </c>
      <c r="N25" s="332"/>
    </row>
    <row r="26" spans="1:14" ht="20.100000000000001" customHeight="1" x14ac:dyDescent="0.25">
      <c r="A26" s="118">
        <v>318</v>
      </c>
      <c r="B26" s="118">
        <v>6</v>
      </c>
      <c r="C26" s="10" t="s">
        <v>62</v>
      </c>
      <c r="D26" s="258">
        <v>2</v>
      </c>
      <c r="E26" s="322" t="str">
        <f t="shared" si="1"/>
        <v/>
      </c>
      <c r="F26" s="258">
        <v>0</v>
      </c>
      <c r="G26" s="258">
        <v>0</v>
      </c>
      <c r="H26" s="258">
        <v>0</v>
      </c>
      <c r="I26" s="438">
        <f t="shared" si="2"/>
        <v>0</v>
      </c>
      <c r="J26" s="258">
        <v>1</v>
      </c>
      <c r="K26" s="258">
        <v>1</v>
      </c>
      <c r="L26" s="258">
        <v>0</v>
      </c>
      <c r="M26" s="438">
        <f t="shared" si="3"/>
        <v>2</v>
      </c>
      <c r="N26" s="332"/>
    </row>
    <row r="27" spans="1:14" ht="20.100000000000001" customHeight="1" x14ac:dyDescent="0.25">
      <c r="A27" s="118">
        <v>319</v>
      </c>
      <c r="B27" s="118">
        <v>7</v>
      </c>
      <c r="C27" s="10" t="s">
        <v>63</v>
      </c>
      <c r="D27" s="258">
        <v>2</v>
      </c>
      <c r="E27" s="322" t="str">
        <f t="shared" si="1"/>
        <v/>
      </c>
      <c r="F27" s="258">
        <v>0</v>
      </c>
      <c r="G27" s="258">
        <v>0</v>
      </c>
      <c r="H27" s="258">
        <v>0</v>
      </c>
      <c r="I27" s="438">
        <f t="shared" si="2"/>
        <v>0</v>
      </c>
      <c r="J27" s="258">
        <v>1</v>
      </c>
      <c r="K27" s="258">
        <v>1</v>
      </c>
      <c r="L27" s="258">
        <v>0</v>
      </c>
      <c r="M27" s="438">
        <f t="shared" si="3"/>
        <v>2</v>
      </c>
      <c r="N27" s="332"/>
    </row>
    <row r="28" spans="1:14" ht="20.100000000000001" customHeight="1" x14ac:dyDescent="0.25">
      <c r="A28" s="118">
        <v>335</v>
      </c>
      <c r="B28" s="266">
        <v>8</v>
      </c>
      <c r="C28" s="440" t="s">
        <v>1488</v>
      </c>
      <c r="D28" s="441">
        <f>SUM(D8,D12,D15:D17,D26:D27)</f>
        <v>31</v>
      </c>
      <c r="E28" s="452" t="str">
        <f t="shared" si="1"/>
        <v/>
      </c>
      <c r="F28" s="441">
        <f>SUM(F8,F12,F15:F17,F26:F27)</f>
        <v>0</v>
      </c>
      <c r="G28" s="441">
        <f>SUM(G8,G12,G15:G17,G26:G27)</f>
        <v>0</v>
      </c>
      <c r="H28" s="441">
        <f>SUM(H8,H12,H15:H17,H26:H27)</f>
        <v>0</v>
      </c>
      <c r="I28" s="441">
        <f t="shared" si="2"/>
        <v>0</v>
      </c>
      <c r="J28" s="441">
        <f>SUM(J8,J12,J15:J17,J26:J27)</f>
        <v>24</v>
      </c>
      <c r="K28" s="441">
        <f>SUM(K8,K12,K15:K17,K26:K27)</f>
        <v>7</v>
      </c>
      <c r="L28" s="441">
        <f>SUM(L8,L12,L15:L17,L26:L27)</f>
        <v>0</v>
      </c>
      <c r="M28" s="441">
        <f t="shared" si="3"/>
        <v>31</v>
      </c>
      <c r="N28" s="332"/>
    </row>
    <row r="200" spans="53:64" x14ac:dyDescent="0.25">
      <c r="BA200" s="141" t="str">
        <f>A1</f>
        <v>Goa, , ADSI-2021</v>
      </c>
      <c r="BB200" s="141"/>
    </row>
    <row r="201" spans="53:64" x14ac:dyDescent="0.25">
      <c r="BA201" s="141" t="str">
        <f>A2</f>
        <v>Errors</v>
      </c>
      <c r="BB201" s="309">
        <f>C2</f>
        <v>0</v>
      </c>
    </row>
    <row r="202" spans="53:64" x14ac:dyDescent="0.25">
      <c r="BA202" s="141" t="str">
        <f>A3</f>
        <v>Proforma–IV</v>
      </c>
    </row>
    <row r="203" spans="53:64" x14ac:dyDescent="0.25">
      <c r="BA203" s="141" t="str">
        <f>A4</f>
        <v>Profile of Accidents due to Other than Un-natural Causes</v>
      </c>
    </row>
    <row r="204" spans="53:64" x14ac:dyDescent="0.25">
      <c r="BA204" s="602" t="str">
        <f>B5</f>
        <v>Sl. No.</v>
      </c>
      <c r="BB204" s="602" t="str">
        <f>C5</f>
        <v>Causes</v>
      </c>
      <c r="BC204" s="602" t="str">
        <f>D5</f>
        <v>No. of Cases</v>
      </c>
      <c r="BD204" s="602" t="str">
        <f>E5</f>
        <v>VALIDATION WITH NUMBER OF CASES</v>
      </c>
      <c r="BE204" s="619" t="str">
        <f>F5</f>
        <v>No. of Persons Injured</v>
      </c>
      <c r="BF204" s="620"/>
      <c r="BG204" s="620"/>
      <c r="BH204" s="621"/>
      <c r="BI204" s="619" t="str">
        <f t="shared" ref="BI204:BI226" si="7">J5</f>
        <v>No. of Persons Died</v>
      </c>
      <c r="BJ204" s="620"/>
      <c r="BK204" s="620"/>
      <c r="BL204" s="621"/>
    </row>
    <row r="205" spans="53:64" ht="25.5" x14ac:dyDescent="0.25">
      <c r="BA205" s="604"/>
      <c r="BB205" s="604"/>
      <c r="BC205" s="604"/>
      <c r="BD205" s="603"/>
      <c r="BE205" s="139" t="str">
        <f t="shared" ref="BE205:BE226" si="8">F6</f>
        <v>Male</v>
      </c>
      <c r="BF205" s="139" t="str">
        <f t="shared" ref="BF205:BF226" si="9">G6</f>
        <v>Female</v>
      </c>
      <c r="BG205" s="139" t="str">
        <f t="shared" ref="BG205:BG226" si="10">H6</f>
        <v>Transgender</v>
      </c>
      <c r="BH205" s="139" t="str">
        <f t="shared" ref="BH205:BH226" si="11">I6</f>
        <v>Total (sum of (4) to (6))</v>
      </c>
      <c r="BI205" s="139" t="str">
        <f t="shared" si="7"/>
        <v>Male</v>
      </c>
      <c r="BJ205" s="139" t="str">
        <f t="shared" ref="BJ205:BJ226" si="12">K6</f>
        <v>Female</v>
      </c>
      <c r="BK205" s="139" t="str">
        <f t="shared" ref="BK205:BK226" si="13">L6</f>
        <v>Transgender</v>
      </c>
      <c r="BL205" s="139" t="str">
        <f t="shared" ref="BL205:BL226" si="14">M6</f>
        <v>Total (sum of (8) to (10))</v>
      </c>
    </row>
    <row r="206" spans="53:64" x14ac:dyDescent="0.25">
      <c r="BA206" s="139" t="str">
        <f t="shared" ref="BA206:BC207" si="15">B7</f>
        <v>(1)</v>
      </c>
      <c r="BB206" s="139" t="str">
        <f t="shared" si="15"/>
        <v>(2)</v>
      </c>
      <c r="BC206" s="139" t="str">
        <f t="shared" si="15"/>
        <v>(3)</v>
      </c>
      <c r="BD206" s="604"/>
      <c r="BE206" s="139" t="str">
        <f t="shared" si="8"/>
        <v>(4)</v>
      </c>
      <c r="BF206" s="139" t="str">
        <f t="shared" si="9"/>
        <v>(5)</v>
      </c>
      <c r="BG206" s="139" t="str">
        <f t="shared" si="10"/>
        <v>(6)</v>
      </c>
      <c r="BH206" s="139" t="str">
        <f t="shared" si="11"/>
        <v>(7)</v>
      </c>
      <c r="BI206" s="139" t="str">
        <f t="shared" si="7"/>
        <v>(8)</v>
      </c>
      <c r="BJ206" s="139" t="str">
        <f t="shared" si="12"/>
        <v>(9)</v>
      </c>
      <c r="BK206" s="139" t="str">
        <f t="shared" si="13"/>
        <v>(10)</v>
      </c>
      <c r="BL206" s="139" t="str">
        <f t="shared" si="14"/>
        <v>(11)</v>
      </c>
    </row>
    <row r="207" spans="53:64" x14ac:dyDescent="0.25">
      <c r="BA207" s="138">
        <f t="shared" si="15"/>
        <v>1</v>
      </c>
      <c r="BB207" s="136" t="str">
        <f t="shared" si="15"/>
        <v>Sudden Deaths (Total) (sum of 1.1 to 1.3)</v>
      </c>
      <c r="BC207" s="136">
        <f t="shared" si="15"/>
        <v>19</v>
      </c>
      <c r="BD207" s="283" t="str">
        <f t="shared" ref="BD207:BD226" si="16">E8</f>
        <v/>
      </c>
      <c r="BE207" s="136">
        <f t="shared" si="8"/>
        <v>0</v>
      </c>
      <c r="BF207" s="136">
        <f t="shared" si="9"/>
        <v>0</v>
      </c>
      <c r="BG207" s="136">
        <f t="shared" si="10"/>
        <v>0</v>
      </c>
      <c r="BH207" s="136">
        <f t="shared" si="11"/>
        <v>0</v>
      </c>
      <c r="BI207" s="136">
        <f t="shared" si="7"/>
        <v>17</v>
      </c>
      <c r="BJ207" s="136">
        <f t="shared" si="12"/>
        <v>2</v>
      </c>
      <c r="BK207" s="136">
        <f t="shared" si="13"/>
        <v>0</v>
      </c>
      <c r="BL207" s="136">
        <f t="shared" si="14"/>
        <v>19</v>
      </c>
    </row>
    <row r="208" spans="53:64" x14ac:dyDescent="0.25">
      <c r="BA208" s="138"/>
      <c r="BB208" s="154" t="str">
        <f t="shared" ref="BB208:BB226" si="17">C9</f>
        <v>1.1 Industrial Accidents</v>
      </c>
      <c r="BC208" s="136">
        <f t="shared" ref="BC208:BC226" si="18">D9</f>
        <v>0</v>
      </c>
      <c r="BD208" s="283" t="str">
        <f t="shared" si="16"/>
        <v/>
      </c>
      <c r="BE208" s="136">
        <f t="shared" si="8"/>
        <v>0</v>
      </c>
      <c r="BF208" s="136">
        <f t="shared" si="9"/>
        <v>0</v>
      </c>
      <c r="BG208" s="136">
        <f t="shared" si="10"/>
        <v>0</v>
      </c>
      <c r="BH208" s="136">
        <f t="shared" si="11"/>
        <v>0</v>
      </c>
      <c r="BI208" s="136">
        <f t="shared" si="7"/>
        <v>0</v>
      </c>
      <c r="BJ208" s="136">
        <f t="shared" si="12"/>
        <v>0</v>
      </c>
      <c r="BK208" s="136">
        <f t="shared" si="13"/>
        <v>0</v>
      </c>
      <c r="BL208" s="136">
        <f t="shared" si="14"/>
        <v>0</v>
      </c>
    </row>
    <row r="209" spans="53:64" x14ac:dyDescent="0.25">
      <c r="BA209" s="138"/>
      <c r="BB209" s="154" t="str">
        <f t="shared" si="17"/>
        <v>1.2 Heart Attack</v>
      </c>
      <c r="BC209" s="136">
        <f t="shared" si="18"/>
        <v>10</v>
      </c>
      <c r="BD209" s="283" t="str">
        <f t="shared" si="16"/>
        <v/>
      </c>
      <c r="BE209" s="136">
        <f t="shared" si="8"/>
        <v>0</v>
      </c>
      <c r="BF209" s="136">
        <f t="shared" si="9"/>
        <v>0</v>
      </c>
      <c r="BG209" s="136">
        <f t="shared" si="10"/>
        <v>0</v>
      </c>
      <c r="BH209" s="136">
        <f t="shared" si="11"/>
        <v>0</v>
      </c>
      <c r="BI209" s="136">
        <f t="shared" si="7"/>
        <v>9</v>
      </c>
      <c r="BJ209" s="136">
        <f t="shared" si="12"/>
        <v>1</v>
      </c>
      <c r="BK209" s="136">
        <f t="shared" si="13"/>
        <v>0</v>
      </c>
      <c r="BL209" s="136">
        <f t="shared" si="14"/>
        <v>10</v>
      </c>
    </row>
    <row r="210" spans="53:64" x14ac:dyDescent="0.25">
      <c r="BA210" s="138"/>
      <c r="BB210" s="154" t="str">
        <f t="shared" si="17"/>
        <v>1.3 Others</v>
      </c>
      <c r="BC210" s="136">
        <f t="shared" si="18"/>
        <v>9</v>
      </c>
      <c r="BD210" s="283" t="str">
        <f t="shared" si="16"/>
        <v/>
      </c>
      <c r="BE210" s="136">
        <f t="shared" si="8"/>
        <v>0</v>
      </c>
      <c r="BF210" s="136">
        <f t="shared" si="9"/>
        <v>0</v>
      </c>
      <c r="BG210" s="136">
        <f t="shared" si="10"/>
        <v>0</v>
      </c>
      <c r="BH210" s="136">
        <f t="shared" si="11"/>
        <v>0</v>
      </c>
      <c r="BI210" s="136">
        <f t="shared" si="7"/>
        <v>8</v>
      </c>
      <c r="BJ210" s="136">
        <f t="shared" si="12"/>
        <v>1</v>
      </c>
      <c r="BK210" s="136">
        <f t="shared" si="13"/>
        <v>0</v>
      </c>
      <c r="BL210" s="136">
        <f t="shared" si="14"/>
        <v>9</v>
      </c>
    </row>
    <row r="211" spans="53:64" x14ac:dyDescent="0.25">
      <c r="BA211" s="138">
        <f>B12</f>
        <v>2</v>
      </c>
      <c r="BB211" s="136" t="str">
        <f t="shared" si="17"/>
        <v>Deaths of Women during Pregnancy (Total) (sum of 2.1 and 2.2)</v>
      </c>
      <c r="BC211" s="136">
        <f t="shared" si="18"/>
        <v>0</v>
      </c>
      <c r="BD211" s="283" t="str">
        <f t="shared" si="16"/>
        <v/>
      </c>
      <c r="BE211" s="136">
        <f t="shared" si="8"/>
        <v>0</v>
      </c>
      <c r="BF211" s="136">
        <f t="shared" si="9"/>
        <v>0</v>
      </c>
      <c r="BG211" s="136">
        <f t="shared" si="10"/>
        <v>0</v>
      </c>
      <c r="BH211" s="136">
        <f t="shared" si="11"/>
        <v>0</v>
      </c>
      <c r="BI211" s="136">
        <f t="shared" si="7"/>
        <v>0</v>
      </c>
      <c r="BJ211" s="136">
        <f t="shared" si="12"/>
        <v>0</v>
      </c>
      <c r="BK211" s="136">
        <f t="shared" si="13"/>
        <v>0</v>
      </c>
      <c r="BL211" s="136">
        <f t="shared" si="14"/>
        <v>0</v>
      </c>
    </row>
    <row r="212" spans="53:64" x14ac:dyDescent="0.25">
      <c r="BA212" s="138"/>
      <c r="BB212" s="154" t="str">
        <f t="shared" si="17"/>
        <v>2.1 Due  to Abortions</v>
      </c>
      <c r="BC212" s="136">
        <f t="shared" si="18"/>
        <v>0</v>
      </c>
      <c r="BD212" s="283" t="str">
        <f t="shared" si="16"/>
        <v/>
      </c>
      <c r="BE212" s="136">
        <f t="shared" si="8"/>
        <v>0</v>
      </c>
      <c r="BF212" s="136">
        <f t="shared" si="9"/>
        <v>0</v>
      </c>
      <c r="BG212" s="136">
        <f t="shared" si="10"/>
        <v>0</v>
      </c>
      <c r="BH212" s="136">
        <f t="shared" si="11"/>
        <v>0</v>
      </c>
      <c r="BI212" s="136">
        <f t="shared" si="7"/>
        <v>0</v>
      </c>
      <c r="BJ212" s="136">
        <f t="shared" si="12"/>
        <v>0</v>
      </c>
      <c r="BK212" s="136">
        <f t="shared" si="13"/>
        <v>0</v>
      </c>
      <c r="BL212" s="136">
        <f t="shared" si="14"/>
        <v>0</v>
      </c>
    </row>
    <row r="213" spans="53:64" x14ac:dyDescent="0.25">
      <c r="BA213" s="138"/>
      <c r="BB213" s="154" t="str">
        <f t="shared" si="17"/>
        <v>2.2 Due to Other accidents during Pregnancy</v>
      </c>
      <c r="BC213" s="136">
        <f t="shared" si="18"/>
        <v>0</v>
      </c>
      <c r="BD213" s="283" t="str">
        <f t="shared" si="16"/>
        <v/>
      </c>
      <c r="BE213" s="136">
        <f t="shared" si="8"/>
        <v>0</v>
      </c>
      <c r="BF213" s="136">
        <f t="shared" si="9"/>
        <v>0</v>
      </c>
      <c r="BG213" s="136">
        <f t="shared" si="10"/>
        <v>0</v>
      </c>
      <c r="BH213" s="136">
        <f t="shared" si="11"/>
        <v>0</v>
      </c>
      <c r="BI213" s="136">
        <f t="shared" si="7"/>
        <v>0</v>
      </c>
      <c r="BJ213" s="136">
        <f t="shared" si="12"/>
        <v>0</v>
      </c>
      <c r="BK213" s="136">
        <f t="shared" si="13"/>
        <v>0</v>
      </c>
      <c r="BL213" s="136">
        <f t="shared" si="14"/>
        <v>0</v>
      </c>
    </row>
    <row r="214" spans="53:64" x14ac:dyDescent="0.25">
      <c r="BA214" s="138">
        <f>B15</f>
        <v>3</v>
      </c>
      <c r="BB214" s="136" t="str">
        <f t="shared" si="17"/>
        <v>Deaths Due to consumption of Illicit/Spurious Liquor</v>
      </c>
      <c r="BC214" s="136">
        <f t="shared" si="18"/>
        <v>0</v>
      </c>
      <c r="BD214" s="283" t="str">
        <f t="shared" si="16"/>
        <v/>
      </c>
      <c r="BE214" s="136">
        <f t="shared" si="8"/>
        <v>0</v>
      </c>
      <c r="BF214" s="136">
        <f t="shared" si="9"/>
        <v>0</v>
      </c>
      <c r="BG214" s="136">
        <f t="shared" si="10"/>
        <v>0</v>
      </c>
      <c r="BH214" s="136">
        <f t="shared" si="11"/>
        <v>0</v>
      </c>
      <c r="BI214" s="136">
        <f t="shared" si="7"/>
        <v>0</v>
      </c>
      <c r="BJ214" s="136">
        <f t="shared" si="12"/>
        <v>0</v>
      </c>
      <c r="BK214" s="136">
        <f t="shared" si="13"/>
        <v>0</v>
      </c>
      <c r="BL214" s="136">
        <f t="shared" si="14"/>
        <v>0</v>
      </c>
    </row>
    <row r="215" spans="53:64" x14ac:dyDescent="0.25">
      <c r="BA215" s="138">
        <f>B16</f>
        <v>4</v>
      </c>
      <c r="BB215" s="136" t="str">
        <f t="shared" si="17"/>
        <v>Killed by animals</v>
      </c>
      <c r="BC215" s="136">
        <f t="shared" si="18"/>
        <v>2</v>
      </c>
      <c r="BD215" s="283" t="str">
        <f t="shared" si="16"/>
        <v/>
      </c>
      <c r="BE215" s="136">
        <f t="shared" si="8"/>
        <v>0</v>
      </c>
      <c r="BF215" s="136">
        <f t="shared" si="9"/>
        <v>0</v>
      </c>
      <c r="BG215" s="136">
        <f t="shared" si="10"/>
        <v>0</v>
      </c>
      <c r="BH215" s="136">
        <f t="shared" si="11"/>
        <v>0</v>
      </c>
      <c r="BI215" s="136">
        <f t="shared" si="7"/>
        <v>1</v>
      </c>
      <c r="BJ215" s="136">
        <f t="shared" si="12"/>
        <v>1</v>
      </c>
      <c r="BK215" s="136">
        <f t="shared" si="13"/>
        <v>0</v>
      </c>
      <c r="BL215" s="136">
        <f t="shared" si="14"/>
        <v>2</v>
      </c>
    </row>
    <row r="216" spans="53:64" x14ac:dyDescent="0.25">
      <c r="BA216" s="138">
        <f>B17</f>
        <v>5</v>
      </c>
      <c r="BB216" s="136" t="str">
        <f t="shared" si="17"/>
        <v>Poisoning (Total) (sum of 5.1 to 5.3 &amp; 5.4 to 5.6)</v>
      </c>
      <c r="BC216" s="136">
        <f t="shared" si="18"/>
        <v>6</v>
      </c>
      <c r="BD216" s="283" t="str">
        <f t="shared" si="16"/>
        <v/>
      </c>
      <c r="BE216" s="136">
        <f t="shared" si="8"/>
        <v>0</v>
      </c>
      <c r="BF216" s="136">
        <f t="shared" si="9"/>
        <v>0</v>
      </c>
      <c r="BG216" s="136">
        <f t="shared" si="10"/>
        <v>0</v>
      </c>
      <c r="BH216" s="136">
        <f t="shared" si="11"/>
        <v>0</v>
      </c>
      <c r="BI216" s="136">
        <f t="shared" si="7"/>
        <v>4</v>
      </c>
      <c r="BJ216" s="136">
        <f t="shared" si="12"/>
        <v>2</v>
      </c>
      <c r="BK216" s="136">
        <f t="shared" si="13"/>
        <v>0</v>
      </c>
      <c r="BL216" s="136">
        <f t="shared" si="14"/>
        <v>6</v>
      </c>
    </row>
    <row r="217" spans="53:64" x14ac:dyDescent="0.25">
      <c r="BA217" s="138"/>
      <c r="BB217" s="154" t="str">
        <f t="shared" si="17"/>
        <v>5.1 Food Poisoning</v>
      </c>
      <c r="BC217" s="136">
        <f t="shared" si="18"/>
        <v>1</v>
      </c>
      <c r="BD217" s="283" t="str">
        <f t="shared" si="16"/>
        <v/>
      </c>
      <c r="BE217" s="136">
        <f t="shared" si="8"/>
        <v>0</v>
      </c>
      <c r="BF217" s="136">
        <f t="shared" si="9"/>
        <v>0</v>
      </c>
      <c r="BG217" s="136">
        <f t="shared" si="10"/>
        <v>0</v>
      </c>
      <c r="BH217" s="136">
        <f t="shared" si="11"/>
        <v>0</v>
      </c>
      <c r="BI217" s="136">
        <f t="shared" si="7"/>
        <v>1</v>
      </c>
      <c r="BJ217" s="136">
        <f t="shared" si="12"/>
        <v>0</v>
      </c>
      <c r="BK217" s="136">
        <f t="shared" si="13"/>
        <v>0</v>
      </c>
      <c r="BL217" s="136">
        <f t="shared" si="14"/>
        <v>1</v>
      </c>
    </row>
    <row r="218" spans="53:64" x14ac:dyDescent="0.25">
      <c r="BA218" s="138"/>
      <c r="BB218" s="154" t="str">
        <f t="shared" si="17"/>
        <v>5.2 Accidental intake of Insecticides/Pesticides</v>
      </c>
      <c r="BC218" s="136">
        <f t="shared" si="18"/>
        <v>3</v>
      </c>
      <c r="BD218" s="283" t="str">
        <f t="shared" si="16"/>
        <v/>
      </c>
      <c r="BE218" s="136">
        <f t="shared" si="8"/>
        <v>0</v>
      </c>
      <c r="BF218" s="136">
        <f t="shared" si="9"/>
        <v>0</v>
      </c>
      <c r="BG218" s="136">
        <f t="shared" si="10"/>
        <v>0</v>
      </c>
      <c r="BH218" s="136">
        <f t="shared" si="11"/>
        <v>0</v>
      </c>
      <c r="BI218" s="136">
        <f t="shared" si="7"/>
        <v>2</v>
      </c>
      <c r="BJ218" s="136">
        <f t="shared" si="12"/>
        <v>1</v>
      </c>
      <c r="BK218" s="136">
        <f t="shared" si="13"/>
        <v>0</v>
      </c>
      <c r="BL218" s="136">
        <f t="shared" si="14"/>
        <v>3</v>
      </c>
    </row>
    <row r="219" spans="53:64" x14ac:dyDescent="0.25">
      <c r="BA219" s="138"/>
      <c r="BB219" s="154" t="str">
        <f t="shared" si="17"/>
        <v>5.3  Poisonous Gases (Total) (sum of 5.3.1 &amp; 5.3.2)</v>
      </c>
      <c r="BC219" s="136">
        <f t="shared" si="18"/>
        <v>0</v>
      </c>
      <c r="BD219" s="283" t="str">
        <f t="shared" si="16"/>
        <v/>
      </c>
      <c r="BE219" s="136">
        <f t="shared" si="8"/>
        <v>0</v>
      </c>
      <c r="BF219" s="136">
        <f t="shared" si="9"/>
        <v>0</v>
      </c>
      <c r="BG219" s="136">
        <f t="shared" si="10"/>
        <v>0</v>
      </c>
      <c r="BH219" s="136">
        <f t="shared" si="11"/>
        <v>0</v>
      </c>
      <c r="BI219" s="136">
        <f t="shared" si="7"/>
        <v>0</v>
      </c>
      <c r="BJ219" s="136">
        <f t="shared" si="12"/>
        <v>0</v>
      </c>
      <c r="BK219" s="136">
        <f t="shared" si="13"/>
        <v>0</v>
      </c>
      <c r="BL219" s="136">
        <f t="shared" si="14"/>
        <v>0</v>
      </c>
    </row>
    <row r="220" spans="53:64" x14ac:dyDescent="0.25">
      <c r="BA220" s="138"/>
      <c r="BB220" s="490" t="str">
        <f t="shared" si="17"/>
        <v>5.3.1 Carbon Monoxide (CO) Gas</v>
      </c>
      <c r="BC220" s="136">
        <f t="shared" si="18"/>
        <v>0</v>
      </c>
      <c r="BD220" s="283" t="str">
        <f t="shared" si="16"/>
        <v/>
      </c>
      <c r="BE220" s="136">
        <f t="shared" si="8"/>
        <v>0</v>
      </c>
      <c r="BF220" s="136">
        <f t="shared" si="9"/>
        <v>0</v>
      </c>
      <c r="BG220" s="136">
        <f t="shared" si="10"/>
        <v>0</v>
      </c>
      <c r="BH220" s="136">
        <f t="shared" si="11"/>
        <v>0</v>
      </c>
      <c r="BI220" s="136">
        <f t="shared" si="7"/>
        <v>0</v>
      </c>
      <c r="BJ220" s="136">
        <f t="shared" si="12"/>
        <v>0</v>
      </c>
      <c r="BK220" s="136">
        <f t="shared" si="13"/>
        <v>0</v>
      </c>
      <c r="BL220" s="136">
        <f t="shared" si="14"/>
        <v>0</v>
      </c>
    </row>
    <row r="221" spans="53:64" x14ac:dyDescent="0.25">
      <c r="BA221" s="138"/>
      <c r="BB221" s="490" t="str">
        <f t="shared" si="17"/>
        <v>5.3.2 Other poisonous Gases</v>
      </c>
      <c r="BC221" s="136">
        <f t="shared" si="18"/>
        <v>0</v>
      </c>
      <c r="BD221" s="283" t="str">
        <f t="shared" si="16"/>
        <v/>
      </c>
      <c r="BE221" s="136">
        <f t="shared" si="8"/>
        <v>0</v>
      </c>
      <c r="BF221" s="136">
        <f t="shared" si="9"/>
        <v>0</v>
      </c>
      <c r="BG221" s="136">
        <f t="shared" si="10"/>
        <v>0</v>
      </c>
      <c r="BH221" s="136">
        <f t="shared" si="11"/>
        <v>0</v>
      </c>
      <c r="BI221" s="136">
        <f t="shared" si="7"/>
        <v>0</v>
      </c>
      <c r="BJ221" s="136">
        <f t="shared" si="12"/>
        <v>0</v>
      </c>
      <c r="BK221" s="136">
        <f t="shared" si="13"/>
        <v>0</v>
      </c>
      <c r="BL221" s="136">
        <f t="shared" si="14"/>
        <v>0</v>
      </c>
    </row>
    <row r="222" spans="53:64" x14ac:dyDescent="0.25">
      <c r="BA222" s="138"/>
      <c r="BB222" s="154" t="str">
        <f t="shared" si="17"/>
        <v xml:space="preserve">5.4 Snake bite </v>
      </c>
      <c r="BC222" s="136">
        <f t="shared" si="18"/>
        <v>2</v>
      </c>
      <c r="BD222" s="283" t="str">
        <f t="shared" si="16"/>
        <v/>
      </c>
      <c r="BE222" s="136">
        <f t="shared" si="8"/>
        <v>0</v>
      </c>
      <c r="BF222" s="136">
        <f t="shared" si="9"/>
        <v>0</v>
      </c>
      <c r="BG222" s="136">
        <f t="shared" si="10"/>
        <v>0</v>
      </c>
      <c r="BH222" s="136">
        <f t="shared" si="11"/>
        <v>0</v>
      </c>
      <c r="BI222" s="136">
        <f t="shared" si="7"/>
        <v>1</v>
      </c>
      <c r="BJ222" s="136">
        <f t="shared" si="12"/>
        <v>1</v>
      </c>
      <c r="BK222" s="136">
        <f t="shared" si="13"/>
        <v>0</v>
      </c>
      <c r="BL222" s="136">
        <f t="shared" si="14"/>
        <v>2</v>
      </c>
    </row>
    <row r="223" spans="53:64" x14ac:dyDescent="0.25">
      <c r="BA223" s="138"/>
      <c r="BB223" s="154" t="str">
        <f t="shared" si="17"/>
        <v>5.5 Animal/Reptiles/Insects bite</v>
      </c>
      <c r="BC223" s="136">
        <f t="shared" si="18"/>
        <v>0</v>
      </c>
      <c r="BD223" s="283" t="str">
        <f t="shared" si="16"/>
        <v/>
      </c>
      <c r="BE223" s="136">
        <f t="shared" si="8"/>
        <v>0</v>
      </c>
      <c r="BF223" s="136">
        <f t="shared" si="9"/>
        <v>0</v>
      </c>
      <c r="BG223" s="136">
        <f t="shared" si="10"/>
        <v>0</v>
      </c>
      <c r="BH223" s="136">
        <f t="shared" si="11"/>
        <v>0</v>
      </c>
      <c r="BI223" s="136">
        <f t="shared" si="7"/>
        <v>0</v>
      </c>
      <c r="BJ223" s="136">
        <f t="shared" si="12"/>
        <v>0</v>
      </c>
      <c r="BK223" s="136">
        <f t="shared" si="13"/>
        <v>0</v>
      </c>
      <c r="BL223" s="136">
        <f t="shared" si="14"/>
        <v>0</v>
      </c>
    </row>
    <row r="224" spans="53:64" x14ac:dyDescent="0.25">
      <c r="BA224" s="138"/>
      <c r="BB224" s="154" t="str">
        <f t="shared" si="17"/>
        <v>5.6 Other</v>
      </c>
      <c r="BC224" s="136">
        <f t="shared" si="18"/>
        <v>0</v>
      </c>
      <c r="BD224" s="283" t="str">
        <f t="shared" si="16"/>
        <v/>
      </c>
      <c r="BE224" s="136">
        <f t="shared" si="8"/>
        <v>0</v>
      </c>
      <c r="BF224" s="136">
        <f t="shared" si="9"/>
        <v>0</v>
      </c>
      <c r="BG224" s="136">
        <f t="shared" si="10"/>
        <v>0</v>
      </c>
      <c r="BH224" s="136">
        <f t="shared" si="11"/>
        <v>0</v>
      </c>
      <c r="BI224" s="136">
        <f t="shared" si="7"/>
        <v>0</v>
      </c>
      <c r="BJ224" s="136">
        <f t="shared" si="12"/>
        <v>0</v>
      </c>
      <c r="BK224" s="136">
        <f t="shared" si="13"/>
        <v>0</v>
      </c>
      <c r="BL224" s="136">
        <f t="shared" si="14"/>
        <v>0</v>
      </c>
    </row>
    <row r="225" spans="53:64" x14ac:dyDescent="0.25">
      <c r="BA225" s="138">
        <f>B26</f>
        <v>6</v>
      </c>
      <c r="BB225" s="136" t="str">
        <f t="shared" si="17"/>
        <v>Suffocation</v>
      </c>
      <c r="BC225" s="136">
        <f t="shared" si="18"/>
        <v>2</v>
      </c>
      <c r="BD225" s="283" t="str">
        <f t="shared" si="16"/>
        <v/>
      </c>
      <c r="BE225" s="136">
        <f t="shared" si="8"/>
        <v>0</v>
      </c>
      <c r="BF225" s="136">
        <f t="shared" si="9"/>
        <v>0</v>
      </c>
      <c r="BG225" s="136">
        <f t="shared" si="10"/>
        <v>0</v>
      </c>
      <c r="BH225" s="136">
        <f t="shared" si="11"/>
        <v>0</v>
      </c>
      <c r="BI225" s="136">
        <f t="shared" si="7"/>
        <v>1</v>
      </c>
      <c r="BJ225" s="136">
        <f t="shared" si="12"/>
        <v>1</v>
      </c>
      <c r="BK225" s="136">
        <f t="shared" si="13"/>
        <v>0</v>
      </c>
      <c r="BL225" s="136">
        <f t="shared" si="14"/>
        <v>2</v>
      </c>
    </row>
    <row r="226" spans="53:64" x14ac:dyDescent="0.25">
      <c r="BA226" s="138">
        <f>B27</f>
        <v>7</v>
      </c>
      <c r="BB226" s="136" t="str">
        <f t="shared" si="17"/>
        <v>Drug Overdose</v>
      </c>
      <c r="BC226" s="136">
        <f t="shared" si="18"/>
        <v>2</v>
      </c>
      <c r="BD226" s="283" t="str">
        <f t="shared" si="16"/>
        <v/>
      </c>
      <c r="BE226" s="136">
        <f t="shared" si="8"/>
        <v>0</v>
      </c>
      <c r="BF226" s="136">
        <f t="shared" si="9"/>
        <v>0</v>
      </c>
      <c r="BG226" s="136">
        <f t="shared" si="10"/>
        <v>0</v>
      </c>
      <c r="BH226" s="136">
        <f t="shared" si="11"/>
        <v>0</v>
      </c>
      <c r="BI226" s="136">
        <f t="shared" si="7"/>
        <v>1</v>
      </c>
      <c r="BJ226" s="136">
        <f t="shared" si="12"/>
        <v>1</v>
      </c>
      <c r="BK226" s="136">
        <f t="shared" si="13"/>
        <v>0</v>
      </c>
      <c r="BL226" s="136">
        <f t="shared" si="14"/>
        <v>2</v>
      </c>
    </row>
    <row r="227" spans="53:64" x14ac:dyDescent="0.25">
      <c r="BA227" s="138">
        <f t="shared" ref="BA227" si="19">B28</f>
        <v>8</v>
      </c>
      <c r="BB227" s="136" t="str">
        <f t="shared" ref="BB227" si="20">C28</f>
        <v>Total (sum of Sl. 1 to 7)</v>
      </c>
      <c r="BC227" s="136">
        <f t="shared" ref="BC227" si="21">D28</f>
        <v>31</v>
      </c>
      <c r="BD227" s="283" t="str">
        <f t="shared" ref="BD227" si="22">E28</f>
        <v/>
      </c>
      <c r="BE227" s="136">
        <f t="shared" ref="BE227" si="23">F28</f>
        <v>0</v>
      </c>
      <c r="BF227" s="136">
        <f t="shared" ref="BF227" si="24">G28</f>
        <v>0</v>
      </c>
      <c r="BG227" s="136">
        <f t="shared" ref="BG227" si="25">H28</f>
        <v>0</v>
      </c>
      <c r="BH227" s="136">
        <f t="shared" ref="BH227" si="26">I28</f>
        <v>0</v>
      </c>
      <c r="BI227" s="136">
        <f t="shared" ref="BI227" si="27">J28</f>
        <v>24</v>
      </c>
      <c r="BJ227" s="136">
        <f t="shared" ref="BJ227" si="28">K28</f>
        <v>7</v>
      </c>
      <c r="BK227" s="136">
        <f t="shared" ref="BK227" si="29">L28</f>
        <v>0</v>
      </c>
      <c r="BL227" s="136">
        <f t="shared" ref="BL227" si="30">M28</f>
        <v>31</v>
      </c>
    </row>
    <row r="500" spans="1:14" x14ac:dyDescent="0.25">
      <c r="A500" s="190" t="s">
        <v>450</v>
      </c>
      <c r="B500" s="190" t="s">
        <v>451</v>
      </c>
      <c r="C500" s="190" t="s">
        <v>452</v>
      </c>
      <c r="D500" s="190" t="s">
        <v>453</v>
      </c>
      <c r="E500" s="190" t="s">
        <v>472</v>
      </c>
      <c r="F500" s="190" t="s">
        <v>473</v>
      </c>
      <c r="G500" s="190" t="s">
        <v>474</v>
      </c>
      <c r="H500" s="190" t="s">
        <v>475</v>
      </c>
      <c r="I500" s="190" t="s">
        <v>476</v>
      </c>
      <c r="J500" s="190" t="s">
        <v>477</v>
      </c>
      <c r="K500" s="190" t="s">
        <v>478</v>
      </c>
      <c r="L500" s="190" t="s">
        <v>479</v>
      </c>
      <c r="M500" s="190" t="s">
        <v>480</v>
      </c>
    </row>
    <row r="501" spans="1:14" x14ac:dyDescent="0.2">
      <c r="A501" s="348">
        <f>IF(ADSI!$G$12="",ADSI!$H$16,ADSI!$H$12)</f>
        <v>6</v>
      </c>
      <c r="B501" s="348" t="str">
        <f ca="1">IF(ADSI!$G$12="",ADSI!$H$16,ADSI!$H$14)</f>
        <v/>
      </c>
      <c r="C501" s="390">
        <f t="shared" ref="C501:C521" si="31">A8</f>
        <v>300</v>
      </c>
      <c r="D501" s="348">
        <f>ADSI!$K$12</f>
        <v>2021</v>
      </c>
      <c r="E501" s="363">
        <f t="shared" ref="E501:E521" si="32">D8</f>
        <v>19</v>
      </c>
      <c r="F501" s="393">
        <f t="shared" ref="F501:M501" si="33">F8</f>
        <v>0</v>
      </c>
      <c r="G501" s="393">
        <f t="shared" si="33"/>
        <v>0</v>
      </c>
      <c r="H501" s="393">
        <f t="shared" si="33"/>
        <v>0</v>
      </c>
      <c r="I501" s="393">
        <f t="shared" si="33"/>
        <v>0</v>
      </c>
      <c r="J501" s="393">
        <f t="shared" si="33"/>
        <v>17</v>
      </c>
      <c r="K501" s="393">
        <f t="shared" si="33"/>
        <v>2</v>
      </c>
      <c r="L501" s="393">
        <f t="shared" si="33"/>
        <v>0</v>
      </c>
      <c r="M501" s="393">
        <f t="shared" si="33"/>
        <v>19</v>
      </c>
      <c r="N501" s="351"/>
    </row>
    <row r="502" spans="1:14" x14ac:dyDescent="0.2">
      <c r="A502" s="348">
        <f>IF(ADSI!$G$12="",ADSI!$H$16,ADSI!$H$12)</f>
        <v>6</v>
      </c>
      <c r="B502" s="348" t="str">
        <f ca="1">IF(ADSI!$G$12="",ADSI!$H$16,ADSI!$H$14)</f>
        <v/>
      </c>
      <c r="C502" s="390">
        <f t="shared" si="31"/>
        <v>301</v>
      </c>
      <c r="D502" s="348">
        <f>ADSI!$K$12</f>
        <v>2021</v>
      </c>
      <c r="E502" s="363">
        <f t="shared" si="32"/>
        <v>0</v>
      </c>
      <c r="F502" s="393">
        <f t="shared" ref="F502:M502" si="34">F9</f>
        <v>0</v>
      </c>
      <c r="G502" s="393">
        <f t="shared" si="34"/>
        <v>0</v>
      </c>
      <c r="H502" s="393">
        <f t="shared" si="34"/>
        <v>0</v>
      </c>
      <c r="I502" s="393">
        <f t="shared" si="34"/>
        <v>0</v>
      </c>
      <c r="J502" s="393">
        <f t="shared" si="34"/>
        <v>0</v>
      </c>
      <c r="K502" s="393">
        <f t="shared" si="34"/>
        <v>0</v>
      </c>
      <c r="L502" s="393">
        <f t="shared" si="34"/>
        <v>0</v>
      </c>
      <c r="M502" s="393">
        <f t="shared" si="34"/>
        <v>0</v>
      </c>
      <c r="N502" s="351"/>
    </row>
    <row r="503" spans="1:14" x14ac:dyDescent="0.2">
      <c r="A503" s="348">
        <f>IF(ADSI!$G$12="",ADSI!$H$16,ADSI!$H$12)</f>
        <v>6</v>
      </c>
      <c r="B503" s="348" t="str">
        <f ca="1">IF(ADSI!$G$12="",ADSI!$H$16,ADSI!$H$14)</f>
        <v/>
      </c>
      <c r="C503" s="390">
        <f t="shared" si="31"/>
        <v>302</v>
      </c>
      <c r="D503" s="348">
        <f>ADSI!$K$12</f>
        <v>2021</v>
      </c>
      <c r="E503" s="363">
        <f t="shared" si="32"/>
        <v>10</v>
      </c>
      <c r="F503" s="393">
        <f t="shared" ref="F503:M503" si="35">F10</f>
        <v>0</v>
      </c>
      <c r="G503" s="393">
        <f t="shared" si="35"/>
        <v>0</v>
      </c>
      <c r="H503" s="393">
        <f t="shared" si="35"/>
        <v>0</v>
      </c>
      <c r="I503" s="393">
        <f t="shared" si="35"/>
        <v>0</v>
      </c>
      <c r="J503" s="393">
        <f t="shared" si="35"/>
        <v>9</v>
      </c>
      <c r="K503" s="393">
        <f t="shared" si="35"/>
        <v>1</v>
      </c>
      <c r="L503" s="393">
        <f t="shared" si="35"/>
        <v>0</v>
      </c>
      <c r="M503" s="393">
        <f t="shared" si="35"/>
        <v>10</v>
      </c>
      <c r="N503" s="351"/>
    </row>
    <row r="504" spans="1:14" x14ac:dyDescent="0.2">
      <c r="A504" s="348">
        <f>IF(ADSI!$G$12="",ADSI!$H$16,ADSI!$H$12)</f>
        <v>6</v>
      </c>
      <c r="B504" s="348" t="str">
        <f ca="1">IF(ADSI!$G$12="",ADSI!$H$16,ADSI!$H$14)</f>
        <v/>
      </c>
      <c r="C504" s="390">
        <f t="shared" si="31"/>
        <v>303</v>
      </c>
      <c r="D504" s="348">
        <f>ADSI!$K$12</f>
        <v>2021</v>
      </c>
      <c r="E504" s="363">
        <f t="shared" si="32"/>
        <v>9</v>
      </c>
      <c r="F504" s="393">
        <f t="shared" ref="F504:M504" si="36">F11</f>
        <v>0</v>
      </c>
      <c r="G504" s="393">
        <f t="shared" si="36"/>
        <v>0</v>
      </c>
      <c r="H504" s="393">
        <f t="shared" si="36"/>
        <v>0</v>
      </c>
      <c r="I504" s="393">
        <f t="shared" si="36"/>
        <v>0</v>
      </c>
      <c r="J504" s="393">
        <f t="shared" si="36"/>
        <v>8</v>
      </c>
      <c r="K504" s="393">
        <f t="shared" si="36"/>
        <v>1</v>
      </c>
      <c r="L504" s="393">
        <f t="shared" si="36"/>
        <v>0</v>
      </c>
      <c r="M504" s="393">
        <f t="shared" si="36"/>
        <v>9</v>
      </c>
      <c r="N504" s="351"/>
    </row>
    <row r="505" spans="1:14" x14ac:dyDescent="0.2">
      <c r="A505" s="348">
        <f>IF(ADSI!$G$12="",ADSI!$H$16,ADSI!$H$12)</f>
        <v>6</v>
      </c>
      <c r="B505" s="348" t="str">
        <f ca="1">IF(ADSI!$G$12="",ADSI!$H$16,ADSI!$H$14)</f>
        <v/>
      </c>
      <c r="C505" s="390">
        <f t="shared" si="31"/>
        <v>304</v>
      </c>
      <c r="D505" s="348">
        <f>ADSI!$K$12</f>
        <v>2021</v>
      </c>
      <c r="E505" s="363">
        <f t="shared" si="32"/>
        <v>0</v>
      </c>
      <c r="F505" s="393">
        <f t="shared" ref="F505:M505" si="37">F12</f>
        <v>0</v>
      </c>
      <c r="G505" s="393">
        <f t="shared" si="37"/>
        <v>0</v>
      </c>
      <c r="H505" s="393">
        <f t="shared" si="37"/>
        <v>0</v>
      </c>
      <c r="I505" s="393">
        <f t="shared" si="37"/>
        <v>0</v>
      </c>
      <c r="J505" s="393">
        <f t="shared" si="37"/>
        <v>0</v>
      </c>
      <c r="K505" s="393">
        <f t="shared" si="37"/>
        <v>0</v>
      </c>
      <c r="L505" s="393">
        <f t="shared" si="37"/>
        <v>0</v>
      </c>
      <c r="M505" s="393">
        <f t="shared" si="37"/>
        <v>0</v>
      </c>
      <c r="N505" s="351"/>
    </row>
    <row r="506" spans="1:14" x14ac:dyDescent="0.2">
      <c r="A506" s="348">
        <f>IF(ADSI!$G$12="",ADSI!$H$16,ADSI!$H$12)</f>
        <v>6</v>
      </c>
      <c r="B506" s="348" t="str">
        <f ca="1">IF(ADSI!$G$12="",ADSI!$H$16,ADSI!$H$14)</f>
        <v/>
      </c>
      <c r="C506" s="390">
        <f t="shared" si="31"/>
        <v>305</v>
      </c>
      <c r="D506" s="348">
        <f>ADSI!$K$12</f>
        <v>2021</v>
      </c>
      <c r="E506" s="363">
        <f t="shared" si="32"/>
        <v>0</v>
      </c>
      <c r="F506" s="393">
        <f t="shared" ref="F506:M506" si="38">F13</f>
        <v>0</v>
      </c>
      <c r="G506" s="393">
        <f t="shared" si="38"/>
        <v>0</v>
      </c>
      <c r="H506" s="393">
        <f t="shared" si="38"/>
        <v>0</v>
      </c>
      <c r="I506" s="393">
        <f t="shared" si="38"/>
        <v>0</v>
      </c>
      <c r="J506" s="393">
        <f t="shared" si="38"/>
        <v>0</v>
      </c>
      <c r="K506" s="393">
        <f t="shared" si="38"/>
        <v>0</v>
      </c>
      <c r="L506" s="393">
        <f t="shared" si="38"/>
        <v>0</v>
      </c>
      <c r="M506" s="393">
        <f t="shared" si="38"/>
        <v>0</v>
      </c>
      <c r="N506" s="351"/>
    </row>
    <row r="507" spans="1:14" x14ac:dyDescent="0.2">
      <c r="A507" s="348">
        <f>IF(ADSI!$G$12="",ADSI!$H$16,ADSI!$H$12)</f>
        <v>6</v>
      </c>
      <c r="B507" s="348" t="str">
        <f ca="1">IF(ADSI!$G$12="",ADSI!$H$16,ADSI!$H$14)</f>
        <v/>
      </c>
      <c r="C507" s="390">
        <f t="shared" si="31"/>
        <v>306</v>
      </c>
      <c r="D507" s="348">
        <f>ADSI!$K$12</f>
        <v>2021</v>
      </c>
      <c r="E507" s="363">
        <f t="shared" si="32"/>
        <v>0</v>
      </c>
      <c r="F507" s="393">
        <f t="shared" ref="F507:M507" si="39">F14</f>
        <v>0</v>
      </c>
      <c r="G507" s="393">
        <f t="shared" si="39"/>
        <v>0</v>
      </c>
      <c r="H507" s="393">
        <f t="shared" si="39"/>
        <v>0</v>
      </c>
      <c r="I507" s="393">
        <f t="shared" si="39"/>
        <v>0</v>
      </c>
      <c r="J507" s="393">
        <f t="shared" si="39"/>
        <v>0</v>
      </c>
      <c r="K507" s="393">
        <f t="shared" si="39"/>
        <v>0</v>
      </c>
      <c r="L507" s="393">
        <f t="shared" si="39"/>
        <v>0</v>
      </c>
      <c r="M507" s="393">
        <f t="shared" si="39"/>
        <v>0</v>
      </c>
      <c r="N507" s="350"/>
    </row>
    <row r="508" spans="1:14" x14ac:dyDescent="0.2">
      <c r="A508" s="348">
        <f>IF(ADSI!$G$12="",ADSI!$H$16,ADSI!$H$12)</f>
        <v>6</v>
      </c>
      <c r="B508" s="348" t="str">
        <f ca="1">IF(ADSI!$G$12="",ADSI!$H$16,ADSI!$H$14)</f>
        <v/>
      </c>
      <c r="C508" s="390">
        <f t="shared" si="31"/>
        <v>307</v>
      </c>
      <c r="D508" s="348">
        <f>ADSI!$K$12</f>
        <v>2021</v>
      </c>
      <c r="E508" s="363">
        <f t="shared" si="32"/>
        <v>0</v>
      </c>
      <c r="F508" s="393">
        <f t="shared" ref="F508:M508" si="40">F15</f>
        <v>0</v>
      </c>
      <c r="G508" s="393">
        <f t="shared" si="40"/>
        <v>0</v>
      </c>
      <c r="H508" s="393">
        <f t="shared" si="40"/>
        <v>0</v>
      </c>
      <c r="I508" s="393">
        <f t="shared" si="40"/>
        <v>0</v>
      </c>
      <c r="J508" s="393">
        <f t="shared" si="40"/>
        <v>0</v>
      </c>
      <c r="K508" s="393">
        <f t="shared" si="40"/>
        <v>0</v>
      </c>
      <c r="L508" s="393">
        <f t="shared" si="40"/>
        <v>0</v>
      </c>
      <c r="M508" s="393">
        <f t="shared" si="40"/>
        <v>0</v>
      </c>
      <c r="N508" s="350"/>
    </row>
    <row r="509" spans="1:14" x14ac:dyDescent="0.2">
      <c r="A509" s="348">
        <f>IF(ADSI!$G$12="",ADSI!$H$16,ADSI!$H$12)</f>
        <v>6</v>
      </c>
      <c r="B509" s="348" t="str">
        <f ca="1">IF(ADSI!$G$12="",ADSI!$H$16,ADSI!$H$14)</f>
        <v/>
      </c>
      <c r="C509" s="390">
        <f t="shared" si="31"/>
        <v>308</v>
      </c>
      <c r="D509" s="348">
        <f>ADSI!$K$12</f>
        <v>2021</v>
      </c>
      <c r="E509" s="363">
        <f t="shared" si="32"/>
        <v>2</v>
      </c>
      <c r="F509" s="393">
        <f t="shared" ref="F509:M509" si="41">F16</f>
        <v>0</v>
      </c>
      <c r="G509" s="393">
        <f t="shared" si="41"/>
        <v>0</v>
      </c>
      <c r="H509" s="393">
        <f t="shared" si="41"/>
        <v>0</v>
      </c>
      <c r="I509" s="393">
        <f t="shared" si="41"/>
        <v>0</v>
      </c>
      <c r="J509" s="393">
        <f t="shared" si="41"/>
        <v>1</v>
      </c>
      <c r="K509" s="393">
        <f t="shared" si="41"/>
        <v>1</v>
      </c>
      <c r="L509" s="393">
        <f t="shared" si="41"/>
        <v>0</v>
      </c>
      <c r="M509" s="393">
        <f t="shared" si="41"/>
        <v>2</v>
      </c>
      <c r="N509" s="350"/>
    </row>
    <row r="510" spans="1:14" x14ac:dyDescent="0.2">
      <c r="A510" s="348">
        <f>IF(ADSI!$G$12="",ADSI!$H$16,ADSI!$H$12)</f>
        <v>6</v>
      </c>
      <c r="B510" s="348" t="str">
        <f ca="1">IF(ADSI!$G$12="",ADSI!$H$16,ADSI!$H$14)</f>
        <v/>
      </c>
      <c r="C510" s="390">
        <f t="shared" si="31"/>
        <v>309</v>
      </c>
      <c r="D510" s="348">
        <f>ADSI!$K$12</f>
        <v>2021</v>
      </c>
      <c r="E510" s="363">
        <f t="shared" si="32"/>
        <v>6</v>
      </c>
      <c r="F510" s="393">
        <f t="shared" ref="F510:M510" si="42">F17</f>
        <v>0</v>
      </c>
      <c r="G510" s="393">
        <f t="shared" si="42"/>
        <v>0</v>
      </c>
      <c r="H510" s="393">
        <f t="shared" si="42"/>
        <v>0</v>
      </c>
      <c r="I510" s="393">
        <f t="shared" si="42"/>
        <v>0</v>
      </c>
      <c r="J510" s="393">
        <f t="shared" si="42"/>
        <v>4</v>
      </c>
      <c r="K510" s="393">
        <f t="shared" si="42"/>
        <v>2</v>
      </c>
      <c r="L510" s="393">
        <f t="shared" si="42"/>
        <v>0</v>
      </c>
      <c r="M510" s="393">
        <f t="shared" si="42"/>
        <v>6</v>
      </c>
      <c r="N510" s="350"/>
    </row>
    <row r="511" spans="1:14" x14ac:dyDescent="0.2">
      <c r="A511" s="348">
        <f>IF(ADSI!$G$12="",ADSI!$H$16,ADSI!$H$12)</f>
        <v>6</v>
      </c>
      <c r="B511" s="348" t="str">
        <f ca="1">IF(ADSI!$G$12="",ADSI!$H$16,ADSI!$H$14)</f>
        <v/>
      </c>
      <c r="C511" s="390">
        <f t="shared" si="31"/>
        <v>310</v>
      </c>
      <c r="D511" s="348">
        <f>ADSI!$K$12</f>
        <v>2021</v>
      </c>
      <c r="E511" s="363">
        <f t="shared" si="32"/>
        <v>1</v>
      </c>
      <c r="F511" s="393">
        <f t="shared" ref="F511:M511" si="43">F18</f>
        <v>0</v>
      </c>
      <c r="G511" s="393">
        <f t="shared" si="43"/>
        <v>0</v>
      </c>
      <c r="H511" s="393">
        <f t="shared" si="43"/>
        <v>0</v>
      </c>
      <c r="I511" s="393">
        <f t="shared" si="43"/>
        <v>0</v>
      </c>
      <c r="J511" s="393">
        <f t="shared" si="43"/>
        <v>1</v>
      </c>
      <c r="K511" s="393">
        <f t="shared" si="43"/>
        <v>0</v>
      </c>
      <c r="L511" s="393">
        <f t="shared" si="43"/>
        <v>0</v>
      </c>
      <c r="M511" s="393">
        <f t="shared" si="43"/>
        <v>1</v>
      </c>
      <c r="N511" s="350"/>
    </row>
    <row r="512" spans="1:14" x14ac:dyDescent="0.2">
      <c r="A512" s="348">
        <f>IF(ADSI!$G$12="",ADSI!$H$16,ADSI!$H$12)</f>
        <v>6</v>
      </c>
      <c r="B512" s="348" t="str">
        <f ca="1">IF(ADSI!$G$12="",ADSI!$H$16,ADSI!$H$14)</f>
        <v/>
      </c>
      <c r="C512" s="390">
        <f t="shared" si="31"/>
        <v>311</v>
      </c>
      <c r="D512" s="348">
        <f>ADSI!$K$12</f>
        <v>2021</v>
      </c>
      <c r="E512" s="363">
        <f t="shared" si="32"/>
        <v>3</v>
      </c>
      <c r="F512" s="393">
        <f t="shared" ref="F512:M512" si="44">F19</f>
        <v>0</v>
      </c>
      <c r="G512" s="393">
        <f t="shared" si="44"/>
        <v>0</v>
      </c>
      <c r="H512" s="393">
        <f t="shared" si="44"/>
        <v>0</v>
      </c>
      <c r="I512" s="393">
        <f t="shared" si="44"/>
        <v>0</v>
      </c>
      <c r="J512" s="393">
        <f t="shared" si="44"/>
        <v>2</v>
      </c>
      <c r="K512" s="393">
        <f t="shared" si="44"/>
        <v>1</v>
      </c>
      <c r="L512" s="393">
        <f t="shared" si="44"/>
        <v>0</v>
      </c>
      <c r="M512" s="393">
        <f t="shared" si="44"/>
        <v>3</v>
      </c>
      <c r="N512" s="350"/>
    </row>
    <row r="513" spans="1:14" x14ac:dyDescent="0.2">
      <c r="A513" s="348">
        <f>IF(ADSI!$G$12="",ADSI!$H$16,ADSI!$H$12)</f>
        <v>6</v>
      </c>
      <c r="B513" s="348" t="str">
        <f ca="1">IF(ADSI!$G$12="",ADSI!$H$16,ADSI!$H$14)</f>
        <v/>
      </c>
      <c r="C513" s="390">
        <f t="shared" si="31"/>
        <v>312</v>
      </c>
      <c r="D513" s="348">
        <f>ADSI!$K$12</f>
        <v>2021</v>
      </c>
      <c r="E513" s="363">
        <f t="shared" si="32"/>
        <v>0</v>
      </c>
      <c r="F513" s="393">
        <f t="shared" ref="F513:M513" si="45">F20</f>
        <v>0</v>
      </c>
      <c r="G513" s="393">
        <f t="shared" si="45"/>
        <v>0</v>
      </c>
      <c r="H513" s="393">
        <f t="shared" si="45"/>
        <v>0</v>
      </c>
      <c r="I513" s="393">
        <f t="shared" si="45"/>
        <v>0</v>
      </c>
      <c r="J513" s="393">
        <f t="shared" si="45"/>
        <v>0</v>
      </c>
      <c r="K513" s="393">
        <f t="shared" si="45"/>
        <v>0</v>
      </c>
      <c r="L513" s="393">
        <f t="shared" si="45"/>
        <v>0</v>
      </c>
      <c r="M513" s="393">
        <f t="shared" si="45"/>
        <v>0</v>
      </c>
      <c r="N513" s="350"/>
    </row>
    <row r="514" spans="1:14" x14ac:dyDescent="0.2">
      <c r="A514" s="348">
        <f>IF(ADSI!$G$12="",ADSI!$H$16,ADSI!$H$12)</f>
        <v>6</v>
      </c>
      <c r="B514" s="348" t="str">
        <f ca="1">IF(ADSI!$G$12="",ADSI!$H$16,ADSI!$H$14)</f>
        <v/>
      </c>
      <c r="C514" s="390">
        <f t="shared" si="31"/>
        <v>313</v>
      </c>
      <c r="D514" s="348">
        <f>ADSI!$K$12</f>
        <v>2021</v>
      </c>
      <c r="E514" s="363">
        <f t="shared" si="32"/>
        <v>0</v>
      </c>
      <c r="F514" s="393">
        <f t="shared" ref="F514:M514" si="46">F21</f>
        <v>0</v>
      </c>
      <c r="G514" s="393">
        <f t="shared" si="46"/>
        <v>0</v>
      </c>
      <c r="H514" s="393">
        <f t="shared" si="46"/>
        <v>0</v>
      </c>
      <c r="I514" s="393">
        <f t="shared" si="46"/>
        <v>0</v>
      </c>
      <c r="J514" s="393">
        <f t="shared" si="46"/>
        <v>0</v>
      </c>
      <c r="K514" s="393">
        <f t="shared" si="46"/>
        <v>0</v>
      </c>
      <c r="L514" s="393">
        <f t="shared" si="46"/>
        <v>0</v>
      </c>
      <c r="M514" s="393">
        <f t="shared" si="46"/>
        <v>0</v>
      </c>
      <c r="N514" s="350"/>
    </row>
    <row r="515" spans="1:14" x14ac:dyDescent="0.2">
      <c r="A515" s="348">
        <f>IF(ADSI!$G$12="",ADSI!$H$16,ADSI!$H$12)</f>
        <v>6</v>
      </c>
      <c r="B515" s="348" t="str">
        <f ca="1">IF(ADSI!$G$12="",ADSI!$H$16,ADSI!$H$14)</f>
        <v/>
      </c>
      <c r="C515" s="390">
        <f t="shared" si="31"/>
        <v>314</v>
      </c>
      <c r="D515" s="348">
        <f>ADSI!$K$12</f>
        <v>2021</v>
      </c>
      <c r="E515" s="363">
        <f t="shared" si="32"/>
        <v>0</v>
      </c>
      <c r="F515" s="393">
        <f t="shared" ref="F515:M515" si="47">F22</f>
        <v>0</v>
      </c>
      <c r="G515" s="393">
        <f t="shared" si="47"/>
        <v>0</v>
      </c>
      <c r="H515" s="393">
        <f t="shared" si="47"/>
        <v>0</v>
      </c>
      <c r="I515" s="393">
        <f t="shared" si="47"/>
        <v>0</v>
      </c>
      <c r="J515" s="393">
        <f t="shared" si="47"/>
        <v>0</v>
      </c>
      <c r="K515" s="393">
        <f t="shared" si="47"/>
        <v>0</v>
      </c>
      <c r="L515" s="393">
        <f t="shared" si="47"/>
        <v>0</v>
      </c>
      <c r="M515" s="393">
        <f t="shared" si="47"/>
        <v>0</v>
      </c>
      <c r="N515" s="350"/>
    </row>
    <row r="516" spans="1:14" x14ac:dyDescent="0.2">
      <c r="A516" s="348">
        <f>IF(ADSI!$G$12="",ADSI!$H$16,ADSI!$H$12)</f>
        <v>6</v>
      </c>
      <c r="B516" s="348" t="str">
        <f ca="1">IF(ADSI!$G$12="",ADSI!$H$16,ADSI!$H$14)</f>
        <v/>
      </c>
      <c r="C516" s="390">
        <f t="shared" si="31"/>
        <v>315</v>
      </c>
      <c r="D516" s="348">
        <f>ADSI!$K$12</f>
        <v>2021</v>
      </c>
      <c r="E516" s="363">
        <f t="shared" si="32"/>
        <v>2</v>
      </c>
      <c r="F516" s="393">
        <f t="shared" ref="F516:M516" si="48">F23</f>
        <v>0</v>
      </c>
      <c r="G516" s="393">
        <f t="shared" si="48"/>
        <v>0</v>
      </c>
      <c r="H516" s="393">
        <f t="shared" si="48"/>
        <v>0</v>
      </c>
      <c r="I516" s="393">
        <f t="shared" si="48"/>
        <v>0</v>
      </c>
      <c r="J516" s="393">
        <f t="shared" si="48"/>
        <v>1</v>
      </c>
      <c r="K516" s="393">
        <f t="shared" si="48"/>
        <v>1</v>
      </c>
      <c r="L516" s="393">
        <f t="shared" si="48"/>
        <v>0</v>
      </c>
      <c r="M516" s="393">
        <f t="shared" si="48"/>
        <v>2</v>
      </c>
      <c r="N516" s="350"/>
    </row>
    <row r="517" spans="1:14" x14ac:dyDescent="0.2">
      <c r="A517" s="348">
        <f>IF(ADSI!$G$12="",ADSI!$H$16,ADSI!$H$12)</f>
        <v>6</v>
      </c>
      <c r="B517" s="348" t="str">
        <f ca="1">IF(ADSI!$G$12="",ADSI!$H$16,ADSI!$H$14)</f>
        <v/>
      </c>
      <c r="C517" s="390">
        <f t="shared" si="31"/>
        <v>316</v>
      </c>
      <c r="D517" s="348">
        <f>ADSI!$K$12</f>
        <v>2021</v>
      </c>
      <c r="E517" s="363">
        <f t="shared" si="32"/>
        <v>0</v>
      </c>
      <c r="F517" s="393">
        <f t="shared" ref="F517:M517" si="49">F24</f>
        <v>0</v>
      </c>
      <c r="G517" s="393">
        <f t="shared" si="49"/>
        <v>0</v>
      </c>
      <c r="H517" s="393">
        <f t="shared" si="49"/>
        <v>0</v>
      </c>
      <c r="I517" s="393">
        <f t="shared" si="49"/>
        <v>0</v>
      </c>
      <c r="J517" s="393">
        <f t="shared" si="49"/>
        <v>0</v>
      </c>
      <c r="K517" s="393">
        <f t="shared" si="49"/>
        <v>0</v>
      </c>
      <c r="L517" s="393">
        <f t="shared" si="49"/>
        <v>0</v>
      </c>
      <c r="M517" s="393">
        <f t="shared" si="49"/>
        <v>0</v>
      </c>
      <c r="N517" s="350"/>
    </row>
    <row r="518" spans="1:14" x14ac:dyDescent="0.2">
      <c r="A518" s="348">
        <f>IF(ADSI!$G$12="",ADSI!$H$16,ADSI!$H$12)</f>
        <v>6</v>
      </c>
      <c r="B518" s="348" t="str">
        <f ca="1">IF(ADSI!$G$12="",ADSI!$H$16,ADSI!$H$14)</f>
        <v/>
      </c>
      <c r="C518" s="390">
        <f t="shared" si="31"/>
        <v>317</v>
      </c>
      <c r="D518" s="348">
        <f>ADSI!$K$12</f>
        <v>2021</v>
      </c>
      <c r="E518" s="363">
        <f t="shared" si="32"/>
        <v>0</v>
      </c>
      <c r="F518" s="393">
        <f t="shared" ref="F518:M518" si="50">F25</f>
        <v>0</v>
      </c>
      <c r="G518" s="393">
        <f t="shared" si="50"/>
        <v>0</v>
      </c>
      <c r="H518" s="393">
        <f t="shared" si="50"/>
        <v>0</v>
      </c>
      <c r="I518" s="393">
        <f t="shared" si="50"/>
        <v>0</v>
      </c>
      <c r="J518" s="393">
        <f t="shared" si="50"/>
        <v>0</v>
      </c>
      <c r="K518" s="393">
        <f t="shared" si="50"/>
        <v>0</v>
      </c>
      <c r="L518" s="393">
        <f t="shared" si="50"/>
        <v>0</v>
      </c>
      <c r="M518" s="393">
        <f t="shared" si="50"/>
        <v>0</v>
      </c>
      <c r="N518" s="350"/>
    </row>
    <row r="519" spans="1:14" x14ac:dyDescent="0.2">
      <c r="A519" s="348">
        <f>IF(ADSI!$G$12="",ADSI!$H$16,ADSI!$H$12)</f>
        <v>6</v>
      </c>
      <c r="B519" s="348" t="str">
        <f ca="1">IF(ADSI!$G$12="",ADSI!$H$16,ADSI!$H$14)</f>
        <v/>
      </c>
      <c r="C519" s="390">
        <f t="shared" si="31"/>
        <v>318</v>
      </c>
      <c r="D519" s="348">
        <f>ADSI!$K$12</f>
        <v>2021</v>
      </c>
      <c r="E519" s="363">
        <f t="shared" si="32"/>
        <v>2</v>
      </c>
      <c r="F519" s="393">
        <f t="shared" ref="F519:M519" si="51">F26</f>
        <v>0</v>
      </c>
      <c r="G519" s="393">
        <f t="shared" si="51"/>
        <v>0</v>
      </c>
      <c r="H519" s="393">
        <f t="shared" si="51"/>
        <v>0</v>
      </c>
      <c r="I519" s="393">
        <f t="shared" si="51"/>
        <v>0</v>
      </c>
      <c r="J519" s="393">
        <f t="shared" si="51"/>
        <v>1</v>
      </c>
      <c r="K519" s="393">
        <f t="shared" si="51"/>
        <v>1</v>
      </c>
      <c r="L519" s="393">
        <f t="shared" si="51"/>
        <v>0</v>
      </c>
      <c r="M519" s="393">
        <f t="shared" si="51"/>
        <v>2</v>
      </c>
      <c r="N519" s="350"/>
    </row>
    <row r="520" spans="1:14" x14ac:dyDescent="0.2">
      <c r="A520" s="348">
        <f>IF(ADSI!$G$12="",ADSI!$H$16,ADSI!$H$12)</f>
        <v>6</v>
      </c>
      <c r="B520" s="348" t="str">
        <f ca="1">IF(ADSI!$G$12="",ADSI!$H$16,ADSI!$H$14)</f>
        <v/>
      </c>
      <c r="C520" s="390">
        <f t="shared" si="31"/>
        <v>319</v>
      </c>
      <c r="D520" s="348">
        <f>ADSI!$K$12</f>
        <v>2021</v>
      </c>
      <c r="E520" s="363">
        <f t="shared" si="32"/>
        <v>2</v>
      </c>
      <c r="F520" s="393">
        <f t="shared" ref="F520:M520" si="52">F27</f>
        <v>0</v>
      </c>
      <c r="G520" s="393">
        <f t="shared" si="52"/>
        <v>0</v>
      </c>
      <c r="H520" s="393">
        <f t="shared" si="52"/>
        <v>0</v>
      </c>
      <c r="I520" s="393">
        <f t="shared" si="52"/>
        <v>0</v>
      </c>
      <c r="J520" s="393">
        <f t="shared" si="52"/>
        <v>1</v>
      </c>
      <c r="K520" s="393">
        <f t="shared" si="52"/>
        <v>1</v>
      </c>
      <c r="L520" s="393">
        <f t="shared" si="52"/>
        <v>0</v>
      </c>
      <c r="M520" s="393">
        <f t="shared" si="52"/>
        <v>2</v>
      </c>
      <c r="N520" s="350"/>
    </row>
    <row r="521" spans="1:14" x14ac:dyDescent="0.2">
      <c r="A521" s="348">
        <f>IF(ADSI!$G$12="",ADSI!$H$16,ADSI!$H$12)</f>
        <v>6</v>
      </c>
      <c r="B521" s="348" t="str">
        <f ca="1">IF(ADSI!$G$12="",ADSI!$H$16,ADSI!$H$14)</f>
        <v/>
      </c>
      <c r="C521" s="390">
        <f t="shared" si="31"/>
        <v>335</v>
      </c>
      <c r="D521" s="348">
        <f>ADSI!$K$12</f>
        <v>2021</v>
      </c>
      <c r="E521" s="363">
        <f t="shared" si="32"/>
        <v>31</v>
      </c>
      <c r="F521" s="393">
        <f t="shared" ref="F521:M521" si="53">F28</f>
        <v>0</v>
      </c>
      <c r="G521" s="393">
        <f t="shared" si="53"/>
        <v>0</v>
      </c>
      <c r="H521" s="393">
        <f t="shared" si="53"/>
        <v>0</v>
      </c>
      <c r="I521" s="393">
        <f t="shared" si="53"/>
        <v>0</v>
      </c>
      <c r="J521" s="393">
        <f t="shared" si="53"/>
        <v>24</v>
      </c>
      <c r="K521" s="393">
        <f t="shared" si="53"/>
        <v>7</v>
      </c>
      <c r="L521" s="393">
        <f t="shared" si="53"/>
        <v>0</v>
      </c>
      <c r="M521" s="393">
        <f t="shared" si="53"/>
        <v>31</v>
      </c>
      <c r="N521" s="350"/>
    </row>
    <row r="522" spans="1:14" x14ac:dyDescent="0.2">
      <c r="A522" s="348"/>
      <c r="B522" s="348"/>
      <c r="C522" s="390"/>
      <c r="D522" s="348"/>
      <c r="E522" s="363"/>
      <c r="F522" s="393"/>
      <c r="G522" s="393"/>
      <c r="H522" s="393"/>
      <c r="I522" s="393"/>
      <c r="J522" s="393"/>
      <c r="K522" s="393"/>
      <c r="L522" s="393"/>
      <c r="M522" s="393"/>
    </row>
  </sheetData>
  <sheetProtection password="C614" sheet="1" objects="1" scenarios="1" selectLockedCells="1"/>
  <mergeCells count="13">
    <mergeCell ref="BE204:BH204"/>
    <mergeCell ref="BI204:BL204"/>
    <mergeCell ref="A5:A6"/>
    <mergeCell ref="E5:E6"/>
    <mergeCell ref="BA204:BA205"/>
    <mergeCell ref="BB204:BB205"/>
    <mergeCell ref="BC204:BC205"/>
    <mergeCell ref="B5:B6"/>
    <mergeCell ref="C5:C6"/>
    <mergeCell ref="D5:D6"/>
    <mergeCell ref="F5:I5"/>
    <mergeCell ref="J5:M5"/>
    <mergeCell ref="BD204:BD206"/>
  </mergeCells>
  <conditionalFormatting sqref="E8:E27">
    <cfRule type="cellIs" dxfId="124" priority="3" operator="equal">
      <formula>FALSE</formula>
    </cfRule>
  </conditionalFormatting>
  <conditionalFormatting sqref="E28">
    <cfRule type="cellIs" dxfId="123" priority="2" operator="equal">
      <formula>FALSE</formula>
    </cfRule>
  </conditionalFormatting>
  <dataValidations count="2">
    <dataValidation type="whole" allowBlank="1" showInputMessage="1" showErrorMessage="1" sqref="D12 D20 D17 D8 D28">
      <formula1>0</formula1>
      <formula2>999999</formula2>
    </dataValidation>
    <dataValidation type="whole" allowBlank="1" showInputMessage="1" showErrorMessage="1" sqref="F21:H27 J21:L27 F18:H19 J18:L19 F13:H16 J9:L11 J13:L16 D13:D16 D18:D19 D21:D27 D9:D11 F9:H11">
      <formula1>0</formula1>
      <formula2>999999999</formula2>
    </dataValidation>
  </dataValidations>
  <pageMargins left="1.1811023622047245" right="0.51181102362204722" top="0.98425196850393704" bottom="0.74803149606299213" header="0.31496062992125984" footer="0.19685039370078741"/>
  <pageSetup paperSize="5" orientation="landscape" r:id="rId1"/>
  <headerFooter>
    <oddFooter>&amp;L&amp;9ADSI - &amp;A&amp;C&amp;9&amp;D &amp;T&amp;R&amp;9Page &amp;P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CJ547"/>
  <sheetViews>
    <sheetView showGridLines="0" workbookViewId="0">
      <pane xSplit="3" ySplit="8" topLeftCell="D9" activePane="bottomRight" state="frozen"/>
      <selection activeCell="D9" sqref="D9"/>
      <selection pane="topRight" activeCell="D9" sqref="D9"/>
      <selection pane="bottomLeft" activeCell="D9" sqref="D9"/>
      <selection pane="bottomRight" activeCell="D10" sqref="D10"/>
    </sheetView>
  </sheetViews>
  <sheetFormatPr defaultRowHeight="15" x14ac:dyDescent="0.25"/>
  <cols>
    <col min="1" max="2" width="6.7109375" style="1" customWidth="1"/>
    <col min="3" max="3" width="58.140625" style="1" bestFit="1" customWidth="1"/>
    <col min="4" max="9" width="12.7109375" style="1" customWidth="1"/>
    <col min="10" max="12" width="15.7109375" style="1" customWidth="1"/>
    <col min="13" max="18" width="12.7109375" style="1" customWidth="1"/>
    <col min="19" max="21" width="15.7109375" style="1" customWidth="1"/>
    <col min="22" max="28" width="12.7109375" style="1" customWidth="1"/>
    <col min="29" max="33" width="15.7109375" style="1" customWidth="1"/>
    <col min="34" max="34" width="8.7109375" style="1" customWidth="1"/>
    <col min="35" max="52" width="9.140625" style="1"/>
    <col min="53" max="53" width="4.28515625" style="1" customWidth="1"/>
    <col min="54" max="54" width="30.28515625" style="1" customWidth="1"/>
    <col min="55" max="55" width="6.42578125" style="1" customWidth="1"/>
    <col min="56" max="56" width="9.140625" style="1"/>
    <col min="57" max="57" width="8.7109375" style="1" customWidth="1"/>
    <col min="58" max="58" width="8.5703125" style="1" customWidth="1"/>
    <col min="59" max="59" width="9.140625" style="1"/>
    <col min="60" max="60" width="7.7109375" style="1" customWidth="1"/>
    <col min="61" max="61" width="9.140625" style="1"/>
    <col min="62" max="63" width="8.28515625" style="1" customWidth="1"/>
    <col min="64" max="64" width="7" style="1" customWidth="1"/>
    <col min="65" max="68" width="9.140625" style="1"/>
    <col min="69" max="69" width="7.7109375" style="1" customWidth="1"/>
    <col min="70" max="70" width="8.5703125" style="1" customWidth="1"/>
    <col min="71" max="71" width="9.140625" style="1"/>
    <col min="72" max="72" width="8" style="1" customWidth="1"/>
    <col min="73" max="80" width="9.140625" style="1"/>
    <col min="81" max="81" width="8.140625" style="1" customWidth="1"/>
    <col min="82" max="83" width="9.140625" style="1"/>
    <col min="84" max="84" width="7.85546875" style="1" customWidth="1"/>
    <col min="85" max="16384" width="9.140625" style="1"/>
  </cols>
  <sheetData>
    <row r="1" spans="1:34" ht="15.75" x14ac:dyDescent="0.25">
      <c r="A1" s="285" t="str">
        <f>ADSI!$B$1</f>
        <v>Goa, , ADSI-2021</v>
      </c>
    </row>
    <row r="2" spans="1:34" ht="15.75" x14ac:dyDescent="0.25">
      <c r="A2" s="286" t="s">
        <v>657</v>
      </c>
      <c r="C2" s="291">
        <f>COUNTIF(L9:L29,FALSE)+COUNTIF(U9:U29,FALSE)+COUNTIF(AD9:AD29,FALSE)+COUNTIF(AG9:AG29,FALSE)</f>
        <v>0</v>
      </c>
    </row>
    <row r="3" spans="1:34" ht="15.75" x14ac:dyDescent="0.25">
      <c r="A3" s="289" t="s">
        <v>10</v>
      </c>
      <c r="C3" s="49"/>
      <c r="D3" s="49"/>
      <c r="E3" s="49"/>
      <c r="F3" s="49"/>
      <c r="G3" s="49"/>
      <c r="H3" s="49"/>
      <c r="I3" s="49"/>
      <c r="J3" s="49"/>
      <c r="K3" s="35"/>
      <c r="N3" s="49"/>
      <c r="O3" s="49"/>
      <c r="P3" s="49"/>
      <c r="Q3" s="49"/>
      <c r="R3" s="49"/>
      <c r="S3" s="49"/>
      <c r="T3" s="71"/>
      <c r="U3" s="71"/>
      <c r="V3" s="49"/>
      <c r="W3" s="49"/>
      <c r="X3" s="49"/>
      <c r="Y3" s="49"/>
      <c r="Z3" s="49"/>
      <c r="AA3" s="49"/>
      <c r="AB3" s="49"/>
      <c r="AC3" s="71"/>
      <c r="AD3" s="71"/>
      <c r="AE3" s="49"/>
    </row>
    <row r="4" spans="1:34" ht="15.75" x14ac:dyDescent="0.25">
      <c r="A4" s="289" t="s">
        <v>1529</v>
      </c>
      <c r="C4" s="49"/>
      <c r="D4" s="49"/>
      <c r="E4" s="49"/>
      <c r="F4" s="49"/>
      <c r="G4" s="49"/>
      <c r="H4" s="49"/>
      <c r="I4" s="49"/>
      <c r="J4" s="49"/>
      <c r="N4" s="49"/>
      <c r="O4" s="49"/>
      <c r="P4" s="49"/>
      <c r="Q4" s="49"/>
      <c r="R4" s="49"/>
      <c r="S4" s="49"/>
      <c r="T4" s="71"/>
      <c r="U4" s="71"/>
      <c r="V4" s="49"/>
      <c r="W4" s="49"/>
      <c r="X4" s="49"/>
      <c r="Y4" s="49"/>
      <c r="Z4" s="49"/>
      <c r="AA4" s="49"/>
      <c r="AB4" s="49"/>
      <c r="AC4" s="71"/>
      <c r="AD4" s="71"/>
      <c r="AE4" s="49"/>
    </row>
    <row r="5" spans="1:34" customFormat="1" ht="20.100000000000001" customHeight="1" x14ac:dyDescent="0.25">
      <c r="A5" s="608" t="s">
        <v>249</v>
      </c>
      <c r="B5" s="636" t="s">
        <v>0</v>
      </c>
      <c r="C5" s="634" t="s">
        <v>34</v>
      </c>
      <c r="D5" s="641" t="s">
        <v>13</v>
      </c>
      <c r="E5" s="642"/>
      <c r="F5" s="642"/>
      <c r="G5" s="642"/>
      <c r="H5" s="642"/>
      <c r="I5" s="642"/>
      <c r="J5" s="642"/>
      <c r="K5" s="642"/>
      <c r="L5" s="642"/>
      <c r="M5" s="642"/>
      <c r="N5" s="642"/>
      <c r="O5" s="642"/>
      <c r="P5" s="642"/>
      <c r="Q5" s="642"/>
      <c r="R5" s="642"/>
      <c r="S5" s="642"/>
      <c r="T5" s="642"/>
      <c r="U5" s="642"/>
      <c r="V5" s="642"/>
      <c r="W5" s="642"/>
      <c r="X5" s="642"/>
      <c r="Y5" s="642"/>
      <c r="Z5" s="642"/>
      <c r="AA5" s="642"/>
      <c r="AB5" s="642"/>
      <c r="AC5" s="642"/>
      <c r="AD5" s="643"/>
      <c r="AE5" s="634" t="s">
        <v>607</v>
      </c>
      <c r="AF5" s="630" t="s">
        <v>608</v>
      </c>
      <c r="AG5" s="616" t="s">
        <v>609</v>
      </c>
    </row>
    <row r="6" spans="1:34" customFormat="1" ht="20.100000000000001" customHeight="1" x14ac:dyDescent="0.25">
      <c r="A6" s="629"/>
      <c r="B6" s="644"/>
      <c r="C6" s="645"/>
      <c r="D6" s="641" t="s">
        <v>172</v>
      </c>
      <c r="E6" s="642"/>
      <c r="F6" s="642"/>
      <c r="G6" s="642"/>
      <c r="H6" s="642"/>
      <c r="I6" s="642"/>
      <c r="J6" s="642"/>
      <c r="K6" s="642"/>
      <c r="L6" s="643"/>
      <c r="M6" s="638" t="s">
        <v>173</v>
      </c>
      <c r="N6" s="639"/>
      <c r="O6" s="639"/>
      <c r="P6" s="639"/>
      <c r="Q6" s="639"/>
      <c r="R6" s="639"/>
      <c r="S6" s="639"/>
      <c r="T6" s="639"/>
      <c r="U6" s="640"/>
      <c r="V6" s="646" t="s">
        <v>240</v>
      </c>
      <c r="W6" s="646"/>
      <c r="X6" s="646"/>
      <c r="Y6" s="646"/>
      <c r="Z6" s="646"/>
      <c r="AA6" s="646"/>
      <c r="AB6" s="646"/>
      <c r="AC6" s="646"/>
      <c r="AD6" s="646"/>
      <c r="AE6" s="645"/>
      <c r="AF6" s="630"/>
      <c r="AG6" s="617"/>
    </row>
    <row r="7" spans="1:34" customFormat="1" ht="90" x14ac:dyDescent="0.25">
      <c r="A7" s="609"/>
      <c r="B7" s="637"/>
      <c r="C7" s="635"/>
      <c r="D7" s="44" t="s">
        <v>169</v>
      </c>
      <c r="E7" s="44" t="s">
        <v>31</v>
      </c>
      <c r="F7" s="44" t="s">
        <v>14</v>
      </c>
      <c r="G7" s="44" t="s">
        <v>15</v>
      </c>
      <c r="H7" s="44" t="s">
        <v>178</v>
      </c>
      <c r="I7" s="44" t="s">
        <v>16</v>
      </c>
      <c r="J7" s="44" t="s">
        <v>244</v>
      </c>
      <c r="K7" s="125" t="s">
        <v>601</v>
      </c>
      <c r="L7" s="316" t="s">
        <v>602</v>
      </c>
      <c r="M7" s="223" t="s">
        <v>169</v>
      </c>
      <c r="N7" s="223" t="s">
        <v>31</v>
      </c>
      <c r="O7" s="223" t="s">
        <v>14</v>
      </c>
      <c r="P7" s="223" t="s">
        <v>15</v>
      </c>
      <c r="Q7" s="223" t="s">
        <v>178</v>
      </c>
      <c r="R7" s="223" t="s">
        <v>16</v>
      </c>
      <c r="S7" s="223" t="s">
        <v>199</v>
      </c>
      <c r="T7" s="125" t="s">
        <v>603</v>
      </c>
      <c r="U7" s="316" t="s">
        <v>604</v>
      </c>
      <c r="V7" s="127" t="s">
        <v>169</v>
      </c>
      <c r="W7" s="127" t="s">
        <v>31</v>
      </c>
      <c r="X7" s="127" t="s">
        <v>14</v>
      </c>
      <c r="Y7" s="127" t="s">
        <v>15</v>
      </c>
      <c r="Z7" s="127" t="s">
        <v>178</v>
      </c>
      <c r="AA7" s="127" t="s">
        <v>16</v>
      </c>
      <c r="AB7" s="127" t="s">
        <v>243</v>
      </c>
      <c r="AC7" s="128" t="s">
        <v>605</v>
      </c>
      <c r="AD7" s="313" t="s">
        <v>606</v>
      </c>
      <c r="AE7" s="635"/>
      <c r="AF7" s="630"/>
      <c r="AG7" s="631"/>
    </row>
    <row r="8" spans="1:34" customFormat="1" ht="20.100000000000001" customHeight="1" x14ac:dyDescent="0.25">
      <c r="A8" s="9"/>
      <c r="B8" s="9" t="s">
        <v>181</v>
      </c>
      <c r="C8" s="218" t="s">
        <v>182</v>
      </c>
      <c r="D8" s="8" t="s">
        <v>183</v>
      </c>
      <c r="E8" s="9" t="s">
        <v>184</v>
      </c>
      <c r="F8" s="9" t="s">
        <v>185</v>
      </c>
      <c r="G8" s="9" t="s">
        <v>186</v>
      </c>
      <c r="H8" s="8" t="s">
        <v>187</v>
      </c>
      <c r="I8" s="8" t="s">
        <v>188</v>
      </c>
      <c r="J8" s="8" t="s">
        <v>189</v>
      </c>
      <c r="K8" s="259"/>
      <c r="L8" s="319"/>
      <c r="M8" s="219" t="s">
        <v>190</v>
      </c>
      <c r="N8" s="219" t="s">
        <v>191</v>
      </c>
      <c r="O8" s="219" t="s">
        <v>192</v>
      </c>
      <c r="P8" s="219" t="s">
        <v>193</v>
      </c>
      <c r="Q8" s="219" t="s">
        <v>194</v>
      </c>
      <c r="R8" s="219" t="s">
        <v>195</v>
      </c>
      <c r="S8" s="219" t="s">
        <v>196</v>
      </c>
      <c r="T8" s="259"/>
      <c r="U8" s="319"/>
      <c r="V8" s="8" t="s">
        <v>197</v>
      </c>
      <c r="W8" s="8" t="s">
        <v>204</v>
      </c>
      <c r="X8" s="8" t="s">
        <v>205</v>
      </c>
      <c r="Y8" s="8" t="s">
        <v>206</v>
      </c>
      <c r="Z8" s="8" t="s">
        <v>207</v>
      </c>
      <c r="AA8" s="8" t="s">
        <v>208</v>
      </c>
      <c r="AB8" s="8" t="s">
        <v>209</v>
      </c>
      <c r="AC8" s="260"/>
      <c r="AD8" s="320"/>
      <c r="AE8" s="219" t="s">
        <v>210</v>
      </c>
      <c r="AF8" s="260"/>
      <c r="AG8" s="320"/>
    </row>
    <row r="9" spans="1:34" ht="20.100000000000001" customHeight="1" x14ac:dyDescent="0.25">
      <c r="A9" s="54">
        <v>350</v>
      </c>
      <c r="B9" s="248">
        <v>1</v>
      </c>
      <c r="C9" s="526" t="s">
        <v>1648</v>
      </c>
      <c r="D9" s="442">
        <f>SUM(D10:D12)</f>
        <v>1</v>
      </c>
      <c r="E9" s="442">
        <f t="shared" ref="E9:I9" si="0">SUM(E10:E12)</f>
        <v>0</v>
      </c>
      <c r="F9" s="442">
        <f t="shared" si="0"/>
        <v>1</v>
      </c>
      <c r="G9" s="442">
        <f t="shared" si="0"/>
        <v>5</v>
      </c>
      <c r="H9" s="442">
        <f t="shared" si="0"/>
        <v>5</v>
      </c>
      <c r="I9" s="442">
        <f t="shared" si="0"/>
        <v>5</v>
      </c>
      <c r="J9" s="443">
        <f>SUM(D9:I9)</f>
        <v>17</v>
      </c>
      <c r="K9" s="126">
        <f>'P-IV'!J8</f>
        <v>17</v>
      </c>
      <c r="L9" s="444" t="str">
        <f>IF(J9='P-IV'!J8,"",FALSE)</f>
        <v/>
      </c>
      <c r="M9" s="442">
        <f>SUM(M10:M12)</f>
        <v>0</v>
      </c>
      <c r="N9" s="442">
        <f t="shared" ref="N9" si="1">SUM(N10:N12)</f>
        <v>0</v>
      </c>
      <c r="O9" s="442">
        <f t="shared" ref="O9" si="2">SUM(O10:O12)</f>
        <v>1</v>
      </c>
      <c r="P9" s="442">
        <f t="shared" ref="P9" si="3">SUM(P10:P12)</f>
        <v>0</v>
      </c>
      <c r="Q9" s="442">
        <f t="shared" ref="Q9" si="4">SUM(Q10:Q12)</f>
        <v>0</v>
      </c>
      <c r="R9" s="442">
        <f t="shared" ref="R9:AA9" si="5">SUM(R10:R12)</f>
        <v>1</v>
      </c>
      <c r="S9" s="443">
        <f>SUM(M9:R9)</f>
        <v>2</v>
      </c>
      <c r="T9" s="126">
        <f>'P-IV'!K8</f>
        <v>2</v>
      </c>
      <c r="U9" s="444" t="str">
        <f>IF(S9='P-IV'!K8,"",FALSE)</f>
        <v/>
      </c>
      <c r="V9" s="442">
        <f t="shared" si="5"/>
        <v>0</v>
      </c>
      <c r="W9" s="442">
        <f t="shared" si="5"/>
        <v>0</v>
      </c>
      <c r="X9" s="442">
        <f t="shared" si="5"/>
        <v>0</v>
      </c>
      <c r="Y9" s="442">
        <f t="shared" si="5"/>
        <v>0</v>
      </c>
      <c r="Z9" s="442">
        <f t="shared" si="5"/>
        <v>0</v>
      </c>
      <c r="AA9" s="442">
        <f t="shared" si="5"/>
        <v>0</v>
      </c>
      <c r="AB9" s="443">
        <f>SUM(V9:AA9)</f>
        <v>0</v>
      </c>
      <c r="AC9" s="126">
        <f>'P-IV'!L8</f>
        <v>0</v>
      </c>
      <c r="AD9" s="444" t="str">
        <f>IF(AB9='P-IV'!L8,"",FALSE)</f>
        <v/>
      </c>
      <c r="AE9" s="443">
        <f>SUM(J9+S9+AB9)</f>
        <v>19</v>
      </c>
      <c r="AF9" s="126">
        <f>'P-IV'!M8</f>
        <v>19</v>
      </c>
      <c r="AG9" s="444" t="str">
        <f>IF(AE9='P-IV'!M8,"",FALSE)</f>
        <v/>
      </c>
      <c r="AH9" s="340"/>
    </row>
    <row r="10" spans="1:34" ht="20.100000000000001" customHeight="1" x14ac:dyDescent="0.25">
      <c r="A10" s="48">
        <v>351</v>
      </c>
      <c r="B10" s="118"/>
      <c r="C10" s="181" t="s">
        <v>1472</v>
      </c>
      <c r="D10" s="235">
        <v>0</v>
      </c>
      <c r="E10" s="235">
        <v>0</v>
      </c>
      <c r="F10" s="235">
        <v>0</v>
      </c>
      <c r="G10" s="235">
        <v>0</v>
      </c>
      <c r="H10" s="235">
        <v>0</v>
      </c>
      <c r="I10" s="235">
        <v>0</v>
      </c>
      <c r="J10" s="415">
        <f t="shared" ref="J10:J28" si="6">SUM(D10:I10)</f>
        <v>0</v>
      </c>
      <c r="K10" s="391">
        <f>'P-IV'!J9</f>
        <v>0</v>
      </c>
      <c r="L10" s="466" t="str">
        <f>IF(J10='P-IV'!J9,"",FALSE)</f>
        <v/>
      </c>
      <c r="M10" s="235">
        <v>0</v>
      </c>
      <c r="N10" s="235">
        <v>0</v>
      </c>
      <c r="O10" s="235">
        <v>0</v>
      </c>
      <c r="P10" s="235">
        <v>0</v>
      </c>
      <c r="Q10" s="235">
        <v>0</v>
      </c>
      <c r="R10" s="235">
        <v>0</v>
      </c>
      <c r="S10" s="415">
        <f t="shared" ref="S10:S28" si="7">SUM(M10:R10)</f>
        <v>0</v>
      </c>
      <c r="T10" s="391">
        <f>'P-IV'!K9</f>
        <v>0</v>
      </c>
      <c r="U10" s="466" t="str">
        <f>IF(S10='P-IV'!K9,"",FALSE)</f>
        <v/>
      </c>
      <c r="V10" s="253">
        <v>0</v>
      </c>
      <c r="W10" s="253">
        <v>0</v>
      </c>
      <c r="X10" s="253">
        <v>0</v>
      </c>
      <c r="Y10" s="253">
        <v>0</v>
      </c>
      <c r="Z10" s="253">
        <v>0</v>
      </c>
      <c r="AA10" s="253">
        <v>0</v>
      </c>
      <c r="AB10" s="415">
        <f t="shared" ref="AB10:AB28" si="8">SUM(V10:AA10)</f>
        <v>0</v>
      </c>
      <c r="AC10" s="391">
        <f>'P-IV'!L9</f>
        <v>0</v>
      </c>
      <c r="AD10" s="466" t="str">
        <f>IF(AB10='P-IV'!L9,"",FALSE)</f>
        <v/>
      </c>
      <c r="AE10" s="415">
        <f t="shared" ref="AE10:AE28" si="9">SUM(J10+S10+AB10)</f>
        <v>0</v>
      </c>
      <c r="AF10" s="391">
        <f>'P-IV'!M9</f>
        <v>0</v>
      </c>
      <c r="AG10" s="466" t="str">
        <f>IF(AE10='P-IV'!M9,"",FALSE)</f>
        <v/>
      </c>
      <c r="AH10" s="335"/>
    </row>
    <row r="11" spans="1:34" ht="20.100000000000001" customHeight="1" x14ac:dyDescent="0.25">
      <c r="A11" s="262">
        <v>352</v>
      </c>
      <c r="B11" s="118"/>
      <c r="C11" s="181" t="s">
        <v>1473</v>
      </c>
      <c r="D11" s="235">
        <v>0</v>
      </c>
      <c r="E11" s="235">
        <v>0</v>
      </c>
      <c r="F11" s="235">
        <v>1</v>
      </c>
      <c r="G11" s="235">
        <v>4</v>
      </c>
      <c r="H11" s="235">
        <v>2</v>
      </c>
      <c r="I11" s="235">
        <v>2</v>
      </c>
      <c r="J11" s="415">
        <f t="shared" si="6"/>
        <v>9</v>
      </c>
      <c r="K11" s="391">
        <f>'P-IV'!J10</f>
        <v>9</v>
      </c>
      <c r="L11" s="466" t="str">
        <f>IF(J11='P-IV'!J10,"",FALSE)</f>
        <v/>
      </c>
      <c r="M11" s="235">
        <v>0</v>
      </c>
      <c r="N11" s="235">
        <v>0</v>
      </c>
      <c r="O11" s="235">
        <v>0</v>
      </c>
      <c r="P11" s="235">
        <v>0</v>
      </c>
      <c r="Q11" s="235">
        <v>0</v>
      </c>
      <c r="R11" s="235">
        <v>1</v>
      </c>
      <c r="S11" s="415">
        <f t="shared" si="7"/>
        <v>1</v>
      </c>
      <c r="T11" s="391">
        <f>'P-IV'!K10</f>
        <v>1</v>
      </c>
      <c r="U11" s="466" t="str">
        <f>IF(S11='P-IV'!K10,"",FALSE)</f>
        <v/>
      </c>
      <c r="V11" s="253">
        <v>0</v>
      </c>
      <c r="W11" s="253">
        <v>0</v>
      </c>
      <c r="X11" s="253">
        <v>0</v>
      </c>
      <c r="Y11" s="253">
        <v>0</v>
      </c>
      <c r="Z11" s="253">
        <v>0</v>
      </c>
      <c r="AA11" s="253">
        <v>0</v>
      </c>
      <c r="AB11" s="415">
        <f t="shared" si="8"/>
        <v>0</v>
      </c>
      <c r="AC11" s="391">
        <f>'P-IV'!L10</f>
        <v>0</v>
      </c>
      <c r="AD11" s="466" t="str">
        <f>IF(AB11='P-IV'!L10,"",FALSE)</f>
        <v/>
      </c>
      <c r="AE11" s="415">
        <f t="shared" si="9"/>
        <v>10</v>
      </c>
      <c r="AF11" s="391">
        <f>'P-IV'!M10</f>
        <v>10</v>
      </c>
      <c r="AG11" s="466" t="str">
        <f>IF(AE11='P-IV'!M10,"",FALSE)</f>
        <v/>
      </c>
      <c r="AH11" s="335"/>
    </row>
    <row r="12" spans="1:34" ht="20.100000000000001" customHeight="1" x14ac:dyDescent="0.25">
      <c r="A12" s="118">
        <v>353</v>
      </c>
      <c r="B12" s="118"/>
      <c r="C12" s="181" t="s">
        <v>1474</v>
      </c>
      <c r="D12" s="235">
        <v>1</v>
      </c>
      <c r="E12" s="235">
        <v>0</v>
      </c>
      <c r="F12" s="235">
        <v>0</v>
      </c>
      <c r="G12" s="235">
        <v>1</v>
      </c>
      <c r="H12" s="235">
        <v>3</v>
      </c>
      <c r="I12" s="235">
        <v>3</v>
      </c>
      <c r="J12" s="415">
        <f t="shared" si="6"/>
        <v>8</v>
      </c>
      <c r="K12" s="391">
        <f>'P-IV'!J11</f>
        <v>8</v>
      </c>
      <c r="L12" s="466" t="str">
        <f>IF(J12='P-IV'!J11,"",FALSE)</f>
        <v/>
      </c>
      <c r="M12" s="235">
        <v>0</v>
      </c>
      <c r="N12" s="235">
        <v>0</v>
      </c>
      <c r="O12" s="235">
        <v>1</v>
      </c>
      <c r="P12" s="235">
        <v>0</v>
      </c>
      <c r="Q12" s="235">
        <v>0</v>
      </c>
      <c r="R12" s="235">
        <v>0</v>
      </c>
      <c r="S12" s="415">
        <f t="shared" si="7"/>
        <v>1</v>
      </c>
      <c r="T12" s="391">
        <f>'P-IV'!K11</f>
        <v>1</v>
      </c>
      <c r="U12" s="466" t="str">
        <f>IF(S12='P-IV'!K11,"",FALSE)</f>
        <v/>
      </c>
      <c r="V12" s="253">
        <v>0</v>
      </c>
      <c r="W12" s="253">
        <v>0</v>
      </c>
      <c r="X12" s="253">
        <v>0</v>
      </c>
      <c r="Y12" s="253">
        <v>0</v>
      </c>
      <c r="Z12" s="253">
        <v>0</v>
      </c>
      <c r="AA12" s="253">
        <v>0</v>
      </c>
      <c r="AB12" s="415">
        <f t="shared" si="8"/>
        <v>0</v>
      </c>
      <c r="AC12" s="391">
        <f>'P-IV'!L11</f>
        <v>0</v>
      </c>
      <c r="AD12" s="466" t="str">
        <f>IF(AB12='P-IV'!L11,"",FALSE)</f>
        <v/>
      </c>
      <c r="AE12" s="415">
        <f t="shared" si="9"/>
        <v>9</v>
      </c>
      <c r="AF12" s="391">
        <f>'P-IV'!M11</f>
        <v>9</v>
      </c>
      <c r="AG12" s="466" t="str">
        <f>IF(AE12='P-IV'!M11,"",FALSE)</f>
        <v/>
      </c>
      <c r="AH12" s="335"/>
    </row>
    <row r="13" spans="1:34" ht="20.100000000000001" customHeight="1" x14ac:dyDescent="0.25">
      <c r="A13" s="262">
        <v>354</v>
      </c>
      <c r="B13" s="118">
        <v>2</v>
      </c>
      <c r="C13" s="434" t="s">
        <v>1475</v>
      </c>
      <c r="D13" s="445">
        <f>SUM(D14:D15)</f>
        <v>0</v>
      </c>
      <c r="E13" s="445">
        <f t="shared" ref="E13:X13" si="10">SUM(E14:E15)</f>
        <v>0</v>
      </c>
      <c r="F13" s="445">
        <f t="shared" si="10"/>
        <v>0</v>
      </c>
      <c r="G13" s="445">
        <f t="shared" si="10"/>
        <v>0</v>
      </c>
      <c r="H13" s="445">
        <f t="shared" si="10"/>
        <v>0</v>
      </c>
      <c r="I13" s="445">
        <f t="shared" si="10"/>
        <v>0</v>
      </c>
      <c r="J13" s="415">
        <f t="shared" si="6"/>
        <v>0</v>
      </c>
      <c r="K13" s="391">
        <f>'P-IV'!J12</f>
        <v>0</v>
      </c>
      <c r="L13" s="430" t="str">
        <f>IF(J13='P-IV'!J12,"",FALSE)</f>
        <v/>
      </c>
      <c r="M13" s="445">
        <f t="shared" si="10"/>
        <v>0</v>
      </c>
      <c r="N13" s="445">
        <f t="shared" si="10"/>
        <v>0</v>
      </c>
      <c r="O13" s="445">
        <f t="shared" si="10"/>
        <v>0</v>
      </c>
      <c r="P13" s="445">
        <f t="shared" si="10"/>
        <v>0</v>
      </c>
      <c r="Q13" s="445">
        <f t="shared" si="10"/>
        <v>0</v>
      </c>
      <c r="R13" s="445">
        <f t="shared" si="10"/>
        <v>0</v>
      </c>
      <c r="S13" s="415">
        <f t="shared" si="7"/>
        <v>0</v>
      </c>
      <c r="T13" s="391">
        <f>'P-IV'!K12</f>
        <v>0</v>
      </c>
      <c r="U13" s="430" t="str">
        <f>IF(S13='P-IV'!K12,"",FALSE)</f>
        <v/>
      </c>
      <c r="V13" s="445">
        <f t="shared" si="10"/>
        <v>0</v>
      </c>
      <c r="W13" s="445">
        <f t="shared" si="10"/>
        <v>0</v>
      </c>
      <c r="X13" s="445">
        <f t="shared" si="10"/>
        <v>0</v>
      </c>
      <c r="Y13" s="445">
        <f>SUM(Y14:Y15)</f>
        <v>0</v>
      </c>
      <c r="Z13" s="445">
        <f t="shared" ref="Z13" si="11">SUM(Z14:Z15)</f>
        <v>0</v>
      </c>
      <c r="AA13" s="445">
        <f t="shared" ref="AA13" si="12">SUM(AA14:AA15)</f>
        <v>0</v>
      </c>
      <c r="AB13" s="415">
        <f t="shared" si="8"/>
        <v>0</v>
      </c>
      <c r="AC13" s="391">
        <f>'P-IV'!L12</f>
        <v>0</v>
      </c>
      <c r="AD13" s="430" t="str">
        <f>IF(AB13='P-IV'!L12,"",FALSE)</f>
        <v/>
      </c>
      <c r="AE13" s="415">
        <f t="shared" si="9"/>
        <v>0</v>
      </c>
      <c r="AF13" s="391">
        <f>'P-IV'!M12</f>
        <v>0</v>
      </c>
      <c r="AG13" s="430" t="str">
        <f>IF(AE13='P-IV'!M12,"",FALSE)</f>
        <v/>
      </c>
      <c r="AH13" s="335"/>
    </row>
    <row r="14" spans="1:34" ht="20.100000000000001" customHeight="1" x14ac:dyDescent="0.25">
      <c r="A14" s="118">
        <v>355</v>
      </c>
      <c r="B14" s="118"/>
      <c r="C14" s="181" t="s">
        <v>1476</v>
      </c>
      <c r="D14" s="394">
        <v>0</v>
      </c>
      <c r="E14" s="394">
        <v>0</v>
      </c>
      <c r="F14" s="394">
        <v>0</v>
      </c>
      <c r="G14" s="394">
        <v>0</v>
      </c>
      <c r="H14" s="394">
        <v>0</v>
      </c>
      <c r="I14" s="394">
        <v>0</v>
      </c>
      <c r="J14" s="415">
        <f t="shared" si="6"/>
        <v>0</v>
      </c>
      <c r="K14" s="391">
        <f>'P-IV'!J13</f>
        <v>0</v>
      </c>
      <c r="L14" s="466" t="str">
        <f>IF(J14='P-IV'!J13,"",FALSE)</f>
        <v/>
      </c>
      <c r="M14" s="235">
        <v>0</v>
      </c>
      <c r="N14" s="235">
        <v>0</v>
      </c>
      <c r="O14" s="235">
        <v>0</v>
      </c>
      <c r="P14" s="235">
        <v>0</v>
      </c>
      <c r="Q14" s="235">
        <v>0</v>
      </c>
      <c r="R14" s="235">
        <v>0</v>
      </c>
      <c r="S14" s="415">
        <f t="shared" si="7"/>
        <v>0</v>
      </c>
      <c r="T14" s="391">
        <f>'P-IV'!K13</f>
        <v>0</v>
      </c>
      <c r="U14" s="466" t="str">
        <f>IF(S14='P-IV'!K13,"",FALSE)</f>
        <v/>
      </c>
      <c r="V14" s="250">
        <v>0</v>
      </c>
      <c r="W14" s="250">
        <v>0</v>
      </c>
      <c r="X14" s="250">
        <v>0</v>
      </c>
      <c r="Y14" s="250">
        <v>0</v>
      </c>
      <c r="Z14" s="250">
        <v>0</v>
      </c>
      <c r="AA14" s="250">
        <v>0</v>
      </c>
      <c r="AB14" s="415">
        <f t="shared" si="8"/>
        <v>0</v>
      </c>
      <c r="AC14" s="391">
        <f>'P-IV'!L13</f>
        <v>0</v>
      </c>
      <c r="AD14" s="466" t="str">
        <f>IF(AB14='P-IV'!L13,"",FALSE)</f>
        <v/>
      </c>
      <c r="AE14" s="415">
        <f t="shared" si="9"/>
        <v>0</v>
      </c>
      <c r="AF14" s="391">
        <f>'P-IV'!M13</f>
        <v>0</v>
      </c>
      <c r="AG14" s="466" t="str">
        <f>IF(AE14='P-IV'!M13,"",FALSE)</f>
        <v/>
      </c>
      <c r="AH14" s="335"/>
    </row>
    <row r="15" spans="1:34" ht="20.100000000000001" customHeight="1" x14ac:dyDescent="0.25">
      <c r="A15" s="262">
        <v>356</v>
      </c>
      <c r="B15" s="118"/>
      <c r="C15" s="181" t="s">
        <v>1477</v>
      </c>
      <c r="D15" s="394">
        <v>0</v>
      </c>
      <c r="E15" s="394">
        <v>0</v>
      </c>
      <c r="F15" s="394">
        <v>0</v>
      </c>
      <c r="G15" s="394">
        <v>0</v>
      </c>
      <c r="H15" s="394">
        <v>0</v>
      </c>
      <c r="I15" s="394">
        <v>0</v>
      </c>
      <c r="J15" s="415">
        <f t="shared" si="6"/>
        <v>0</v>
      </c>
      <c r="K15" s="391">
        <f>'P-IV'!J14</f>
        <v>0</v>
      </c>
      <c r="L15" s="466" t="str">
        <f>IF(J15='P-IV'!J14,"",FALSE)</f>
        <v/>
      </c>
      <c r="M15" s="235">
        <v>0</v>
      </c>
      <c r="N15" s="235">
        <v>0</v>
      </c>
      <c r="O15" s="235">
        <v>0</v>
      </c>
      <c r="P15" s="235">
        <v>0</v>
      </c>
      <c r="Q15" s="235">
        <v>0</v>
      </c>
      <c r="R15" s="235">
        <v>0</v>
      </c>
      <c r="S15" s="415">
        <f t="shared" si="7"/>
        <v>0</v>
      </c>
      <c r="T15" s="391">
        <f>'P-IV'!K14</f>
        <v>0</v>
      </c>
      <c r="U15" s="466" t="str">
        <f>IF(S15='P-IV'!K14,"",FALSE)</f>
        <v/>
      </c>
      <c r="V15" s="250">
        <v>0</v>
      </c>
      <c r="W15" s="250">
        <v>0</v>
      </c>
      <c r="X15" s="250">
        <v>0</v>
      </c>
      <c r="Y15" s="250">
        <v>0</v>
      </c>
      <c r="Z15" s="250">
        <v>0</v>
      </c>
      <c r="AA15" s="250">
        <v>0</v>
      </c>
      <c r="AB15" s="415">
        <f t="shared" si="8"/>
        <v>0</v>
      </c>
      <c r="AC15" s="391">
        <f>'P-IV'!L14</f>
        <v>0</v>
      </c>
      <c r="AD15" s="466" t="str">
        <f>IF(AB15='P-IV'!L14,"",FALSE)</f>
        <v/>
      </c>
      <c r="AE15" s="415">
        <f t="shared" si="9"/>
        <v>0</v>
      </c>
      <c r="AF15" s="391">
        <f>'P-IV'!M14</f>
        <v>0</v>
      </c>
      <c r="AG15" s="466" t="str">
        <f>IF(AE15='P-IV'!M14,"",FALSE)</f>
        <v/>
      </c>
      <c r="AH15" s="335"/>
    </row>
    <row r="16" spans="1:34" ht="20.100000000000001" customHeight="1" x14ac:dyDescent="0.25">
      <c r="A16" s="118">
        <v>357</v>
      </c>
      <c r="B16" s="118">
        <v>3</v>
      </c>
      <c r="C16" s="10" t="s">
        <v>253</v>
      </c>
      <c r="D16" s="235">
        <v>0</v>
      </c>
      <c r="E16" s="235">
        <v>0</v>
      </c>
      <c r="F16" s="235">
        <v>0</v>
      </c>
      <c r="G16" s="235">
        <v>0</v>
      </c>
      <c r="H16" s="235">
        <v>0</v>
      </c>
      <c r="I16" s="235">
        <v>0</v>
      </c>
      <c r="J16" s="415">
        <f t="shared" si="6"/>
        <v>0</v>
      </c>
      <c r="K16" s="391">
        <f>'P-IV'!J15</f>
        <v>0</v>
      </c>
      <c r="L16" s="466" t="str">
        <f>IF(J16='P-IV'!J15,"",FALSE)</f>
        <v/>
      </c>
      <c r="M16" s="235">
        <v>0</v>
      </c>
      <c r="N16" s="235">
        <v>0</v>
      </c>
      <c r="O16" s="235">
        <v>0</v>
      </c>
      <c r="P16" s="235">
        <v>0</v>
      </c>
      <c r="Q16" s="235">
        <v>0</v>
      </c>
      <c r="R16" s="235">
        <v>0</v>
      </c>
      <c r="S16" s="415">
        <f t="shared" si="7"/>
        <v>0</v>
      </c>
      <c r="T16" s="391">
        <f>'P-IV'!K15</f>
        <v>0</v>
      </c>
      <c r="U16" s="466" t="str">
        <f>IF(S16='P-IV'!K15,"",FALSE)</f>
        <v/>
      </c>
      <c r="V16" s="253">
        <v>0</v>
      </c>
      <c r="W16" s="253">
        <v>0</v>
      </c>
      <c r="X16" s="253">
        <v>0</v>
      </c>
      <c r="Y16" s="253">
        <v>0</v>
      </c>
      <c r="Z16" s="253">
        <v>0</v>
      </c>
      <c r="AA16" s="253">
        <v>0</v>
      </c>
      <c r="AB16" s="415">
        <f t="shared" si="8"/>
        <v>0</v>
      </c>
      <c r="AC16" s="391">
        <f>'P-IV'!L15</f>
        <v>0</v>
      </c>
      <c r="AD16" s="466" t="str">
        <f>IF(AB16='P-IV'!L15,"",FALSE)</f>
        <v/>
      </c>
      <c r="AE16" s="415">
        <f t="shared" si="9"/>
        <v>0</v>
      </c>
      <c r="AF16" s="391">
        <f>'P-IV'!M15</f>
        <v>0</v>
      </c>
      <c r="AG16" s="466" t="str">
        <f>IF(AE16='P-IV'!M15,"",FALSE)</f>
        <v/>
      </c>
      <c r="AH16" s="335"/>
    </row>
    <row r="17" spans="1:34" ht="20.100000000000001" customHeight="1" x14ac:dyDescent="0.25">
      <c r="A17" s="262">
        <v>358</v>
      </c>
      <c r="B17" s="118">
        <v>4</v>
      </c>
      <c r="C17" s="10" t="s">
        <v>61</v>
      </c>
      <c r="D17" s="235">
        <v>0</v>
      </c>
      <c r="E17" s="235">
        <v>0</v>
      </c>
      <c r="F17" s="235">
        <v>0</v>
      </c>
      <c r="G17" s="235">
        <v>0</v>
      </c>
      <c r="H17" s="235">
        <v>1</v>
      </c>
      <c r="I17" s="235">
        <v>0</v>
      </c>
      <c r="J17" s="415">
        <f t="shared" si="6"/>
        <v>1</v>
      </c>
      <c r="K17" s="391">
        <f>'P-IV'!J16</f>
        <v>1</v>
      </c>
      <c r="L17" s="466" t="str">
        <f>IF(J17='P-IV'!J16,"",FALSE)</f>
        <v/>
      </c>
      <c r="M17" s="235">
        <v>0</v>
      </c>
      <c r="N17" s="235">
        <v>0</v>
      </c>
      <c r="O17" s="235">
        <v>0</v>
      </c>
      <c r="P17" s="235">
        <v>0</v>
      </c>
      <c r="Q17" s="235">
        <v>0</v>
      </c>
      <c r="R17" s="235">
        <v>1</v>
      </c>
      <c r="S17" s="415">
        <f t="shared" si="7"/>
        <v>1</v>
      </c>
      <c r="T17" s="391">
        <f>'P-IV'!K16</f>
        <v>1</v>
      </c>
      <c r="U17" s="466" t="str">
        <f>IF(S17='P-IV'!K16,"",FALSE)</f>
        <v/>
      </c>
      <c r="V17" s="253">
        <v>0</v>
      </c>
      <c r="W17" s="253">
        <v>0</v>
      </c>
      <c r="X17" s="253">
        <v>0</v>
      </c>
      <c r="Y17" s="253">
        <v>0</v>
      </c>
      <c r="Z17" s="253">
        <v>0</v>
      </c>
      <c r="AA17" s="253">
        <v>0</v>
      </c>
      <c r="AB17" s="415">
        <f t="shared" si="8"/>
        <v>0</v>
      </c>
      <c r="AC17" s="391">
        <f>'P-IV'!L16</f>
        <v>0</v>
      </c>
      <c r="AD17" s="466" t="str">
        <f>IF(AB17='P-IV'!L16,"",FALSE)</f>
        <v/>
      </c>
      <c r="AE17" s="415">
        <f t="shared" si="9"/>
        <v>2</v>
      </c>
      <c r="AF17" s="391">
        <f>'P-IV'!M16</f>
        <v>2</v>
      </c>
      <c r="AG17" s="466" t="str">
        <f>IF(AE17='P-IV'!M16,"",FALSE)</f>
        <v/>
      </c>
      <c r="AH17" s="335"/>
    </row>
    <row r="18" spans="1:34" ht="20.100000000000001" customHeight="1" x14ac:dyDescent="0.25">
      <c r="A18" s="118">
        <v>359</v>
      </c>
      <c r="B18" s="118">
        <v>5</v>
      </c>
      <c r="C18" s="434" t="s">
        <v>1478</v>
      </c>
      <c r="D18" s="429">
        <f>SUM(D19:D21,D24:D26)</f>
        <v>0</v>
      </c>
      <c r="E18" s="429">
        <f t="shared" ref="E18:I18" si="13">SUM(E19:E21,E24:E26)</f>
        <v>0</v>
      </c>
      <c r="F18" s="429">
        <f t="shared" si="13"/>
        <v>0</v>
      </c>
      <c r="G18" s="429">
        <f t="shared" si="13"/>
        <v>0</v>
      </c>
      <c r="H18" s="429">
        <f t="shared" si="13"/>
        <v>3</v>
      </c>
      <c r="I18" s="429">
        <f t="shared" si="13"/>
        <v>1</v>
      </c>
      <c r="J18" s="415">
        <f t="shared" si="6"/>
        <v>4</v>
      </c>
      <c r="K18" s="391">
        <f>'P-IV'!J17</f>
        <v>4</v>
      </c>
      <c r="L18" s="430" t="str">
        <f>IF(J18='P-IV'!J17,"",FALSE)</f>
        <v/>
      </c>
      <c r="M18" s="429">
        <f t="shared" ref="M18:R18" si="14">SUM(M19:M21,M24:M26)</f>
        <v>0</v>
      </c>
      <c r="N18" s="429">
        <f t="shared" si="14"/>
        <v>0</v>
      </c>
      <c r="O18" s="429">
        <f t="shared" si="14"/>
        <v>0</v>
      </c>
      <c r="P18" s="429">
        <f t="shared" si="14"/>
        <v>0</v>
      </c>
      <c r="Q18" s="429">
        <f t="shared" si="14"/>
        <v>0</v>
      </c>
      <c r="R18" s="429">
        <f t="shared" si="14"/>
        <v>2</v>
      </c>
      <c r="S18" s="415">
        <f t="shared" si="7"/>
        <v>2</v>
      </c>
      <c r="T18" s="391">
        <f>'P-IV'!K17</f>
        <v>2</v>
      </c>
      <c r="U18" s="430" t="str">
        <f>IF(S18='P-IV'!K17,"",FALSE)</f>
        <v/>
      </c>
      <c r="V18" s="429">
        <f t="shared" ref="V18:AA18" si="15">SUM(V19:V21,V24:V26)</f>
        <v>0</v>
      </c>
      <c r="W18" s="429">
        <f t="shared" si="15"/>
        <v>0</v>
      </c>
      <c r="X18" s="429">
        <f t="shared" si="15"/>
        <v>0</v>
      </c>
      <c r="Y18" s="429">
        <f t="shared" si="15"/>
        <v>0</v>
      </c>
      <c r="Z18" s="429">
        <f t="shared" si="15"/>
        <v>0</v>
      </c>
      <c r="AA18" s="429">
        <f t="shared" si="15"/>
        <v>0</v>
      </c>
      <c r="AB18" s="415">
        <f t="shared" si="8"/>
        <v>0</v>
      </c>
      <c r="AC18" s="391">
        <f>'P-IV'!L17</f>
        <v>0</v>
      </c>
      <c r="AD18" s="430" t="str">
        <f>IF(AB18='P-IV'!L17,"",FALSE)</f>
        <v/>
      </c>
      <c r="AE18" s="415">
        <f t="shared" si="9"/>
        <v>6</v>
      </c>
      <c r="AF18" s="391">
        <f>'P-IV'!M17</f>
        <v>6</v>
      </c>
      <c r="AG18" s="430" t="str">
        <f>IF(AE18='P-IV'!M17,"",FALSE)</f>
        <v/>
      </c>
      <c r="AH18" s="335"/>
    </row>
    <row r="19" spans="1:34" ht="20.100000000000001" customHeight="1" x14ac:dyDescent="0.25">
      <c r="A19" s="262">
        <v>360</v>
      </c>
      <c r="B19" s="118"/>
      <c r="C19" s="181" t="s">
        <v>1479</v>
      </c>
      <c r="D19" s="235">
        <v>0</v>
      </c>
      <c r="E19" s="235">
        <v>0</v>
      </c>
      <c r="F19" s="235">
        <v>0</v>
      </c>
      <c r="G19" s="235">
        <v>0</v>
      </c>
      <c r="H19" s="235">
        <v>1</v>
      </c>
      <c r="I19" s="235">
        <v>0</v>
      </c>
      <c r="J19" s="415">
        <f t="shared" si="6"/>
        <v>1</v>
      </c>
      <c r="K19" s="391">
        <f>'P-IV'!J18</f>
        <v>1</v>
      </c>
      <c r="L19" s="466" t="str">
        <f>IF(J19='P-IV'!J18,"",FALSE)</f>
        <v/>
      </c>
      <c r="M19" s="235">
        <v>0</v>
      </c>
      <c r="N19" s="235">
        <v>0</v>
      </c>
      <c r="O19" s="235">
        <v>0</v>
      </c>
      <c r="P19" s="235">
        <v>0</v>
      </c>
      <c r="Q19" s="235">
        <v>0</v>
      </c>
      <c r="R19" s="235">
        <v>0</v>
      </c>
      <c r="S19" s="415">
        <f t="shared" si="7"/>
        <v>0</v>
      </c>
      <c r="T19" s="391">
        <f>'P-IV'!K18</f>
        <v>0</v>
      </c>
      <c r="U19" s="466" t="str">
        <f>IF(S19='P-IV'!K18,"",FALSE)</f>
        <v/>
      </c>
      <c r="V19" s="253">
        <v>0</v>
      </c>
      <c r="W19" s="253">
        <v>0</v>
      </c>
      <c r="X19" s="253">
        <v>0</v>
      </c>
      <c r="Y19" s="253">
        <v>0</v>
      </c>
      <c r="Z19" s="253">
        <v>0</v>
      </c>
      <c r="AA19" s="253">
        <v>0</v>
      </c>
      <c r="AB19" s="415">
        <f t="shared" si="8"/>
        <v>0</v>
      </c>
      <c r="AC19" s="391">
        <f>'P-IV'!L18</f>
        <v>0</v>
      </c>
      <c r="AD19" s="466" t="str">
        <f>IF(AB19='P-IV'!L18,"",FALSE)</f>
        <v/>
      </c>
      <c r="AE19" s="415">
        <f t="shared" si="9"/>
        <v>1</v>
      </c>
      <c r="AF19" s="391">
        <f>'P-IV'!M18</f>
        <v>1</v>
      </c>
      <c r="AG19" s="466" t="str">
        <f>IF(AE19='P-IV'!M18,"",FALSE)</f>
        <v/>
      </c>
      <c r="AH19" s="335"/>
    </row>
    <row r="20" spans="1:34" ht="20.100000000000001" customHeight="1" x14ac:dyDescent="0.25">
      <c r="A20" s="118">
        <v>361</v>
      </c>
      <c r="B20" s="118"/>
      <c r="C20" s="181" t="s">
        <v>1480</v>
      </c>
      <c r="D20" s="235">
        <v>0</v>
      </c>
      <c r="E20" s="235">
        <v>0</v>
      </c>
      <c r="F20" s="235">
        <v>0</v>
      </c>
      <c r="G20" s="235">
        <v>0</v>
      </c>
      <c r="H20" s="235">
        <v>1</v>
      </c>
      <c r="I20" s="235">
        <v>1</v>
      </c>
      <c r="J20" s="415">
        <f t="shared" si="6"/>
        <v>2</v>
      </c>
      <c r="K20" s="391">
        <f>'P-IV'!J19</f>
        <v>2</v>
      </c>
      <c r="L20" s="466" t="str">
        <f>IF(J20='P-IV'!J19,"",FALSE)</f>
        <v/>
      </c>
      <c r="M20" s="235">
        <v>0</v>
      </c>
      <c r="N20" s="235">
        <v>0</v>
      </c>
      <c r="O20" s="235">
        <v>0</v>
      </c>
      <c r="P20" s="235">
        <v>0</v>
      </c>
      <c r="Q20" s="235">
        <v>0</v>
      </c>
      <c r="R20" s="235">
        <v>1</v>
      </c>
      <c r="S20" s="415">
        <f t="shared" si="7"/>
        <v>1</v>
      </c>
      <c r="T20" s="391">
        <f>'P-IV'!K19</f>
        <v>1</v>
      </c>
      <c r="U20" s="466" t="str">
        <f>IF(S20='P-IV'!K19,"",FALSE)</f>
        <v/>
      </c>
      <c r="V20" s="253">
        <v>0</v>
      </c>
      <c r="W20" s="253">
        <v>0</v>
      </c>
      <c r="X20" s="253">
        <v>0</v>
      </c>
      <c r="Y20" s="253">
        <v>0</v>
      </c>
      <c r="Z20" s="253">
        <v>0</v>
      </c>
      <c r="AA20" s="253">
        <v>0</v>
      </c>
      <c r="AB20" s="415">
        <f t="shared" si="8"/>
        <v>0</v>
      </c>
      <c r="AC20" s="391">
        <f>'P-IV'!L19</f>
        <v>0</v>
      </c>
      <c r="AD20" s="466" t="str">
        <f>IF(AB20='P-IV'!L19,"",FALSE)</f>
        <v/>
      </c>
      <c r="AE20" s="415">
        <f t="shared" si="9"/>
        <v>3</v>
      </c>
      <c r="AF20" s="391">
        <f>'P-IV'!M19</f>
        <v>3</v>
      </c>
      <c r="AG20" s="466" t="str">
        <f>IF(AE20='P-IV'!M19,"",FALSE)</f>
        <v/>
      </c>
      <c r="AH20" s="335"/>
    </row>
    <row r="21" spans="1:34" ht="20.100000000000001" customHeight="1" x14ac:dyDescent="0.25">
      <c r="A21" s="262">
        <v>362</v>
      </c>
      <c r="B21" s="118"/>
      <c r="C21" s="439" t="s">
        <v>1481</v>
      </c>
      <c r="D21" s="429">
        <f>SUM(D22:D23)</f>
        <v>0</v>
      </c>
      <c r="E21" s="429">
        <f t="shared" ref="E21:I21" si="16">SUM(E22:E23)</f>
        <v>0</v>
      </c>
      <c r="F21" s="429">
        <f t="shared" si="16"/>
        <v>0</v>
      </c>
      <c r="G21" s="429">
        <f t="shared" si="16"/>
        <v>0</v>
      </c>
      <c r="H21" s="429">
        <f t="shared" si="16"/>
        <v>0</v>
      </c>
      <c r="I21" s="429">
        <f t="shared" si="16"/>
        <v>0</v>
      </c>
      <c r="J21" s="415">
        <f t="shared" si="6"/>
        <v>0</v>
      </c>
      <c r="K21" s="391">
        <f>'P-IV'!J20</f>
        <v>0</v>
      </c>
      <c r="L21" s="430" t="str">
        <f>IF(J21='P-IV'!J20,"",FALSE)</f>
        <v/>
      </c>
      <c r="M21" s="429">
        <f>SUM(M22:M23)</f>
        <v>0</v>
      </c>
      <c r="N21" s="429">
        <f t="shared" ref="N21" si="17">SUM(N22:N23)</f>
        <v>0</v>
      </c>
      <c r="O21" s="429">
        <f t="shared" ref="O21" si="18">SUM(O22:O23)</f>
        <v>0</v>
      </c>
      <c r="P21" s="429">
        <f t="shared" ref="P21" si="19">SUM(P22:P23)</f>
        <v>0</v>
      </c>
      <c r="Q21" s="429">
        <f t="shared" ref="Q21" si="20">SUM(Q22:Q23)</f>
        <v>0</v>
      </c>
      <c r="R21" s="429">
        <f t="shared" ref="R21:AA21" si="21">SUM(R22:R23)</f>
        <v>0</v>
      </c>
      <c r="S21" s="415">
        <f t="shared" si="7"/>
        <v>0</v>
      </c>
      <c r="T21" s="391">
        <f>'P-IV'!K20</f>
        <v>0</v>
      </c>
      <c r="U21" s="430" t="str">
        <f>IF(S21='P-IV'!K20,"",FALSE)</f>
        <v/>
      </c>
      <c r="V21" s="429">
        <f t="shared" si="21"/>
        <v>0</v>
      </c>
      <c r="W21" s="429">
        <f t="shared" si="21"/>
        <v>0</v>
      </c>
      <c r="X21" s="429">
        <f t="shared" si="21"/>
        <v>0</v>
      </c>
      <c r="Y21" s="429">
        <f t="shared" si="21"/>
        <v>0</v>
      </c>
      <c r="Z21" s="429">
        <f t="shared" si="21"/>
        <v>0</v>
      </c>
      <c r="AA21" s="429">
        <f t="shared" si="21"/>
        <v>0</v>
      </c>
      <c r="AB21" s="415">
        <f t="shared" si="8"/>
        <v>0</v>
      </c>
      <c r="AC21" s="391">
        <f>'P-IV'!L20</f>
        <v>0</v>
      </c>
      <c r="AD21" s="430" t="str">
        <f>IF(AB21='P-IV'!L20,"",FALSE)</f>
        <v/>
      </c>
      <c r="AE21" s="415">
        <f t="shared" si="9"/>
        <v>0</v>
      </c>
      <c r="AF21" s="391">
        <f>'P-IV'!M20</f>
        <v>0</v>
      </c>
      <c r="AG21" s="430" t="str">
        <f>IF(AE21='P-IV'!M20,"",FALSE)</f>
        <v/>
      </c>
      <c r="AH21" s="335"/>
    </row>
    <row r="22" spans="1:34" ht="20.100000000000001" customHeight="1" x14ac:dyDescent="0.25">
      <c r="A22" s="118">
        <v>363</v>
      </c>
      <c r="B22" s="118"/>
      <c r="C22" s="255" t="s">
        <v>1482</v>
      </c>
      <c r="D22" s="235">
        <v>0</v>
      </c>
      <c r="E22" s="235">
        <v>0</v>
      </c>
      <c r="F22" s="235">
        <v>0</v>
      </c>
      <c r="G22" s="235">
        <v>0</v>
      </c>
      <c r="H22" s="235">
        <v>0</v>
      </c>
      <c r="I22" s="235">
        <v>0</v>
      </c>
      <c r="J22" s="415">
        <f t="shared" si="6"/>
        <v>0</v>
      </c>
      <c r="K22" s="391">
        <f>'P-IV'!J21</f>
        <v>0</v>
      </c>
      <c r="L22" s="466" t="str">
        <f>IF(J22='P-IV'!J21,"",FALSE)</f>
        <v/>
      </c>
      <c r="M22" s="235">
        <v>0</v>
      </c>
      <c r="N22" s="235">
        <v>0</v>
      </c>
      <c r="O22" s="235">
        <v>0</v>
      </c>
      <c r="P22" s="235">
        <v>0</v>
      </c>
      <c r="Q22" s="235">
        <v>0</v>
      </c>
      <c r="R22" s="235">
        <v>0</v>
      </c>
      <c r="S22" s="415">
        <f t="shared" si="7"/>
        <v>0</v>
      </c>
      <c r="T22" s="391">
        <f>'P-IV'!K21</f>
        <v>0</v>
      </c>
      <c r="U22" s="466" t="str">
        <f>IF(S22='P-IV'!K21,"",FALSE)</f>
        <v/>
      </c>
      <c r="V22" s="253">
        <v>0</v>
      </c>
      <c r="W22" s="253">
        <v>0</v>
      </c>
      <c r="X22" s="253">
        <v>0</v>
      </c>
      <c r="Y22" s="253">
        <v>0</v>
      </c>
      <c r="Z22" s="253">
        <v>0</v>
      </c>
      <c r="AA22" s="253">
        <v>0</v>
      </c>
      <c r="AB22" s="415">
        <f t="shared" si="8"/>
        <v>0</v>
      </c>
      <c r="AC22" s="391">
        <f>'P-IV'!L21</f>
        <v>0</v>
      </c>
      <c r="AD22" s="466" t="str">
        <f>IF(AB22='P-IV'!L21,"",FALSE)</f>
        <v/>
      </c>
      <c r="AE22" s="415">
        <f t="shared" si="9"/>
        <v>0</v>
      </c>
      <c r="AF22" s="391">
        <f>'P-IV'!M21</f>
        <v>0</v>
      </c>
      <c r="AG22" s="466" t="str">
        <f>IF(AE22='P-IV'!M21,"",FALSE)</f>
        <v/>
      </c>
      <c r="AH22" s="335"/>
    </row>
    <row r="23" spans="1:34" ht="20.100000000000001" customHeight="1" x14ac:dyDescent="0.25">
      <c r="A23" s="262">
        <v>364</v>
      </c>
      <c r="B23" s="118"/>
      <c r="C23" s="255" t="s">
        <v>1483</v>
      </c>
      <c r="D23" s="235">
        <v>0</v>
      </c>
      <c r="E23" s="235">
        <v>0</v>
      </c>
      <c r="F23" s="235">
        <v>0</v>
      </c>
      <c r="G23" s="235">
        <v>0</v>
      </c>
      <c r="H23" s="235">
        <v>0</v>
      </c>
      <c r="I23" s="235">
        <v>0</v>
      </c>
      <c r="J23" s="415">
        <f t="shared" si="6"/>
        <v>0</v>
      </c>
      <c r="K23" s="391">
        <f>'P-IV'!J22</f>
        <v>0</v>
      </c>
      <c r="L23" s="466" t="str">
        <f>IF(J23='P-IV'!J22,"",FALSE)</f>
        <v/>
      </c>
      <c r="M23" s="235">
        <v>0</v>
      </c>
      <c r="N23" s="235">
        <v>0</v>
      </c>
      <c r="O23" s="235">
        <v>0</v>
      </c>
      <c r="P23" s="235">
        <v>0</v>
      </c>
      <c r="Q23" s="235">
        <v>0</v>
      </c>
      <c r="R23" s="235">
        <v>0</v>
      </c>
      <c r="S23" s="415">
        <f t="shared" si="7"/>
        <v>0</v>
      </c>
      <c r="T23" s="391">
        <f>'P-IV'!K22</f>
        <v>0</v>
      </c>
      <c r="U23" s="466" t="str">
        <f>IF(S23='P-IV'!K22,"",FALSE)</f>
        <v/>
      </c>
      <c r="V23" s="253">
        <v>0</v>
      </c>
      <c r="W23" s="253">
        <v>0</v>
      </c>
      <c r="X23" s="253">
        <v>0</v>
      </c>
      <c r="Y23" s="253">
        <v>0</v>
      </c>
      <c r="Z23" s="253">
        <v>0</v>
      </c>
      <c r="AA23" s="253">
        <v>0</v>
      </c>
      <c r="AB23" s="415">
        <f t="shared" si="8"/>
        <v>0</v>
      </c>
      <c r="AC23" s="391">
        <f>'P-IV'!L22</f>
        <v>0</v>
      </c>
      <c r="AD23" s="466" t="str">
        <f>IF(AB23='P-IV'!L22,"",FALSE)</f>
        <v/>
      </c>
      <c r="AE23" s="415">
        <f t="shared" si="9"/>
        <v>0</v>
      </c>
      <c r="AF23" s="391">
        <f>'P-IV'!M22</f>
        <v>0</v>
      </c>
      <c r="AG23" s="466" t="str">
        <f>IF(AE23='P-IV'!M22,"",FALSE)</f>
        <v/>
      </c>
      <c r="AH23" s="335"/>
    </row>
    <row r="24" spans="1:34" ht="20.100000000000001" customHeight="1" x14ac:dyDescent="0.25">
      <c r="A24" s="118">
        <v>365</v>
      </c>
      <c r="B24" s="118"/>
      <c r="C24" s="181" t="s">
        <v>1484</v>
      </c>
      <c r="D24" s="235">
        <v>0</v>
      </c>
      <c r="E24" s="235">
        <v>0</v>
      </c>
      <c r="F24" s="235">
        <v>0</v>
      </c>
      <c r="G24" s="235">
        <v>0</v>
      </c>
      <c r="H24" s="235">
        <v>1</v>
      </c>
      <c r="I24" s="235">
        <v>0</v>
      </c>
      <c r="J24" s="415">
        <f t="shared" si="6"/>
        <v>1</v>
      </c>
      <c r="K24" s="391">
        <f>'P-IV'!J23</f>
        <v>1</v>
      </c>
      <c r="L24" s="466" t="str">
        <f>IF(J24='P-IV'!J23,"",FALSE)</f>
        <v/>
      </c>
      <c r="M24" s="235">
        <v>0</v>
      </c>
      <c r="N24" s="235">
        <v>0</v>
      </c>
      <c r="O24" s="235">
        <v>0</v>
      </c>
      <c r="P24" s="235">
        <v>0</v>
      </c>
      <c r="Q24" s="235">
        <v>0</v>
      </c>
      <c r="R24" s="235">
        <v>1</v>
      </c>
      <c r="S24" s="415">
        <f t="shared" si="7"/>
        <v>1</v>
      </c>
      <c r="T24" s="391">
        <f>'P-IV'!K23</f>
        <v>1</v>
      </c>
      <c r="U24" s="466" t="str">
        <f>IF(S24='P-IV'!K23,"",FALSE)</f>
        <v/>
      </c>
      <c r="V24" s="253">
        <v>0</v>
      </c>
      <c r="W24" s="253">
        <v>0</v>
      </c>
      <c r="X24" s="253">
        <v>0</v>
      </c>
      <c r="Y24" s="253">
        <v>0</v>
      </c>
      <c r="Z24" s="253">
        <v>0</v>
      </c>
      <c r="AA24" s="253">
        <v>0</v>
      </c>
      <c r="AB24" s="415">
        <f t="shared" si="8"/>
        <v>0</v>
      </c>
      <c r="AC24" s="391">
        <f>'P-IV'!L23</f>
        <v>0</v>
      </c>
      <c r="AD24" s="466" t="str">
        <f>IF(AB24='P-IV'!L23,"",FALSE)</f>
        <v/>
      </c>
      <c r="AE24" s="415">
        <f t="shared" si="9"/>
        <v>2</v>
      </c>
      <c r="AF24" s="391">
        <f>'P-IV'!M23</f>
        <v>2</v>
      </c>
      <c r="AG24" s="466" t="str">
        <f>IF(AE24='P-IV'!M23,"",FALSE)</f>
        <v/>
      </c>
      <c r="AH24" s="335"/>
    </row>
    <row r="25" spans="1:34" ht="20.100000000000001" customHeight="1" x14ac:dyDescent="0.25">
      <c r="A25" s="262">
        <v>366</v>
      </c>
      <c r="B25" s="118"/>
      <c r="C25" s="181" t="s">
        <v>1485</v>
      </c>
      <c r="D25" s="235">
        <v>0</v>
      </c>
      <c r="E25" s="235">
        <v>0</v>
      </c>
      <c r="F25" s="235">
        <v>0</v>
      </c>
      <c r="G25" s="235">
        <v>0</v>
      </c>
      <c r="H25" s="235">
        <v>0</v>
      </c>
      <c r="I25" s="235">
        <v>0</v>
      </c>
      <c r="J25" s="415">
        <f t="shared" si="6"/>
        <v>0</v>
      </c>
      <c r="K25" s="391">
        <f>'P-IV'!J24</f>
        <v>0</v>
      </c>
      <c r="L25" s="466" t="str">
        <f>IF(J25='P-IV'!J24,"",FALSE)</f>
        <v/>
      </c>
      <c r="M25" s="235">
        <v>0</v>
      </c>
      <c r="N25" s="235">
        <v>0</v>
      </c>
      <c r="O25" s="235">
        <v>0</v>
      </c>
      <c r="P25" s="235">
        <v>0</v>
      </c>
      <c r="Q25" s="235">
        <v>0</v>
      </c>
      <c r="R25" s="235">
        <v>0</v>
      </c>
      <c r="S25" s="415">
        <f t="shared" si="7"/>
        <v>0</v>
      </c>
      <c r="T25" s="391">
        <f>'P-IV'!K24</f>
        <v>0</v>
      </c>
      <c r="U25" s="466" t="str">
        <f>IF(S25='P-IV'!K24,"",FALSE)</f>
        <v/>
      </c>
      <c r="V25" s="253">
        <v>0</v>
      </c>
      <c r="W25" s="253">
        <v>0</v>
      </c>
      <c r="X25" s="253">
        <v>0</v>
      </c>
      <c r="Y25" s="253">
        <v>0</v>
      </c>
      <c r="Z25" s="253">
        <v>0</v>
      </c>
      <c r="AA25" s="253">
        <v>0</v>
      </c>
      <c r="AB25" s="415">
        <f t="shared" si="8"/>
        <v>0</v>
      </c>
      <c r="AC25" s="391">
        <f>'P-IV'!L24</f>
        <v>0</v>
      </c>
      <c r="AD25" s="466" t="str">
        <f>IF(AB25='P-IV'!L24,"",FALSE)</f>
        <v/>
      </c>
      <c r="AE25" s="415">
        <f t="shared" si="9"/>
        <v>0</v>
      </c>
      <c r="AF25" s="391">
        <f>'P-IV'!M24</f>
        <v>0</v>
      </c>
      <c r="AG25" s="466" t="str">
        <f>IF(AE25='P-IV'!M24,"",FALSE)</f>
        <v/>
      </c>
      <c r="AH25" s="335"/>
    </row>
    <row r="26" spans="1:34" ht="20.100000000000001" customHeight="1" x14ac:dyDescent="0.25">
      <c r="A26" s="118">
        <v>367</v>
      </c>
      <c r="B26" s="118"/>
      <c r="C26" s="181" t="s">
        <v>1486</v>
      </c>
      <c r="D26" s="235">
        <v>0</v>
      </c>
      <c r="E26" s="235">
        <v>0</v>
      </c>
      <c r="F26" s="235">
        <v>0</v>
      </c>
      <c r="G26" s="235">
        <v>0</v>
      </c>
      <c r="H26" s="235">
        <v>0</v>
      </c>
      <c r="I26" s="235">
        <v>0</v>
      </c>
      <c r="J26" s="415">
        <f t="shared" si="6"/>
        <v>0</v>
      </c>
      <c r="K26" s="391">
        <f>'P-IV'!J25</f>
        <v>0</v>
      </c>
      <c r="L26" s="466" t="str">
        <f>IF(J26='P-IV'!J25,"",FALSE)</f>
        <v/>
      </c>
      <c r="M26" s="235">
        <v>0</v>
      </c>
      <c r="N26" s="235">
        <v>0</v>
      </c>
      <c r="O26" s="235">
        <v>0</v>
      </c>
      <c r="P26" s="235">
        <v>0</v>
      </c>
      <c r="Q26" s="235">
        <v>0</v>
      </c>
      <c r="R26" s="235">
        <v>0</v>
      </c>
      <c r="S26" s="415">
        <f t="shared" si="7"/>
        <v>0</v>
      </c>
      <c r="T26" s="391">
        <f>'P-IV'!K25</f>
        <v>0</v>
      </c>
      <c r="U26" s="466" t="str">
        <f>IF(S26='P-IV'!K25,"",FALSE)</f>
        <v/>
      </c>
      <c r="V26" s="253">
        <v>0</v>
      </c>
      <c r="W26" s="253">
        <v>0</v>
      </c>
      <c r="X26" s="253">
        <v>0</v>
      </c>
      <c r="Y26" s="253">
        <v>0</v>
      </c>
      <c r="Z26" s="253">
        <v>0</v>
      </c>
      <c r="AA26" s="253">
        <v>0</v>
      </c>
      <c r="AB26" s="415">
        <f t="shared" si="8"/>
        <v>0</v>
      </c>
      <c r="AC26" s="391">
        <f>'P-IV'!L25</f>
        <v>0</v>
      </c>
      <c r="AD26" s="466" t="str">
        <f>IF(AB26='P-IV'!L25,"",FALSE)</f>
        <v/>
      </c>
      <c r="AE26" s="415">
        <f t="shared" si="9"/>
        <v>0</v>
      </c>
      <c r="AF26" s="391">
        <f>'P-IV'!M25</f>
        <v>0</v>
      </c>
      <c r="AG26" s="466" t="str">
        <f>IF(AE26='P-IV'!M25,"",FALSE)</f>
        <v/>
      </c>
      <c r="AH26" s="335"/>
    </row>
    <row r="27" spans="1:34" ht="20.100000000000001" customHeight="1" x14ac:dyDescent="0.25">
      <c r="A27" s="262">
        <v>368</v>
      </c>
      <c r="B27" s="118">
        <v>6</v>
      </c>
      <c r="C27" s="10" t="s">
        <v>62</v>
      </c>
      <c r="D27" s="235">
        <v>1</v>
      </c>
      <c r="E27" s="235">
        <v>0</v>
      </c>
      <c r="F27" s="235">
        <v>0</v>
      </c>
      <c r="G27" s="235">
        <v>0</v>
      </c>
      <c r="H27" s="235">
        <v>0</v>
      </c>
      <c r="I27" s="235">
        <v>0</v>
      </c>
      <c r="J27" s="415">
        <f t="shared" si="6"/>
        <v>1</v>
      </c>
      <c r="K27" s="391">
        <f>'P-IV'!J26</f>
        <v>1</v>
      </c>
      <c r="L27" s="466" t="str">
        <f>IF(J27='P-IV'!J26,"",FALSE)</f>
        <v/>
      </c>
      <c r="M27" s="235">
        <v>1</v>
      </c>
      <c r="N27" s="235">
        <v>0</v>
      </c>
      <c r="O27" s="235">
        <v>0</v>
      </c>
      <c r="P27" s="235">
        <v>0</v>
      </c>
      <c r="Q27" s="235">
        <v>0</v>
      </c>
      <c r="R27" s="235">
        <v>0</v>
      </c>
      <c r="S27" s="415">
        <f t="shared" si="7"/>
        <v>1</v>
      </c>
      <c r="T27" s="391">
        <f>'P-IV'!K26</f>
        <v>1</v>
      </c>
      <c r="U27" s="466" t="str">
        <f>IF(S27='P-IV'!K26,"",FALSE)</f>
        <v/>
      </c>
      <c r="V27" s="253">
        <v>0</v>
      </c>
      <c r="W27" s="253">
        <v>0</v>
      </c>
      <c r="X27" s="253">
        <v>0</v>
      </c>
      <c r="Y27" s="253">
        <v>0</v>
      </c>
      <c r="Z27" s="253">
        <v>0</v>
      </c>
      <c r="AA27" s="253">
        <v>0</v>
      </c>
      <c r="AB27" s="415">
        <f t="shared" si="8"/>
        <v>0</v>
      </c>
      <c r="AC27" s="391">
        <f>'P-IV'!L26</f>
        <v>0</v>
      </c>
      <c r="AD27" s="466" t="str">
        <f>IF(AB27='P-IV'!L26,"",FALSE)</f>
        <v/>
      </c>
      <c r="AE27" s="415">
        <f t="shared" si="9"/>
        <v>2</v>
      </c>
      <c r="AF27" s="391">
        <f>'P-IV'!M26</f>
        <v>2</v>
      </c>
      <c r="AG27" s="466" t="str">
        <f>IF(AE27='P-IV'!M26,"",FALSE)</f>
        <v/>
      </c>
      <c r="AH27" s="335"/>
    </row>
    <row r="28" spans="1:34" ht="20.100000000000001" customHeight="1" x14ac:dyDescent="0.25">
      <c r="A28" s="118">
        <v>369</v>
      </c>
      <c r="B28" s="118">
        <v>7</v>
      </c>
      <c r="C28" s="10" t="s">
        <v>63</v>
      </c>
      <c r="D28" s="235">
        <v>0</v>
      </c>
      <c r="E28" s="235">
        <v>0</v>
      </c>
      <c r="F28" s="235">
        <v>0</v>
      </c>
      <c r="G28" s="235">
        <v>0</v>
      </c>
      <c r="H28" s="235">
        <v>1</v>
      </c>
      <c r="I28" s="235">
        <v>0</v>
      </c>
      <c r="J28" s="415">
        <f t="shared" si="6"/>
        <v>1</v>
      </c>
      <c r="K28" s="391">
        <f>'P-IV'!J27</f>
        <v>1</v>
      </c>
      <c r="L28" s="466" t="str">
        <f>IF(J28='P-IV'!J27,"",FALSE)</f>
        <v/>
      </c>
      <c r="M28" s="235">
        <v>0</v>
      </c>
      <c r="N28" s="235">
        <v>0</v>
      </c>
      <c r="O28" s="235">
        <v>0</v>
      </c>
      <c r="P28" s="235">
        <v>1</v>
      </c>
      <c r="Q28" s="235">
        <v>0</v>
      </c>
      <c r="R28" s="235">
        <v>0</v>
      </c>
      <c r="S28" s="415">
        <f t="shared" si="7"/>
        <v>1</v>
      </c>
      <c r="T28" s="391">
        <f>'P-IV'!K27</f>
        <v>1</v>
      </c>
      <c r="U28" s="466" t="str">
        <f>IF(S28='P-IV'!K27,"",FALSE)</f>
        <v/>
      </c>
      <c r="V28" s="253">
        <v>0</v>
      </c>
      <c r="W28" s="253">
        <v>0</v>
      </c>
      <c r="X28" s="253">
        <v>0</v>
      </c>
      <c r="Y28" s="253">
        <v>0</v>
      </c>
      <c r="Z28" s="253">
        <v>0</v>
      </c>
      <c r="AA28" s="253">
        <v>0</v>
      </c>
      <c r="AB28" s="415">
        <f t="shared" si="8"/>
        <v>0</v>
      </c>
      <c r="AC28" s="391">
        <f>'P-IV'!L27</f>
        <v>0</v>
      </c>
      <c r="AD28" s="466" t="str">
        <f>IF(AB28='P-IV'!L27,"",FALSE)</f>
        <v/>
      </c>
      <c r="AE28" s="415">
        <f t="shared" si="9"/>
        <v>2</v>
      </c>
      <c r="AF28" s="391">
        <f>'P-IV'!M27</f>
        <v>2</v>
      </c>
      <c r="AG28" s="466" t="str">
        <f>IF(AE28='P-IV'!M27,"",FALSE)</f>
        <v/>
      </c>
      <c r="AH28" s="335"/>
    </row>
    <row r="29" spans="1:34" ht="20.100000000000001" customHeight="1" x14ac:dyDescent="0.25">
      <c r="A29" s="262">
        <v>390</v>
      </c>
      <c r="B29" s="446">
        <v>8</v>
      </c>
      <c r="C29" s="440" t="s">
        <v>1488</v>
      </c>
      <c r="D29" s="447">
        <f t="shared" ref="D29:J29" si="22">SUM(D9,D13,D16:D18,D27:D28)</f>
        <v>2</v>
      </c>
      <c r="E29" s="447">
        <f t="shared" si="22"/>
        <v>0</v>
      </c>
      <c r="F29" s="447">
        <f t="shared" si="22"/>
        <v>1</v>
      </c>
      <c r="G29" s="447">
        <f t="shared" si="22"/>
        <v>5</v>
      </c>
      <c r="H29" s="447">
        <f t="shared" si="22"/>
        <v>10</v>
      </c>
      <c r="I29" s="447">
        <f t="shared" si="22"/>
        <v>6</v>
      </c>
      <c r="J29" s="447">
        <f t="shared" si="22"/>
        <v>24</v>
      </c>
      <c r="K29" s="391">
        <f>'P-IV'!J28</f>
        <v>24</v>
      </c>
      <c r="L29" s="430" t="str">
        <f>IF(J29='P-IV'!J28,"",FALSE)</f>
        <v/>
      </c>
      <c r="M29" s="447">
        <f t="shared" ref="M29:S29" si="23">SUM(M9,M13,M16:M18,M27:M28)</f>
        <v>1</v>
      </c>
      <c r="N29" s="447">
        <f t="shared" si="23"/>
        <v>0</v>
      </c>
      <c r="O29" s="447">
        <f t="shared" si="23"/>
        <v>1</v>
      </c>
      <c r="P29" s="447">
        <f t="shared" si="23"/>
        <v>1</v>
      </c>
      <c r="Q29" s="447">
        <f t="shared" si="23"/>
        <v>0</v>
      </c>
      <c r="R29" s="447">
        <f t="shared" si="23"/>
        <v>4</v>
      </c>
      <c r="S29" s="447">
        <f t="shared" si="23"/>
        <v>7</v>
      </c>
      <c r="T29" s="391">
        <f>'P-IV'!K28</f>
        <v>7</v>
      </c>
      <c r="U29" s="430" t="str">
        <f>IF(S29='P-IV'!K28,"",FALSE)</f>
        <v/>
      </c>
      <c r="V29" s="447">
        <f t="shared" ref="V29:AB29" si="24">SUM(V9,V13,V16:V18,V27:V28)</f>
        <v>0</v>
      </c>
      <c r="W29" s="447">
        <f t="shared" si="24"/>
        <v>0</v>
      </c>
      <c r="X29" s="447">
        <f t="shared" si="24"/>
        <v>0</v>
      </c>
      <c r="Y29" s="447">
        <f t="shared" si="24"/>
        <v>0</v>
      </c>
      <c r="Z29" s="447">
        <f t="shared" si="24"/>
        <v>0</v>
      </c>
      <c r="AA29" s="447">
        <f t="shared" si="24"/>
        <v>0</v>
      </c>
      <c r="AB29" s="447">
        <f t="shared" si="24"/>
        <v>0</v>
      </c>
      <c r="AC29" s="391">
        <f>'P-IV'!L28</f>
        <v>0</v>
      </c>
      <c r="AD29" s="430" t="str">
        <f>IF(AB29='P-IV'!L28,"",FALSE)</f>
        <v/>
      </c>
      <c r="AE29" s="447">
        <f>SUM(AE9,AE13,AE16:AE18,AE27:AE28)</f>
        <v>31</v>
      </c>
      <c r="AF29" s="391">
        <f>'P-IV'!M28</f>
        <v>31</v>
      </c>
      <c r="AG29" s="430" t="str">
        <f>IF(AE29='P-IV'!M28,"",FALSE)</f>
        <v/>
      </c>
      <c r="AH29" s="335"/>
    </row>
    <row r="200" spans="53:87" x14ac:dyDescent="0.25">
      <c r="BA200" s="141" t="str">
        <f>A1</f>
        <v>Goa, , ADSI-2021</v>
      </c>
    </row>
    <row r="201" spans="53:87" x14ac:dyDescent="0.25">
      <c r="BA201" s="141" t="str">
        <f>A2</f>
        <v>Errors</v>
      </c>
      <c r="BB201" s="309">
        <f>C2</f>
        <v>0</v>
      </c>
    </row>
    <row r="202" spans="53:87" x14ac:dyDescent="0.25">
      <c r="BA202" s="141" t="str">
        <f>A3</f>
        <v>Proforma–V</v>
      </c>
      <c r="BB202"/>
      <c r="BC202"/>
      <c r="BD202"/>
      <c r="BE202"/>
      <c r="BF202"/>
      <c r="BG202"/>
      <c r="BH202"/>
      <c r="BI202"/>
      <c r="BJ202" s="148"/>
      <c r="BL202"/>
      <c r="BM202"/>
      <c r="BN202"/>
      <c r="BO202"/>
      <c r="BP202"/>
      <c r="BQ202"/>
      <c r="BR202"/>
      <c r="BS202"/>
      <c r="BT202"/>
      <c r="BU202"/>
      <c r="BV202"/>
      <c r="BW202"/>
      <c r="BX202"/>
      <c r="BY202"/>
      <c r="BZ202"/>
      <c r="CA202"/>
      <c r="CB202"/>
      <c r="CC202" s="148"/>
      <c r="CD202" s="134"/>
      <c r="CE202"/>
      <c r="CF202"/>
      <c r="CG202"/>
      <c r="CH202"/>
      <c r="CI202"/>
    </row>
    <row r="203" spans="53:87" x14ac:dyDescent="0.25">
      <c r="BA203" s="141" t="str">
        <f>A4</f>
        <v>Age Wise Distribution of Accidental Deaths by Other than Un-natural Causes</v>
      </c>
      <c r="BB203"/>
      <c r="BC203"/>
      <c r="BD203"/>
      <c r="BE203"/>
      <c r="BF203"/>
      <c r="BG203"/>
      <c r="BH203"/>
      <c r="BI203"/>
      <c r="BL203"/>
      <c r="BM203"/>
      <c r="BN203"/>
      <c r="BO203"/>
      <c r="BP203"/>
      <c r="BQ203"/>
      <c r="BR203"/>
      <c r="BS203"/>
      <c r="BT203"/>
      <c r="BU203"/>
      <c r="BV203"/>
      <c r="BW203"/>
      <c r="BX203"/>
      <c r="BY203"/>
      <c r="BZ203"/>
      <c r="CA203"/>
      <c r="CB203"/>
      <c r="CC203" s="134"/>
      <c r="CD203" s="145"/>
      <c r="CE203"/>
      <c r="CF203"/>
      <c r="CG203"/>
      <c r="CH203"/>
      <c r="CI203"/>
    </row>
    <row r="204" spans="53:87" x14ac:dyDescent="0.25">
      <c r="BA204" s="602" t="str">
        <f>B5</f>
        <v>Sl. No.</v>
      </c>
      <c r="BB204" s="602" t="str">
        <f>C5</f>
        <v>Causes</v>
      </c>
      <c r="BC204" s="619" t="str">
        <f>D5</f>
        <v>N u m b e r       o f      A c c i d e n t a l       D e a t h s</v>
      </c>
      <c r="BD204" s="620"/>
      <c r="BE204" s="620"/>
      <c r="BF204" s="620"/>
      <c r="BG204" s="620"/>
      <c r="BH204" s="620"/>
      <c r="BI204" s="620"/>
      <c r="BJ204" s="620"/>
      <c r="BK204" s="620"/>
      <c r="BL204" s="620"/>
      <c r="BM204" s="620"/>
      <c r="BN204" s="620"/>
      <c r="BO204" s="620"/>
      <c r="BP204" s="620"/>
      <c r="BQ204" s="620"/>
      <c r="BR204" s="620"/>
      <c r="BS204" s="620"/>
      <c r="BT204" s="620"/>
      <c r="BU204" s="620"/>
      <c r="BV204" s="620"/>
      <c r="BW204" s="620"/>
      <c r="BX204" s="620"/>
      <c r="BY204" s="620"/>
      <c r="BZ204" s="620"/>
      <c r="CA204" s="620"/>
      <c r="CB204" s="620"/>
      <c r="CC204" s="621"/>
      <c r="CD204" s="602" t="str">
        <f>AE5</f>
        <v>Grand Total [Col. (9)+(16)+(23)]</v>
      </c>
      <c r="CE204" s="602" t="str">
        <f>AF5</f>
        <v xml:space="preserve"> PROFORMA–IV VALUES [Col.–(11) (Total Died)]</v>
      </c>
      <c r="CF204" s="647" t="str">
        <f>AG5</f>
        <v>VALIDATION  WITH PROFORMA–IV [Col.–(11) (Total Died)]</v>
      </c>
      <c r="CG204"/>
      <c r="CH204"/>
      <c r="CI204"/>
    </row>
    <row r="205" spans="53:87" x14ac:dyDescent="0.25">
      <c r="BA205" s="603"/>
      <c r="BB205" s="603"/>
      <c r="BC205" s="619" t="str">
        <f t="shared" ref="BC205:BC227" si="25">D6</f>
        <v>M a l e</v>
      </c>
      <c r="BD205" s="620"/>
      <c r="BE205" s="620"/>
      <c r="BF205" s="620"/>
      <c r="BG205" s="620"/>
      <c r="BH205" s="620"/>
      <c r="BI205" s="620"/>
      <c r="BJ205" s="620"/>
      <c r="BK205" s="621"/>
      <c r="BL205" s="619" t="str">
        <f t="shared" ref="BL205:BL227" si="26">M6</f>
        <v>F e m a l e</v>
      </c>
      <c r="BM205" s="620"/>
      <c r="BN205" s="620"/>
      <c r="BO205" s="620"/>
      <c r="BP205" s="620"/>
      <c r="BQ205" s="620"/>
      <c r="BR205" s="620"/>
      <c r="BS205" s="620"/>
      <c r="BT205" s="621"/>
      <c r="BU205" s="619" t="str">
        <f t="shared" ref="BU205:BU227" si="27">V6</f>
        <v>Transgender</v>
      </c>
      <c r="BV205" s="620"/>
      <c r="BW205" s="620"/>
      <c r="BX205" s="620"/>
      <c r="BY205" s="620"/>
      <c r="BZ205" s="620"/>
      <c r="CA205" s="620"/>
      <c r="CB205" s="620"/>
      <c r="CC205" s="621"/>
      <c r="CD205" s="603"/>
      <c r="CE205" s="603"/>
      <c r="CF205" s="647"/>
      <c r="CG205"/>
      <c r="CH205"/>
      <c r="CI205"/>
    </row>
    <row r="206" spans="53:87" ht="51" x14ac:dyDescent="0.25">
      <c r="BA206" s="604"/>
      <c r="BB206" s="604"/>
      <c r="BC206" s="139" t="str">
        <f t="shared" si="25"/>
        <v>below 14 years</v>
      </c>
      <c r="BD206" s="139" t="str">
        <f t="shared" ref="BD206:BK206" si="28">E7</f>
        <v>14 and above – below 18 yrs</v>
      </c>
      <c r="BE206" s="139" t="str">
        <f t="shared" si="28"/>
        <v>18 and above-below 30 years</v>
      </c>
      <c r="BF206" s="139" t="str">
        <f t="shared" si="28"/>
        <v>30 and above – below 45 years</v>
      </c>
      <c r="BG206" s="139" t="str">
        <f t="shared" si="28"/>
        <v>45 and above – below 60 years</v>
      </c>
      <c r="BH206" s="139" t="str">
        <f t="shared" si="28"/>
        <v>60 years &amp; above</v>
      </c>
      <c r="BI206" s="139" t="str">
        <f t="shared" si="28"/>
        <v xml:space="preserve"> Total 
[sum of  (3) to (8)]</v>
      </c>
      <c r="BJ206" s="602" t="str">
        <f t="shared" si="28"/>
        <v xml:space="preserve"> PROFORMA–IV VALUES [Col.–(8) (Male Died)]</v>
      </c>
      <c r="BK206" s="602" t="str">
        <f t="shared" si="28"/>
        <v>VALIDATION  WITH PROFORMA–IV [Col.–(8) (Male Died)]</v>
      </c>
      <c r="BL206" s="139" t="str">
        <f t="shared" si="26"/>
        <v>below 14 years</v>
      </c>
      <c r="BM206" s="139" t="str">
        <f t="shared" ref="BM206:BT206" si="29">N7</f>
        <v>14 and above – below 18 yrs</v>
      </c>
      <c r="BN206" s="139" t="str">
        <f t="shared" si="29"/>
        <v>18 and above-below 30 years</v>
      </c>
      <c r="BO206" s="139" t="str">
        <f t="shared" si="29"/>
        <v>30 and above – below 45 years</v>
      </c>
      <c r="BP206" s="139" t="str">
        <f t="shared" si="29"/>
        <v>45 and above – below 60 years</v>
      </c>
      <c r="BQ206" s="139" t="str">
        <f t="shared" si="29"/>
        <v>60 years &amp; above</v>
      </c>
      <c r="BR206" s="139" t="str">
        <f t="shared" si="29"/>
        <v>Total [sum of (10) to (15)]</v>
      </c>
      <c r="BS206" s="602" t="str">
        <f t="shared" si="29"/>
        <v xml:space="preserve"> PROFORMA–IV VALUES [Col.–(9) (Female Died)]</v>
      </c>
      <c r="BT206" s="602" t="str">
        <f t="shared" si="29"/>
        <v>VALIDATION  WITH PROFORMA–IV [Col.–(9) (Female Died)]</v>
      </c>
      <c r="BU206" s="139" t="str">
        <f t="shared" si="27"/>
        <v>below 14 years</v>
      </c>
      <c r="BV206" s="139" t="str">
        <f t="shared" ref="BV206:CC206" si="30">W7</f>
        <v>14 and above – below 18 yrs</v>
      </c>
      <c r="BW206" s="139" t="str">
        <f t="shared" si="30"/>
        <v>18 and above-below 30 years</v>
      </c>
      <c r="BX206" s="139" t="str">
        <f t="shared" si="30"/>
        <v>30 and above – below 45 years</v>
      </c>
      <c r="BY206" s="139" t="str">
        <f t="shared" si="30"/>
        <v>45 and above – below 60 years</v>
      </c>
      <c r="BZ206" s="139" t="str">
        <f t="shared" si="30"/>
        <v>60 years &amp; above</v>
      </c>
      <c r="CA206" s="139" t="str">
        <f t="shared" si="30"/>
        <v>Total [sum of (17) to (22)]</v>
      </c>
      <c r="CB206" s="647" t="str">
        <f t="shared" si="30"/>
        <v xml:space="preserve"> PROFORMA–IV VALUES [Col.–(10) Transgender Died)]</v>
      </c>
      <c r="CC206" s="647" t="str">
        <f t="shared" si="30"/>
        <v>VALIDATION  WITH PROFORMA–IV [Col.–(10) Transgender Died)]</v>
      </c>
      <c r="CD206" s="604"/>
      <c r="CE206" s="603"/>
      <c r="CF206" s="647"/>
      <c r="CG206"/>
      <c r="CH206"/>
      <c r="CI206"/>
    </row>
    <row r="207" spans="53:87" x14ac:dyDescent="0.25">
      <c r="BA207" s="138" t="str">
        <f>B8</f>
        <v>(1)</v>
      </c>
      <c r="BB207" s="138" t="str">
        <f>C8</f>
        <v>(2)</v>
      </c>
      <c r="BC207" s="138" t="str">
        <f t="shared" si="25"/>
        <v>(3)</v>
      </c>
      <c r="BD207" s="138" t="str">
        <f t="shared" ref="BD207:BD227" si="31">E8</f>
        <v>(4)</v>
      </c>
      <c r="BE207" s="138" t="str">
        <f t="shared" ref="BE207:BE227" si="32">F8</f>
        <v>(5)</v>
      </c>
      <c r="BF207" s="138" t="str">
        <f t="shared" ref="BF207:BF227" si="33">G8</f>
        <v>(6)</v>
      </c>
      <c r="BG207" s="138" t="str">
        <f t="shared" ref="BG207:BG227" si="34">H8</f>
        <v>(7)</v>
      </c>
      <c r="BH207" s="138" t="str">
        <f t="shared" ref="BH207:BH227" si="35">I8</f>
        <v>(8)</v>
      </c>
      <c r="BI207" s="138" t="str">
        <f t="shared" ref="BI207:BI227" si="36">J8</f>
        <v>(9)</v>
      </c>
      <c r="BJ207" s="604"/>
      <c r="BK207" s="604"/>
      <c r="BL207" s="138" t="str">
        <f t="shared" si="26"/>
        <v>(10)</v>
      </c>
      <c r="BM207" s="138" t="str">
        <f t="shared" ref="BM207:BM227" si="37">N8</f>
        <v>(11)</v>
      </c>
      <c r="BN207" s="138" t="str">
        <f t="shared" ref="BN207:BN227" si="38">O8</f>
        <v>(12)</v>
      </c>
      <c r="BO207" s="138" t="str">
        <f t="shared" ref="BO207:BO227" si="39">P8</f>
        <v>(13)</v>
      </c>
      <c r="BP207" s="138" t="str">
        <f t="shared" ref="BP207:BP227" si="40">Q8</f>
        <v>(14)</v>
      </c>
      <c r="BQ207" s="138" t="str">
        <f t="shared" ref="BQ207:BQ227" si="41">R8</f>
        <v>(15)</v>
      </c>
      <c r="BR207" s="138" t="str">
        <f t="shared" ref="BR207:BR227" si="42">S8</f>
        <v>(16)</v>
      </c>
      <c r="BS207" s="604"/>
      <c r="BT207" s="604"/>
      <c r="BU207" s="138" t="str">
        <f t="shared" si="27"/>
        <v>(17)</v>
      </c>
      <c r="BV207" s="138" t="str">
        <f t="shared" ref="BV207:BV227" si="43">W8</f>
        <v>(18)</v>
      </c>
      <c r="BW207" s="138" t="str">
        <f t="shared" ref="BW207:BW227" si="44">X8</f>
        <v>(19)</v>
      </c>
      <c r="BX207" s="138" t="str">
        <f t="shared" ref="BX207:BX227" si="45">Y8</f>
        <v>(20)</v>
      </c>
      <c r="BY207" s="138" t="str">
        <f t="shared" ref="BY207:BY227" si="46">Z8</f>
        <v>(21)</v>
      </c>
      <c r="BZ207" s="138" t="str">
        <f t="shared" ref="BZ207:BZ227" si="47">AA8</f>
        <v>(22)</v>
      </c>
      <c r="CA207" s="138" t="str">
        <f t="shared" ref="CA207:CA227" si="48">AB8</f>
        <v>(23)</v>
      </c>
      <c r="CB207" s="647"/>
      <c r="CC207" s="647"/>
      <c r="CD207" s="138" t="str">
        <f t="shared" ref="CD207:CD227" si="49">AE8</f>
        <v>(24)</v>
      </c>
      <c r="CE207" s="604"/>
      <c r="CF207" s="647"/>
      <c r="CG207"/>
      <c r="CH207"/>
      <c r="CI207"/>
    </row>
    <row r="208" spans="53:87" x14ac:dyDescent="0.25">
      <c r="BA208" s="138">
        <f>B9</f>
        <v>1</v>
      </c>
      <c r="BB208" s="136" t="str">
        <f>C9</f>
        <v>Sudden Deaths (Total) (sum of 1.1 to 1.3)</v>
      </c>
      <c r="BC208" s="136">
        <f t="shared" si="25"/>
        <v>1</v>
      </c>
      <c r="BD208" s="136">
        <f t="shared" si="31"/>
        <v>0</v>
      </c>
      <c r="BE208" s="136">
        <f t="shared" si="32"/>
        <v>1</v>
      </c>
      <c r="BF208" s="136">
        <f t="shared" si="33"/>
        <v>5</v>
      </c>
      <c r="BG208" s="136">
        <f t="shared" si="34"/>
        <v>5</v>
      </c>
      <c r="BH208" s="136">
        <f t="shared" si="35"/>
        <v>5</v>
      </c>
      <c r="BI208" s="136">
        <f t="shared" si="36"/>
        <v>17</v>
      </c>
      <c r="BJ208" s="136">
        <f t="shared" ref="BJ208:BJ227" si="50">K9</f>
        <v>17</v>
      </c>
      <c r="BK208" s="136" t="str">
        <f t="shared" ref="BK208:BK227" si="51">L9</f>
        <v/>
      </c>
      <c r="BL208" s="136">
        <f t="shared" si="26"/>
        <v>0</v>
      </c>
      <c r="BM208" s="136">
        <f t="shared" si="37"/>
        <v>0</v>
      </c>
      <c r="BN208" s="136">
        <f t="shared" si="38"/>
        <v>1</v>
      </c>
      <c r="BO208" s="136">
        <f t="shared" si="39"/>
        <v>0</v>
      </c>
      <c r="BP208" s="136">
        <f t="shared" si="40"/>
        <v>0</v>
      </c>
      <c r="BQ208" s="136">
        <f t="shared" si="41"/>
        <v>1</v>
      </c>
      <c r="BR208" s="136">
        <f t="shared" si="42"/>
        <v>2</v>
      </c>
      <c r="BS208" s="136">
        <f t="shared" ref="BS208:BS227" si="52">T9</f>
        <v>2</v>
      </c>
      <c r="BT208" s="136" t="str">
        <f t="shared" ref="BT208:BT227" si="53">U9</f>
        <v/>
      </c>
      <c r="BU208" s="136">
        <f t="shared" si="27"/>
        <v>0</v>
      </c>
      <c r="BV208" s="136">
        <f t="shared" si="43"/>
        <v>0</v>
      </c>
      <c r="BW208" s="136">
        <f t="shared" si="44"/>
        <v>0</v>
      </c>
      <c r="BX208" s="136">
        <f t="shared" si="45"/>
        <v>0</v>
      </c>
      <c r="BY208" s="136">
        <f t="shared" si="46"/>
        <v>0</v>
      </c>
      <c r="BZ208" s="136">
        <f t="shared" si="47"/>
        <v>0</v>
      </c>
      <c r="CA208" s="136">
        <f t="shared" si="48"/>
        <v>0</v>
      </c>
      <c r="CB208" s="136">
        <f t="shared" ref="CB208:CB227" si="54">AC9</f>
        <v>0</v>
      </c>
      <c r="CC208" s="136" t="str">
        <f t="shared" ref="CC208:CC227" si="55">AD9</f>
        <v/>
      </c>
      <c r="CD208" s="136">
        <f t="shared" si="49"/>
        <v>19</v>
      </c>
      <c r="CE208" s="136">
        <f t="shared" ref="CE208:CE227" si="56">AF9</f>
        <v>19</v>
      </c>
      <c r="CF208" s="136" t="str">
        <f t="shared" ref="CF208:CF227" si="57">AG9</f>
        <v/>
      </c>
      <c r="CG208"/>
      <c r="CH208"/>
      <c r="CI208"/>
    </row>
    <row r="209" spans="53:87" x14ac:dyDescent="0.25">
      <c r="BA209" s="138"/>
      <c r="BB209" s="154" t="str">
        <f t="shared" ref="BB209:BB227" si="58">C10</f>
        <v>1.1 Industrial Accidents</v>
      </c>
      <c r="BC209" s="136">
        <f t="shared" si="25"/>
        <v>0</v>
      </c>
      <c r="BD209" s="136">
        <f t="shared" si="31"/>
        <v>0</v>
      </c>
      <c r="BE209" s="136">
        <f t="shared" si="32"/>
        <v>0</v>
      </c>
      <c r="BF209" s="136">
        <f t="shared" si="33"/>
        <v>0</v>
      </c>
      <c r="BG209" s="136">
        <f t="shared" si="34"/>
        <v>0</v>
      </c>
      <c r="BH209" s="136">
        <f t="shared" si="35"/>
        <v>0</v>
      </c>
      <c r="BI209" s="136">
        <f t="shared" si="36"/>
        <v>0</v>
      </c>
      <c r="BJ209" s="136">
        <f t="shared" si="50"/>
        <v>0</v>
      </c>
      <c r="BK209" s="136" t="str">
        <f t="shared" si="51"/>
        <v/>
      </c>
      <c r="BL209" s="136">
        <f t="shared" si="26"/>
        <v>0</v>
      </c>
      <c r="BM209" s="136">
        <f t="shared" si="37"/>
        <v>0</v>
      </c>
      <c r="BN209" s="136">
        <f t="shared" si="38"/>
        <v>0</v>
      </c>
      <c r="BO209" s="136">
        <f t="shared" si="39"/>
        <v>0</v>
      </c>
      <c r="BP209" s="136">
        <f t="shared" si="40"/>
        <v>0</v>
      </c>
      <c r="BQ209" s="136">
        <f t="shared" si="41"/>
        <v>0</v>
      </c>
      <c r="BR209" s="136">
        <f t="shared" si="42"/>
        <v>0</v>
      </c>
      <c r="BS209" s="136">
        <f t="shared" si="52"/>
        <v>0</v>
      </c>
      <c r="BT209" s="136" t="str">
        <f t="shared" si="53"/>
        <v/>
      </c>
      <c r="BU209" s="136">
        <f t="shared" si="27"/>
        <v>0</v>
      </c>
      <c r="BV209" s="136">
        <f t="shared" si="43"/>
        <v>0</v>
      </c>
      <c r="BW209" s="136">
        <f t="shared" si="44"/>
        <v>0</v>
      </c>
      <c r="BX209" s="136">
        <f t="shared" si="45"/>
        <v>0</v>
      </c>
      <c r="BY209" s="136">
        <f t="shared" si="46"/>
        <v>0</v>
      </c>
      <c r="BZ209" s="136">
        <f t="shared" si="47"/>
        <v>0</v>
      </c>
      <c r="CA209" s="136">
        <f t="shared" si="48"/>
        <v>0</v>
      </c>
      <c r="CB209" s="136">
        <f t="shared" si="54"/>
        <v>0</v>
      </c>
      <c r="CC209" s="136" t="str">
        <f t="shared" si="55"/>
        <v/>
      </c>
      <c r="CD209" s="136">
        <f t="shared" si="49"/>
        <v>0</v>
      </c>
      <c r="CE209" s="136">
        <f t="shared" si="56"/>
        <v>0</v>
      </c>
      <c r="CF209" s="136" t="str">
        <f t="shared" si="57"/>
        <v/>
      </c>
      <c r="CG209"/>
      <c r="CH209"/>
      <c r="CI209"/>
    </row>
    <row r="210" spans="53:87" x14ac:dyDescent="0.25">
      <c r="BA210" s="138"/>
      <c r="BB210" s="154" t="str">
        <f t="shared" si="58"/>
        <v>1.2 Heart Attack</v>
      </c>
      <c r="BC210" s="136">
        <f t="shared" si="25"/>
        <v>0</v>
      </c>
      <c r="BD210" s="136">
        <f t="shared" si="31"/>
        <v>0</v>
      </c>
      <c r="BE210" s="136">
        <f t="shared" si="32"/>
        <v>1</v>
      </c>
      <c r="BF210" s="136">
        <f t="shared" si="33"/>
        <v>4</v>
      </c>
      <c r="BG210" s="136">
        <f t="shared" si="34"/>
        <v>2</v>
      </c>
      <c r="BH210" s="136">
        <f t="shared" si="35"/>
        <v>2</v>
      </c>
      <c r="BI210" s="136">
        <f t="shared" si="36"/>
        <v>9</v>
      </c>
      <c r="BJ210" s="136">
        <f t="shared" si="50"/>
        <v>9</v>
      </c>
      <c r="BK210" s="136" t="str">
        <f t="shared" si="51"/>
        <v/>
      </c>
      <c r="BL210" s="136">
        <f t="shared" si="26"/>
        <v>0</v>
      </c>
      <c r="BM210" s="136">
        <f t="shared" si="37"/>
        <v>0</v>
      </c>
      <c r="BN210" s="136">
        <f t="shared" si="38"/>
        <v>0</v>
      </c>
      <c r="BO210" s="136">
        <f t="shared" si="39"/>
        <v>0</v>
      </c>
      <c r="BP210" s="136">
        <f t="shared" si="40"/>
        <v>0</v>
      </c>
      <c r="BQ210" s="136">
        <f t="shared" si="41"/>
        <v>1</v>
      </c>
      <c r="BR210" s="136">
        <f t="shared" si="42"/>
        <v>1</v>
      </c>
      <c r="BS210" s="136">
        <f t="shared" si="52"/>
        <v>1</v>
      </c>
      <c r="BT210" s="136" t="str">
        <f t="shared" si="53"/>
        <v/>
      </c>
      <c r="BU210" s="136">
        <f t="shared" si="27"/>
        <v>0</v>
      </c>
      <c r="BV210" s="136">
        <f t="shared" si="43"/>
        <v>0</v>
      </c>
      <c r="BW210" s="136">
        <f t="shared" si="44"/>
        <v>0</v>
      </c>
      <c r="BX210" s="136">
        <f t="shared" si="45"/>
        <v>0</v>
      </c>
      <c r="BY210" s="136">
        <f t="shared" si="46"/>
        <v>0</v>
      </c>
      <c r="BZ210" s="136">
        <f t="shared" si="47"/>
        <v>0</v>
      </c>
      <c r="CA210" s="136">
        <f t="shared" si="48"/>
        <v>0</v>
      </c>
      <c r="CB210" s="136">
        <f t="shared" si="54"/>
        <v>0</v>
      </c>
      <c r="CC210" s="136" t="str">
        <f t="shared" si="55"/>
        <v/>
      </c>
      <c r="CD210" s="136">
        <f t="shared" si="49"/>
        <v>10</v>
      </c>
      <c r="CE210" s="136">
        <f t="shared" si="56"/>
        <v>10</v>
      </c>
      <c r="CF210" s="136" t="str">
        <f t="shared" si="57"/>
        <v/>
      </c>
      <c r="CG210"/>
      <c r="CH210"/>
      <c r="CI210"/>
    </row>
    <row r="211" spans="53:87" x14ac:dyDescent="0.25">
      <c r="BA211" s="138"/>
      <c r="BB211" s="154" t="str">
        <f t="shared" si="58"/>
        <v>1.3 Others</v>
      </c>
      <c r="BC211" s="136">
        <f t="shared" si="25"/>
        <v>1</v>
      </c>
      <c r="BD211" s="136">
        <f t="shared" si="31"/>
        <v>0</v>
      </c>
      <c r="BE211" s="136">
        <f t="shared" si="32"/>
        <v>0</v>
      </c>
      <c r="BF211" s="136">
        <f t="shared" si="33"/>
        <v>1</v>
      </c>
      <c r="BG211" s="136">
        <f t="shared" si="34"/>
        <v>3</v>
      </c>
      <c r="BH211" s="136">
        <f t="shared" si="35"/>
        <v>3</v>
      </c>
      <c r="BI211" s="136">
        <f t="shared" si="36"/>
        <v>8</v>
      </c>
      <c r="BJ211" s="136">
        <f t="shared" si="50"/>
        <v>8</v>
      </c>
      <c r="BK211" s="136" t="str">
        <f t="shared" si="51"/>
        <v/>
      </c>
      <c r="BL211" s="136">
        <f t="shared" si="26"/>
        <v>0</v>
      </c>
      <c r="BM211" s="136">
        <f t="shared" si="37"/>
        <v>0</v>
      </c>
      <c r="BN211" s="136">
        <f t="shared" si="38"/>
        <v>1</v>
      </c>
      <c r="BO211" s="136">
        <f t="shared" si="39"/>
        <v>0</v>
      </c>
      <c r="BP211" s="136">
        <f t="shared" si="40"/>
        <v>0</v>
      </c>
      <c r="BQ211" s="136">
        <f t="shared" si="41"/>
        <v>0</v>
      </c>
      <c r="BR211" s="136">
        <f t="shared" si="42"/>
        <v>1</v>
      </c>
      <c r="BS211" s="136">
        <f t="shared" si="52"/>
        <v>1</v>
      </c>
      <c r="BT211" s="136" t="str">
        <f t="shared" si="53"/>
        <v/>
      </c>
      <c r="BU211" s="136">
        <f t="shared" si="27"/>
        <v>0</v>
      </c>
      <c r="BV211" s="136">
        <f t="shared" si="43"/>
        <v>0</v>
      </c>
      <c r="BW211" s="136">
        <f t="shared" si="44"/>
        <v>0</v>
      </c>
      <c r="BX211" s="136">
        <f t="shared" si="45"/>
        <v>0</v>
      </c>
      <c r="BY211" s="136">
        <f t="shared" si="46"/>
        <v>0</v>
      </c>
      <c r="BZ211" s="136">
        <f t="shared" si="47"/>
        <v>0</v>
      </c>
      <c r="CA211" s="136">
        <f t="shared" si="48"/>
        <v>0</v>
      </c>
      <c r="CB211" s="136">
        <f t="shared" si="54"/>
        <v>0</v>
      </c>
      <c r="CC211" s="136" t="str">
        <f t="shared" si="55"/>
        <v/>
      </c>
      <c r="CD211" s="136">
        <f t="shared" si="49"/>
        <v>9</v>
      </c>
      <c r="CE211" s="136">
        <f t="shared" si="56"/>
        <v>9</v>
      </c>
      <c r="CF211" s="136" t="str">
        <f t="shared" si="57"/>
        <v/>
      </c>
      <c r="CG211"/>
      <c r="CH211"/>
      <c r="CI211"/>
    </row>
    <row r="212" spans="53:87" ht="25.5" x14ac:dyDescent="0.25">
      <c r="BA212" s="138">
        <f>B13</f>
        <v>2</v>
      </c>
      <c r="BB212" s="140" t="str">
        <f t="shared" si="58"/>
        <v>Deaths of Women during Pregnancy (Total) (sum of 2.1 and 2.2)</v>
      </c>
      <c r="BC212" s="136">
        <f t="shared" si="25"/>
        <v>0</v>
      </c>
      <c r="BD212" s="136">
        <f t="shared" si="31"/>
        <v>0</v>
      </c>
      <c r="BE212" s="136">
        <f t="shared" si="32"/>
        <v>0</v>
      </c>
      <c r="BF212" s="136">
        <f t="shared" si="33"/>
        <v>0</v>
      </c>
      <c r="BG212" s="136">
        <f t="shared" si="34"/>
        <v>0</v>
      </c>
      <c r="BH212" s="136">
        <f t="shared" si="35"/>
        <v>0</v>
      </c>
      <c r="BI212" s="136">
        <f t="shared" si="36"/>
        <v>0</v>
      </c>
      <c r="BJ212" s="136">
        <f t="shared" si="50"/>
        <v>0</v>
      </c>
      <c r="BK212" s="136" t="str">
        <f t="shared" si="51"/>
        <v/>
      </c>
      <c r="BL212" s="136">
        <f t="shared" si="26"/>
        <v>0</v>
      </c>
      <c r="BM212" s="136">
        <f t="shared" si="37"/>
        <v>0</v>
      </c>
      <c r="BN212" s="136">
        <f t="shared" si="38"/>
        <v>0</v>
      </c>
      <c r="BO212" s="136">
        <f t="shared" si="39"/>
        <v>0</v>
      </c>
      <c r="BP212" s="136">
        <f t="shared" si="40"/>
        <v>0</v>
      </c>
      <c r="BQ212" s="136">
        <f t="shared" si="41"/>
        <v>0</v>
      </c>
      <c r="BR212" s="136">
        <f t="shared" si="42"/>
        <v>0</v>
      </c>
      <c r="BS212" s="136">
        <f t="shared" si="52"/>
        <v>0</v>
      </c>
      <c r="BT212" s="136" t="str">
        <f t="shared" si="53"/>
        <v/>
      </c>
      <c r="BU212" s="136">
        <f t="shared" si="27"/>
        <v>0</v>
      </c>
      <c r="BV212" s="136">
        <f t="shared" si="43"/>
        <v>0</v>
      </c>
      <c r="BW212" s="136">
        <f t="shared" si="44"/>
        <v>0</v>
      </c>
      <c r="BX212" s="136">
        <f t="shared" si="45"/>
        <v>0</v>
      </c>
      <c r="BY212" s="136">
        <f t="shared" si="46"/>
        <v>0</v>
      </c>
      <c r="BZ212" s="136">
        <f t="shared" si="47"/>
        <v>0</v>
      </c>
      <c r="CA212" s="136">
        <f t="shared" si="48"/>
        <v>0</v>
      </c>
      <c r="CB212" s="136">
        <f t="shared" si="54"/>
        <v>0</v>
      </c>
      <c r="CC212" s="136" t="str">
        <f t="shared" si="55"/>
        <v/>
      </c>
      <c r="CD212" s="136">
        <f t="shared" si="49"/>
        <v>0</v>
      </c>
      <c r="CE212" s="136">
        <f t="shared" si="56"/>
        <v>0</v>
      </c>
      <c r="CF212" s="136" t="str">
        <f t="shared" si="57"/>
        <v/>
      </c>
      <c r="CG212"/>
      <c r="CH212"/>
      <c r="CI212"/>
    </row>
    <row r="213" spans="53:87" x14ac:dyDescent="0.25">
      <c r="BA213" s="138"/>
      <c r="BB213" s="154" t="str">
        <f t="shared" si="58"/>
        <v>2.1 Due  to Abortions</v>
      </c>
      <c r="BC213" s="136">
        <f t="shared" si="25"/>
        <v>0</v>
      </c>
      <c r="BD213" s="136">
        <f t="shared" si="31"/>
        <v>0</v>
      </c>
      <c r="BE213" s="136">
        <f t="shared" si="32"/>
        <v>0</v>
      </c>
      <c r="BF213" s="136">
        <f t="shared" si="33"/>
        <v>0</v>
      </c>
      <c r="BG213" s="136">
        <f t="shared" si="34"/>
        <v>0</v>
      </c>
      <c r="BH213" s="136">
        <f t="shared" si="35"/>
        <v>0</v>
      </c>
      <c r="BI213" s="136">
        <f t="shared" si="36"/>
        <v>0</v>
      </c>
      <c r="BJ213" s="136">
        <f t="shared" si="50"/>
        <v>0</v>
      </c>
      <c r="BK213" s="136" t="str">
        <f t="shared" si="51"/>
        <v/>
      </c>
      <c r="BL213" s="136">
        <f t="shared" si="26"/>
        <v>0</v>
      </c>
      <c r="BM213" s="136">
        <f t="shared" si="37"/>
        <v>0</v>
      </c>
      <c r="BN213" s="136">
        <f t="shared" si="38"/>
        <v>0</v>
      </c>
      <c r="BO213" s="136">
        <f t="shared" si="39"/>
        <v>0</v>
      </c>
      <c r="BP213" s="136">
        <f t="shared" si="40"/>
        <v>0</v>
      </c>
      <c r="BQ213" s="136">
        <f t="shared" si="41"/>
        <v>0</v>
      </c>
      <c r="BR213" s="136">
        <f t="shared" si="42"/>
        <v>0</v>
      </c>
      <c r="BS213" s="136">
        <f t="shared" si="52"/>
        <v>0</v>
      </c>
      <c r="BT213" s="136" t="str">
        <f t="shared" si="53"/>
        <v/>
      </c>
      <c r="BU213" s="136">
        <f t="shared" si="27"/>
        <v>0</v>
      </c>
      <c r="BV213" s="136">
        <f t="shared" si="43"/>
        <v>0</v>
      </c>
      <c r="BW213" s="136">
        <f t="shared" si="44"/>
        <v>0</v>
      </c>
      <c r="BX213" s="136">
        <f t="shared" si="45"/>
        <v>0</v>
      </c>
      <c r="BY213" s="136">
        <f t="shared" si="46"/>
        <v>0</v>
      </c>
      <c r="BZ213" s="136">
        <f t="shared" si="47"/>
        <v>0</v>
      </c>
      <c r="CA213" s="136">
        <f t="shared" si="48"/>
        <v>0</v>
      </c>
      <c r="CB213" s="136">
        <f t="shared" si="54"/>
        <v>0</v>
      </c>
      <c r="CC213" s="136" t="str">
        <f t="shared" si="55"/>
        <v/>
      </c>
      <c r="CD213" s="136">
        <f t="shared" si="49"/>
        <v>0</v>
      </c>
      <c r="CE213" s="136">
        <f t="shared" si="56"/>
        <v>0</v>
      </c>
      <c r="CF213" s="136" t="str">
        <f t="shared" si="57"/>
        <v/>
      </c>
      <c r="CG213"/>
      <c r="CH213"/>
      <c r="CI213"/>
    </row>
    <row r="214" spans="53:87" x14ac:dyDescent="0.25">
      <c r="BA214" s="138"/>
      <c r="BB214" s="154" t="str">
        <f t="shared" si="58"/>
        <v>2.2 Due to Other accidents during Pregnancy</v>
      </c>
      <c r="BC214" s="136">
        <f t="shared" si="25"/>
        <v>0</v>
      </c>
      <c r="BD214" s="136">
        <f t="shared" si="31"/>
        <v>0</v>
      </c>
      <c r="BE214" s="136">
        <f t="shared" si="32"/>
        <v>0</v>
      </c>
      <c r="BF214" s="136">
        <f t="shared" si="33"/>
        <v>0</v>
      </c>
      <c r="BG214" s="136">
        <f t="shared" si="34"/>
        <v>0</v>
      </c>
      <c r="BH214" s="136">
        <f t="shared" si="35"/>
        <v>0</v>
      </c>
      <c r="BI214" s="136">
        <f t="shared" si="36"/>
        <v>0</v>
      </c>
      <c r="BJ214" s="136">
        <f t="shared" si="50"/>
        <v>0</v>
      </c>
      <c r="BK214" s="136" t="str">
        <f t="shared" si="51"/>
        <v/>
      </c>
      <c r="BL214" s="136">
        <f t="shared" si="26"/>
        <v>0</v>
      </c>
      <c r="BM214" s="136">
        <f t="shared" si="37"/>
        <v>0</v>
      </c>
      <c r="BN214" s="136">
        <f t="shared" si="38"/>
        <v>0</v>
      </c>
      <c r="BO214" s="136">
        <f t="shared" si="39"/>
        <v>0</v>
      </c>
      <c r="BP214" s="136">
        <f t="shared" si="40"/>
        <v>0</v>
      </c>
      <c r="BQ214" s="136">
        <f t="shared" si="41"/>
        <v>0</v>
      </c>
      <c r="BR214" s="136">
        <f t="shared" si="42"/>
        <v>0</v>
      </c>
      <c r="BS214" s="136">
        <f t="shared" si="52"/>
        <v>0</v>
      </c>
      <c r="BT214" s="136" t="str">
        <f t="shared" si="53"/>
        <v/>
      </c>
      <c r="BU214" s="136">
        <f t="shared" si="27"/>
        <v>0</v>
      </c>
      <c r="BV214" s="136">
        <f t="shared" si="43"/>
        <v>0</v>
      </c>
      <c r="BW214" s="136">
        <f t="shared" si="44"/>
        <v>0</v>
      </c>
      <c r="BX214" s="136">
        <f t="shared" si="45"/>
        <v>0</v>
      </c>
      <c r="BY214" s="136">
        <f t="shared" si="46"/>
        <v>0</v>
      </c>
      <c r="BZ214" s="136">
        <f t="shared" si="47"/>
        <v>0</v>
      </c>
      <c r="CA214" s="136">
        <f t="shared" si="48"/>
        <v>0</v>
      </c>
      <c r="CB214" s="136">
        <f t="shared" si="54"/>
        <v>0</v>
      </c>
      <c r="CC214" s="136" t="str">
        <f t="shared" si="55"/>
        <v/>
      </c>
      <c r="CD214" s="136">
        <f t="shared" si="49"/>
        <v>0</v>
      </c>
      <c r="CE214" s="136">
        <f t="shared" si="56"/>
        <v>0</v>
      </c>
      <c r="CF214" s="136" t="str">
        <f t="shared" si="57"/>
        <v/>
      </c>
      <c r="CG214"/>
      <c r="CH214"/>
      <c r="CI214"/>
    </row>
    <row r="215" spans="53:87" ht="25.5" x14ac:dyDescent="0.25">
      <c r="BA215" s="138">
        <f>B16</f>
        <v>3</v>
      </c>
      <c r="BB215" s="140" t="str">
        <f t="shared" si="58"/>
        <v>Deaths Due to consumption of Illicit/Spurious Liquor</v>
      </c>
      <c r="BC215" s="136">
        <f t="shared" si="25"/>
        <v>0</v>
      </c>
      <c r="BD215" s="136">
        <f t="shared" si="31"/>
        <v>0</v>
      </c>
      <c r="BE215" s="136">
        <f t="shared" si="32"/>
        <v>0</v>
      </c>
      <c r="BF215" s="136">
        <f t="shared" si="33"/>
        <v>0</v>
      </c>
      <c r="BG215" s="136">
        <f t="shared" si="34"/>
        <v>0</v>
      </c>
      <c r="BH215" s="136">
        <f t="shared" si="35"/>
        <v>0</v>
      </c>
      <c r="BI215" s="136">
        <f t="shared" si="36"/>
        <v>0</v>
      </c>
      <c r="BJ215" s="136">
        <f t="shared" si="50"/>
        <v>0</v>
      </c>
      <c r="BK215" s="136" t="str">
        <f t="shared" si="51"/>
        <v/>
      </c>
      <c r="BL215" s="136">
        <f t="shared" si="26"/>
        <v>0</v>
      </c>
      <c r="BM215" s="136">
        <f t="shared" si="37"/>
        <v>0</v>
      </c>
      <c r="BN215" s="136">
        <f t="shared" si="38"/>
        <v>0</v>
      </c>
      <c r="BO215" s="136">
        <f t="shared" si="39"/>
        <v>0</v>
      </c>
      <c r="BP215" s="136">
        <f t="shared" si="40"/>
        <v>0</v>
      </c>
      <c r="BQ215" s="136">
        <f t="shared" si="41"/>
        <v>0</v>
      </c>
      <c r="BR215" s="136">
        <f t="shared" si="42"/>
        <v>0</v>
      </c>
      <c r="BS215" s="136">
        <f t="shared" si="52"/>
        <v>0</v>
      </c>
      <c r="BT215" s="136" t="str">
        <f t="shared" si="53"/>
        <v/>
      </c>
      <c r="BU215" s="136">
        <f t="shared" si="27"/>
        <v>0</v>
      </c>
      <c r="BV215" s="136">
        <f t="shared" si="43"/>
        <v>0</v>
      </c>
      <c r="BW215" s="136">
        <f t="shared" si="44"/>
        <v>0</v>
      </c>
      <c r="BX215" s="136">
        <f t="shared" si="45"/>
        <v>0</v>
      </c>
      <c r="BY215" s="136">
        <f t="shared" si="46"/>
        <v>0</v>
      </c>
      <c r="BZ215" s="136">
        <f t="shared" si="47"/>
        <v>0</v>
      </c>
      <c r="CA215" s="136">
        <f t="shared" si="48"/>
        <v>0</v>
      </c>
      <c r="CB215" s="136">
        <f t="shared" si="54"/>
        <v>0</v>
      </c>
      <c r="CC215" s="136" t="str">
        <f t="shared" si="55"/>
        <v/>
      </c>
      <c r="CD215" s="136">
        <f t="shared" si="49"/>
        <v>0</v>
      </c>
      <c r="CE215" s="136">
        <f t="shared" si="56"/>
        <v>0</v>
      </c>
      <c r="CF215" s="136" t="str">
        <f t="shared" si="57"/>
        <v/>
      </c>
      <c r="CG215"/>
      <c r="CH215"/>
      <c r="CI215"/>
    </row>
    <row r="216" spans="53:87" x14ac:dyDescent="0.25">
      <c r="BA216" s="138">
        <f>B17</f>
        <v>4</v>
      </c>
      <c r="BB216" s="136" t="str">
        <f t="shared" si="58"/>
        <v>Killed by animals</v>
      </c>
      <c r="BC216" s="136">
        <f t="shared" si="25"/>
        <v>0</v>
      </c>
      <c r="BD216" s="136">
        <f t="shared" si="31"/>
        <v>0</v>
      </c>
      <c r="BE216" s="136">
        <f t="shared" si="32"/>
        <v>0</v>
      </c>
      <c r="BF216" s="136">
        <f t="shared" si="33"/>
        <v>0</v>
      </c>
      <c r="BG216" s="136">
        <f t="shared" si="34"/>
        <v>1</v>
      </c>
      <c r="BH216" s="136">
        <f t="shared" si="35"/>
        <v>0</v>
      </c>
      <c r="BI216" s="136">
        <f t="shared" si="36"/>
        <v>1</v>
      </c>
      <c r="BJ216" s="136">
        <f t="shared" si="50"/>
        <v>1</v>
      </c>
      <c r="BK216" s="136" t="str">
        <f t="shared" si="51"/>
        <v/>
      </c>
      <c r="BL216" s="136">
        <f t="shared" si="26"/>
        <v>0</v>
      </c>
      <c r="BM216" s="136">
        <f t="shared" si="37"/>
        <v>0</v>
      </c>
      <c r="BN216" s="136">
        <f t="shared" si="38"/>
        <v>0</v>
      </c>
      <c r="BO216" s="136">
        <f t="shared" si="39"/>
        <v>0</v>
      </c>
      <c r="BP216" s="136">
        <f t="shared" si="40"/>
        <v>0</v>
      </c>
      <c r="BQ216" s="136">
        <f t="shared" si="41"/>
        <v>1</v>
      </c>
      <c r="BR216" s="136">
        <f t="shared" si="42"/>
        <v>1</v>
      </c>
      <c r="BS216" s="136">
        <f t="shared" si="52"/>
        <v>1</v>
      </c>
      <c r="BT216" s="136" t="str">
        <f t="shared" si="53"/>
        <v/>
      </c>
      <c r="BU216" s="136">
        <f t="shared" si="27"/>
        <v>0</v>
      </c>
      <c r="BV216" s="136">
        <f t="shared" si="43"/>
        <v>0</v>
      </c>
      <c r="BW216" s="136">
        <f t="shared" si="44"/>
        <v>0</v>
      </c>
      <c r="BX216" s="136">
        <f t="shared" si="45"/>
        <v>0</v>
      </c>
      <c r="BY216" s="136">
        <f t="shared" si="46"/>
        <v>0</v>
      </c>
      <c r="BZ216" s="136">
        <f t="shared" si="47"/>
        <v>0</v>
      </c>
      <c r="CA216" s="136">
        <f t="shared" si="48"/>
        <v>0</v>
      </c>
      <c r="CB216" s="136">
        <f t="shared" si="54"/>
        <v>0</v>
      </c>
      <c r="CC216" s="136" t="str">
        <f t="shared" si="55"/>
        <v/>
      </c>
      <c r="CD216" s="136">
        <f t="shared" si="49"/>
        <v>2</v>
      </c>
      <c r="CE216" s="136">
        <f t="shared" si="56"/>
        <v>2</v>
      </c>
      <c r="CF216" s="136" t="str">
        <f t="shared" si="57"/>
        <v/>
      </c>
      <c r="CG216"/>
      <c r="CH216"/>
      <c r="CI216"/>
    </row>
    <row r="217" spans="53:87" x14ac:dyDescent="0.25">
      <c r="BA217" s="138">
        <f>B18</f>
        <v>5</v>
      </c>
      <c r="BB217" s="140" t="str">
        <f t="shared" si="58"/>
        <v>Poisoning (Total) (sum of 5.1 to 5.3 &amp; 5.4 to 5.6)</v>
      </c>
      <c r="BC217" s="136">
        <f t="shared" si="25"/>
        <v>0</v>
      </c>
      <c r="BD217" s="136">
        <f t="shared" si="31"/>
        <v>0</v>
      </c>
      <c r="BE217" s="136">
        <f t="shared" si="32"/>
        <v>0</v>
      </c>
      <c r="BF217" s="136">
        <f t="shared" si="33"/>
        <v>0</v>
      </c>
      <c r="BG217" s="136">
        <f t="shared" si="34"/>
        <v>3</v>
      </c>
      <c r="BH217" s="136">
        <f t="shared" si="35"/>
        <v>1</v>
      </c>
      <c r="BI217" s="136">
        <f t="shared" si="36"/>
        <v>4</v>
      </c>
      <c r="BJ217" s="136">
        <f t="shared" si="50"/>
        <v>4</v>
      </c>
      <c r="BK217" s="136" t="str">
        <f t="shared" si="51"/>
        <v/>
      </c>
      <c r="BL217" s="136">
        <f t="shared" si="26"/>
        <v>0</v>
      </c>
      <c r="BM217" s="136">
        <f t="shared" si="37"/>
        <v>0</v>
      </c>
      <c r="BN217" s="136">
        <f t="shared" si="38"/>
        <v>0</v>
      </c>
      <c r="BO217" s="136">
        <f t="shared" si="39"/>
        <v>0</v>
      </c>
      <c r="BP217" s="136">
        <f t="shared" si="40"/>
        <v>0</v>
      </c>
      <c r="BQ217" s="136">
        <f t="shared" si="41"/>
        <v>2</v>
      </c>
      <c r="BR217" s="136">
        <f t="shared" si="42"/>
        <v>2</v>
      </c>
      <c r="BS217" s="136">
        <f t="shared" si="52"/>
        <v>2</v>
      </c>
      <c r="BT217" s="136" t="str">
        <f t="shared" si="53"/>
        <v/>
      </c>
      <c r="BU217" s="136">
        <f t="shared" si="27"/>
        <v>0</v>
      </c>
      <c r="BV217" s="136">
        <f t="shared" si="43"/>
        <v>0</v>
      </c>
      <c r="BW217" s="136">
        <f t="shared" si="44"/>
        <v>0</v>
      </c>
      <c r="BX217" s="136">
        <f t="shared" si="45"/>
        <v>0</v>
      </c>
      <c r="BY217" s="136">
        <f t="shared" si="46"/>
        <v>0</v>
      </c>
      <c r="BZ217" s="136">
        <f t="shared" si="47"/>
        <v>0</v>
      </c>
      <c r="CA217" s="136">
        <f t="shared" si="48"/>
        <v>0</v>
      </c>
      <c r="CB217" s="136">
        <f t="shared" si="54"/>
        <v>0</v>
      </c>
      <c r="CC217" s="136" t="str">
        <f t="shared" si="55"/>
        <v/>
      </c>
      <c r="CD217" s="136">
        <f t="shared" si="49"/>
        <v>6</v>
      </c>
      <c r="CE217" s="136">
        <f t="shared" si="56"/>
        <v>6</v>
      </c>
      <c r="CF217" s="136" t="str">
        <f t="shared" si="57"/>
        <v/>
      </c>
      <c r="CG217"/>
      <c r="CH217"/>
      <c r="CI217"/>
    </row>
    <row r="218" spans="53:87" x14ac:dyDescent="0.25">
      <c r="BA218" s="138"/>
      <c r="BB218" s="154" t="str">
        <f t="shared" si="58"/>
        <v>5.1 Food Poisoning</v>
      </c>
      <c r="BC218" s="136">
        <f t="shared" si="25"/>
        <v>0</v>
      </c>
      <c r="BD218" s="136">
        <f t="shared" si="31"/>
        <v>0</v>
      </c>
      <c r="BE218" s="136">
        <f t="shared" si="32"/>
        <v>0</v>
      </c>
      <c r="BF218" s="136">
        <f t="shared" si="33"/>
        <v>0</v>
      </c>
      <c r="BG218" s="136">
        <f t="shared" si="34"/>
        <v>1</v>
      </c>
      <c r="BH218" s="136">
        <f t="shared" si="35"/>
        <v>0</v>
      </c>
      <c r="BI218" s="136">
        <f t="shared" si="36"/>
        <v>1</v>
      </c>
      <c r="BJ218" s="136">
        <f t="shared" si="50"/>
        <v>1</v>
      </c>
      <c r="BK218" s="136" t="str">
        <f t="shared" si="51"/>
        <v/>
      </c>
      <c r="BL218" s="136">
        <f t="shared" si="26"/>
        <v>0</v>
      </c>
      <c r="BM218" s="136">
        <f t="shared" si="37"/>
        <v>0</v>
      </c>
      <c r="BN218" s="136">
        <f t="shared" si="38"/>
        <v>0</v>
      </c>
      <c r="BO218" s="136">
        <f t="shared" si="39"/>
        <v>0</v>
      </c>
      <c r="BP218" s="136">
        <f t="shared" si="40"/>
        <v>0</v>
      </c>
      <c r="BQ218" s="136">
        <f t="shared" si="41"/>
        <v>0</v>
      </c>
      <c r="BR218" s="136">
        <f t="shared" si="42"/>
        <v>0</v>
      </c>
      <c r="BS218" s="136">
        <f t="shared" si="52"/>
        <v>0</v>
      </c>
      <c r="BT218" s="136" t="str">
        <f t="shared" si="53"/>
        <v/>
      </c>
      <c r="BU218" s="136">
        <f t="shared" si="27"/>
        <v>0</v>
      </c>
      <c r="BV218" s="136">
        <f t="shared" si="43"/>
        <v>0</v>
      </c>
      <c r="BW218" s="136">
        <f t="shared" si="44"/>
        <v>0</v>
      </c>
      <c r="BX218" s="136">
        <f t="shared" si="45"/>
        <v>0</v>
      </c>
      <c r="BY218" s="136">
        <f t="shared" si="46"/>
        <v>0</v>
      </c>
      <c r="BZ218" s="136">
        <f t="shared" si="47"/>
        <v>0</v>
      </c>
      <c r="CA218" s="136">
        <f t="shared" si="48"/>
        <v>0</v>
      </c>
      <c r="CB218" s="136">
        <f t="shared" si="54"/>
        <v>0</v>
      </c>
      <c r="CC218" s="136" t="str">
        <f t="shared" si="55"/>
        <v/>
      </c>
      <c r="CD218" s="136">
        <f t="shared" si="49"/>
        <v>1</v>
      </c>
      <c r="CE218" s="136">
        <f t="shared" si="56"/>
        <v>1</v>
      </c>
      <c r="CF218" s="136" t="str">
        <f t="shared" si="57"/>
        <v/>
      </c>
      <c r="CG218"/>
      <c r="CH218"/>
      <c r="CI218"/>
    </row>
    <row r="219" spans="53:87" x14ac:dyDescent="0.25">
      <c r="BA219" s="138"/>
      <c r="BB219" s="154" t="str">
        <f t="shared" si="58"/>
        <v>5.2 Accidental intake of Insecticides/Pesticides</v>
      </c>
      <c r="BC219" s="136">
        <f t="shared" si="25"/>
        <v>0</v>
      </c>
      <c r="BD219" s="136">
        <f t="shared" si="31"/>
        <v>0</v>
      </c>
      <c r="BE219" s="136">
        <f t="shared" si="32"/>
        <v>0</v>
      </c>
      <c r="BF219" s="136">
        <f t="shared" si="33"/>
        <v>0</v>
      </c>
      <c r="BG219" s="136">
        <f t="shared" si="34"/>
        <v>1</v>
      </c>
      <c r="BH219" s="136">
        <f t="shared" si="35"/>
        <v>1</v>
      </c>
      <c r="BI219" s="136">
        <f t="shared" si="36"/>
        <v>2</v>
      </c>
      <c r="BJ219" s="136">
        <f t="shared" si="50"/>
        <v>2</v>
      </c>
      <c r="BK219" s="136" t="str">
        <f t="shared" si="51"/>
        <v/>
      </c>
      <c r="BL219" s="136">
        <f t="shared" si="26"/>
        <v>0</v>
      </c>
      <c r="BM219" s="136">
        <f t="shared" si="37"/>
        <v>0</v>
      </c>
      <c r="BN219" s="136">
        <f t="shared" si="38"/>
        <v>0</v>
      </c>
      <c r="BO219" s="136">
        <f t="shared" si="39"/>
        <v>0</v>
      </c>
      <c r="BP219" s="136">
        <f t="shared" si="40"/>
        <v>0</v>
      </c>
      <c r="BQ219" s="136">
        <f t="shared" si="41"/>
        <v>1</v>
      </c>
      <c r="BR219" s="136">
        <f t="shared" si="42"/>
        <v>1</v>
      </c>
      <c r="BS219" s="136">
        <f t="shared" si="52"/>
        <v>1</v>
      </c>
      <c r="BT219" s="136" t="str">
        <f t="shared" si="53"/>
        <v/>
      </c>
      <c r="BU219" s="136">
        <f t="shared" si="27"/>
        <v>0</v>
      </c>
      <c r="BV219" s="136">
        <f t="shared" si="43"/>
        <v>0</v>
      </c>
      <c r="BW219" s="136">
        <f t="shared" si="44"/>
        <v>0</v>
      </c>
      <c r="BX219" s="136">
        <f t="shared" si="45"/>
        <v>0</v>
      </c>
      <c r="BY219" s="136">
        <f t="shared" si="46"/>
        <v>0</v>
      </c>
      <c r="BZ219" s="136">
        <f t="shared" si="47"/>
        <v>0</v>
      </c>
      <c r="CA219" s="136">
        <f t="shared" si="48"/>
        <v>0</v>
      </c>
      <c r="CB219" s="136">
        <f t="shared" si="54"/>
        <v>0</v>
      </c>
      <c r="CC219" s="136" t="str">
        <f t="shared" si="55"/>
        <v/>
      </c>
      <c r="CD219" s="136">
        <f t="shared" si="49"/>
        <v>3</v>
      </c>
      <c r="CE219" s="136">
        <f t="shared" si="56"/>
        <v>3</v>
      </c>
      <c r="CF219" s="136" t="str">
        <f t="shared" si="57"/>
        <v/>
      </c>
      <c r="CG219"/>
      <c r="CH219"/>
      <c r="CI219"/>
    </row>
    <row r="220" spans="53:87" ht="25.5" x14ac:dyDescent="0.25">
      <c r="BA220" s="138"/>
      <c r="BB220" s="183" t="str">
        <f t="shared" si="58"/>
        <v>5.3  Poisonous Gases (Total) (sum of 5.3.1 &amp; 5.3.2)</v>
      </c>
      <c r="BC220" s="136">
        <f t="shared" si="25"/>
        <v>0</v>
      </c>
      <c r="BD220" s="136">
        <f t="shared" si="31"/>
        <v>0</v>
      </c>
      <c r="BE220" s="136">
        <f t="shared" si="32"/>
        <v>0</v>
      </c>
      <c r="BF220" s="136">
        <f t="shared" si="33"/>
        <v>0</v>
      </c>
      <c r="BG220" s="136">
        <f t="shared" si="34"/>
        <v>0</v>
      </c>
      <c r="BH220" s="136">
        <f t="shared" si="35"/>
        <v>0</v>
      </c>
      <c r="BI220" s="136">
        <f t="shared" si="36"/>
        <v>0</v>
      </c>
      <c r="BJ220" s="136">
        <f t="shared" si="50"/>
        <v>0</v>
      </c>
      <c r="BK220" s="136" t="str">
        <f t="shared" si="51"/>
        <v/>
      </c>
      <c r="BL220" s="136">
        <f t="shared" si="26"/>
        <v>0</v>
      </c>
      <c r="BM220" s="136">
        <f t="shared" si="37"/>
        <v>0</v>
      </c>
      <c r="BN220" s="136">
        <f t="shared" si="38"/>
        <v>0</v>
      </c>
      <c r="BO220" s="136">
        <f t="shared" si="39"/>
        <v>0</v>
      </c>
      <c r="BP220" s="136">
        <f t="shared" si="40"/>
        <v>0</v>
      </c>
      <c r="BQ220" s="136">
        <f t="shared" si="41"/>
        <v>0</v>
      </c>
      <c r="BR220" s="136">
        <f t="shared" si="42"/>
        <v>0</v>
      </c>
      <c r="BS220" s="136">
        <f t="shared" si="52"/>
        <v>0</v>
      </c>
      <c r="BT220" s="136" t="str">
        <f t="shared" si="53"/>
        <v/>
      </c>
      <c r="BU220" s="136">
        <f t="shared" si="27"/>
        <v>0</v>
      </c>
      <c r="BV220" s="136">
        <f t="shared" si="43"/>
        <v>0</v>
      </c>
      <c r="BW220" s="136">
        <f t="shared" si="44"/>
        <v>0</v>
      </c>
      <c r="BX220" s="136">
        <f t="shared" si="45"/>
        <v>0</v>
      </c>
      <c r="BY220" s="136">
        <f t="shared" si="46"/>
        <v>0</v>
      </c>
      <c r="BZ220" s="136">
        <f t="shared" si="47"/>
        <v>0</v>
      </c>
      <c r="CA220" s="136">
        <f t="shared" si="48"/>
        <v>0</v>
      </c>
      <c r="CB220" s="136">
        <f t="shared" si="54"/>
        <v>0</v>
      </c>
      <c r="CC220" s="136" t="str">
        <f t="shared" si="55"/>
        <v/>
      </c>
      <c r="CD220" s="136">
        <f t="shared" si="49"/>
        <v>0</v>
      </c>
      <c r="CE220" s="136">
        <f t="shared" si="56"/>
        <v>0</v>
      </c>
      <c r="CF220" s="136" t="str">
        <f t="shared" si="57"/>
        <v/>
      </c>
      <c r="CG220"/>
      <c r="CH220"/>
      <c r="CI220"/>
    </row>
    <row r="221" spans="53:87" x14ac:dyDescent="0.25">
      <c r="BA221" s="138"/>
      <c r="BB221" s="490" t="str">
        <f t="shared" si="58"/>
        <v>5.3.1 Carbon Monoxide (CO) Gas</v>
      </c>
      <c r="BC221" s="136">
        <f t="shared" si="25"/>
        <v>0</v>
      </c>
      <c r="BD221" s="136">
        <f t="shared" si="31"/>
        <v>0</v>
      </c>
      <c r="BE221" s="136">
        <f t="shared" si="32"/>
        <v>0</v>
      </c>
      <c r="BF221" s="136">
        <f t="shared" si="33"/>
        <v>0</v>
      </c>
      <c r="BG221" s="136">
        <f t="shared" si="34"/>
        <v>0</v>
      </c>
      <c r="BH221" s="136">
        <f t="shared" si="35"/>
        <v>0</v>
      </c>
      <c r="BI221" s="136">
        <f t="shared" si="36"/>
        <v>0</v>
      </c>
      <c r="BJ221" s="136">
        <f t="shared" si="50"/>
        <v>0</v>
      </c>
      <c r="BK221" s="136" t="str">
        <f t="shared" si="51"/>
        <v/>
      </c>
      <c r="BL221" s="136">
        <f t="shared" si="26"/>
        <v>0</v>
      </c>
      <c r="BM221" s="136">
        <f t="shared" si="37"/>
        <v>0</v>
      </c>
      <c r="BN221" s="136">
        <f t="shared" si="38"/>
        <v>0</v>
      </c>
      <c r="BO221" s="136">
        <f t="shared" si="39"/>
        <v>0</v>
      </c>
      <c r="BP221" s="136">
        <f t="shared" si="40"/>
        <v>0</v>
      </c>
      <c r="BQ221" s="136">
        <f t="shared" si="41"/>
        <v>0</v>
      </c>
      <c r="BR221" s="136">
        <f t="shared" si="42"/>
        <v>0</v>
      </c>
      <c r="BS221" s="136">
        <f t="shared" si="52"/>
        <v>0</v>
      </c>
      <c r="BT221" s="136" t="str">
        <f t="shared" si="53"/>
        <v/>
      </c>
      <c r="BU221" s="136">
        <f t="shared" si="27"/>
        <v>0</v>
      </c>
      <c r="BV221" s="136">
        <f t="shared" si="43"/>
        <v>0</v>
      </c>
      <c r="BW221" s="136">
        <f t="shared" si="44"/>
        <v>0</v>
      </c>
      <c r="BX221" s="136">
        <f t="shared" si="45"/>
        <v>0</v>
      </c>
      <c r="BY221" s="136">
        <f t="shared" si="46"/>
        <v>0</v>
      </c>
      <c r="BZ221" s="136">
        <f t="shared" si="47"/>
        <v>0</v>
      </c>
      <c r="CA221" s="136">
        <f t="shared" si="48"/>
        <v>0</v>
      </c>
      <c r="CB221" s="136">
        <f t="shared" si="54"/>
        <v>0</v>
      </c>
      <c r="CC221" s="136" t="str">
        <f t="shared" si="55"/>
        <v/>
      </c>
      <c r="CD221" s="136">
        <f t="shared" si="49"/>
        <v>0</v>
      </c>
      <c r="CE221" s="136">
        <f t="shared" si="56"/>
        <v>0</v>
      </c>
      <c r="CF221" s="136" t="str">
        <f t="shared" si="57"/>
        <v/>
      </c>
      <c r="CG221"/>
      <c r="CH221"/>
      <c r="CI221"/>
    </row>
    <row r="222" spans="53:87" x14ac:dyDescent="0.25">
      <c r="BA222" s="138"/>
      <c r="BB222" s="490" t="str">
        <f t="shared" si="58"/>
        <v>5.3.2 Other poisonous Gases</v>
      </c>
      <c r="BC222" s="136">
        <f t="shared" si="25"/>
        <v>0</v>
      </c>
      <c r="BD222" s="136">
        <f t="shared" si="31"/>
        <v>0</v>
      </c>
      <c r="BE222" s="136">
        <f t="shared" si="32"/>
        <v>0</v>
      </c>
      <c r="BF222" s="136">
        <f t="shared" si="33"/>
        <v>0</v>
      </c>
      <c r="BG222" s="136">
        <f t="shared" si="34"/>
        <v>0</v>
      </c>
      <c r="BH222" s="136">
        <f t="shared" si="35"/>
        <v>0</v>
      </c>
      <c r="BI222" s="136">
        <f t="shared" si="36"/>
        <v>0</v>
      </c>
      <c r="BJ222" s="136">
        <f t="shared" si="50"/>
        <v>0</v>
      </c>
      <c r="BK222" s="136" t="str">
        <f t="shared" si="51"/>
        <v/>
      </c>
      <c r="BL222" s="136">
        <f t="shared" si="26"/>
        <v>0</v>
      </c>
      <c r="BM222" s="136">
        <f t="shared" si="37"/>
        <v>0</v>
      </c>
      <c r="BN222" s="136">
        <f t="shared" si="38"/>
        <v>0</v>
      </c>
      <c r="BO222" s="136">
        <f t="shared" si="39"/>
        <v>0</v>
      </c>
      <c r="BP222" s="136">
        <f t="shared" si="40"/>
        <v>0</v>
      </c>
      <c r="BQ222" s="136">
        <f t="shared" si="41"/>
        <v>0</v>
      </c>
      <c r="BR222" s="136">
        <f t="shared" si="42"/>
        <v>0</v>
      </c>
      <c r="BS222" s="136">
        <f t="shared" si="52"/>
        <v>0</v>
      </c>
      <c r="BT222" s="136" t="str">
        <f t="shared" si="53"/>
        <v/>
      </c>
      <c r="BU222" s="136">
        <f t="shared" si="27"/>
        <v>0</v>
      </c>
      <c r="BV222" s="136">
        <f t="shared" si="43"/>
        <v>0</v>
      </c>
      <c r="BW222" s="136">
        <f t="shared" si="44"/>
        <v>0</v>
      </c>
      <c r="BX222" s="136">
        <f t="shared" si="45"/>
        <v>0</v>
      </c>
      <c r="BY222" s="136">
        <f t="shared" si="46"/>
        <v>0</v>
      </c>
      <c r="BZ222" s="136">
        <f t="shared" si="47"/>
        <v>0</v>
      </c>
      <c r="CA222" s="136">
        <f t="shared" si="48"/>
        <v>0</v>
      </c>
      <c r="CB222" s="136">
        <f t="shared" si="54"/>
        <v>0</v>
      </c>
      <c r="CC222" s="136" t="str">
        <f t="shared" si="55"/>
        <v/>
      </c>
      <c r="CD222" s="136">
        <f t="shared" si="49"/>
        <v>0</v>
      </c>
      <c r="CE222" s="136">
        <f t="shared" si="56"/>
        <v>0</v>
      </c>
      <c r="CF222" s="136" t="str">
        <f t="shared" si="57"/>
        <v/>
      </c>
      <c r="CG222"/>
      <c r="CH222"/>
      <c r="CI222"/>
    </row>
    <row r="223" spans="53:87" x14ac:dyDescent="0.25">
      <c r="BA223" s="138"/>
      <c r="BB223" s="154" t="str">
        <f t="shared" si="58"/>
        <v xml:space="preserve">5.4 Snake bite </v>
      </c>
      <c r="BC223" s="136">
        <f t="shared" si="25"/>
        <v>0</v>
      </c>
      <c r="BD223" s="136">
        <f t="shared" si="31"/>
        <v>0</v>
      </c>
      <c r="BE223" s="136">
        <f t="shared" si="32"/>
        <v>0</v>
      </c>
      <c r="BF223" s="136">
        <f t="shared" si="33"/>
        <v>0</v>
      </c>
      <c r="BG223" s="136">
        <f t="shared" si="34"/>
        <v>1</v>
      </c>
      <c r="BH223" s="136">
        <f t="shared" si="35"/>
        <v>0</v>
      </c>
      <c r="BI223" s="136">
        <f t="shared" si="36"/>
        <v>1</v>
      </c>
      <c r="BJ223" s="136">
        <f t="shared" si="50"/>
        <v>1</v>
      </c>
      <c r="BK223" s="136" t="str">
        <f t="shared" si="51"/>
        <v/>
      </c>
      <c r="BL223" s="136">
        <f t="shared" si="26"/>
        <v>0</v>
      </c>
      <c r="BM223" s="136">
        <f t="shared" si="37"/>
        <v>0</v>
      </c>
      <c r="BN223" s="136">
        <f t="shared" si="38"/>
        <v>0</v>
      </c>
      <c r="BO223" s="136">
        <f t="shared" si="39"/>
        <v>0</v>
      </c>
      <c r="BP223" s="136">
        <f t="shared" si="40"/>
        <v>0</v>
      </c>
      <c r="BQ223" s="136">
        <f t="shared" si="41"/>
        <v>1</v>
      </c>
      <c r="BR223" s="136">
        <f t="shared" si="42"/>
        <v>1</v>
      </c>
      <c r="BS223" s="136">
        <f t="shared" si="52"/>
        <v>1</v>
      </c>
      <c r="BT223" s="136" t="str">
        <f t="shared" si="53"/>
        <v/>
      </c>
      <c r="BU223" s="136">
        <f t="shared" si="27"/>
        <v>0</v>
      </c>
      <c r="BV223" s="136">
        <f t="shared" si="43"/>
        <v>0</v>
      </c>
      <c r="BW223" s="136">
        <f t="shared" si="44"/>
        <v>0</v>
      </c>
      <c r="BX223" s="136">
        <f t="shared" si="45"/>
        <v>0</v>
      </c>
      <c r="BY223" s="136">
        <f t="shared" si="46"/>
        <v>0</v>
      </c>
      <c r="BZ223" s="136">
        <f t="shared" si="47"/>
        <v>0</v>
      </c>
      <c r="CA223" s="136">
        <f t="shared" si="48"/>
        <v>0</v>
      </c>
      <c r="CB223" s="136">
        <f t="shared" si="54"/>
        <v>0</v>
      </c>
      <c r="CC223" s="136" t="str">
        <f t="shared" si="55"/>
        <v/>
      </c>
      <c r="CD223" s="136">
        <f t="shared" si="49"/>
        <v>2</v>
      </c>
      <c r="CE223" s="136">
        <f t="shared" si="56"/>
        <v>2</v>
      </c>
      <c r="CF223" s="136" t="str">
        <f t="shared" si="57"/>
        <v/>
      </c>
      <c r="CG223"/>
      <c r="CH223"/>
      <c r="CI223"/>
    </row>
    <row r="224" spans="53:87" x14ac:dyDescent="0.25">
      <c r="BA224" s="138"/>
      <c r="BB224" s="154" t="str">
        <f t="shared" si="58"/>
        <v>5.5 Animal/Reptiles/Insects bite</v>
      </c>
      <c r="BC224" s="136">
        <f t="shared" si="25"/>
        <v>0</v>
      </c>
      <c r="BD224" s="136">
        <f t="shared" si="31"/>
        <v>0</v>
      </c>
      <c r="BE224" s="136">
        <f t="shared" si="32"/>
        <v>0</v>
      </c>
      <c r="BF224" s="136">
        <f t="shared" si="33"/>
        <v>0</v>
      </c>
      <c r="BG224" s="136">
        <f t="shared" si="34"/>
        <v>0</v>
      </c>
      <c r="BH224" s="136">
        <f t="shared" si="35"/>
        <v>0</v>
      </c>
      <c r="BI224" s="136">
        <f t="shared" si="36"/>
        <v>0</v>
      </c>
      <c r="BJ224" s="136">
        <f t="shared" si="50"/>
        <v>0</v>
      </c>
      <c r="BK224" s="136" t="str">
        <f t="shared" si="51"/>
        <v/>
      </c>
      <c r="BL224" s="136">
        <f t="shared" si="26"/>
        <v>0</v>
      </c>
      <c r="BM224" s="136">
        <f t="shared" si="37"/>
        <v>0</v>
      </c>
      <c r="BN224" s="136">
        <f t="shared" si="38"/>
        <v>0</v>
      </c>
      <c r="BO224" s="136">
        <f t="shared" si="39"/>
        <v>0</v>
      </c>
      <c r="BP224" s="136">
        <f t="shared" si="40"/>
        <v>0</v>
      </c>
      <c r="BQ224" s="136">
        <f t="shared" si="41"/>
        <v>0</v>
      </c>
      <c r="BR224" s="136">
        <f t="shared" si="42"/>
        <v>0</v>
      </c>
      <c r="BS224" s="136">
        <f t="shared" si="52"/>
        <v>0</v>
      </c>
      <c r="BT224" s="136" t="str">
        <f t="shared" si="53"/>
        <v/>
      </c>
      <c r="BU224" s="136">
        <f t="shared" si="27"/>
        <v>0</v>
      </c>
      <c r="BV224" s="136">
        <f t="shared" si="43"/>
        <v>0</v>
      </c>
      <c r="BW224" s="136">
        <f t="shared" si="44"/>
        <v>0</v>
      </c>
      <c r="BX224" s="136">
        <f t="shared" si="45"/>
        <v>0</v>
      </c>
      <c r="BY224" s="136">
        <f t="shared" si="46"/>
        <v>0</v>
      </c>
      <c r="BZ224" s="136">
        <f t="shared" si="47"/>
        <v>0</v>
      </c>
      <c r="CA224" s="136">
        <f t="shared" si="48"/>
        <v>0</v>
      </c>
      <c r="CB224" s="136">
        <f t="shared" si="54"/>
        <v>0</v>
      </c>
      <c r="CC224" s="136" t="str">
        <f t="shared" si="55"/>
        <v/>
      </c>
      <c r="CD224" s="136">
        <f t="shared" si="49"/>
        <v>0</v>
      </c>
      <c r="CE224" s="136">
        <f t="shared" si="56"/>
        <v>0</v>
      </c>
      <c r="CF224" s="136" t="str">
        <f t="shared" si="57"/>
        <v/>
      </c>
      <c r="CG224"/>
      <c r="CH224"/>
      <c r="CI224"/>
    </row>
    <row r="225" spans="52:88" x14ac:dyDescent="0.25">
      <c r="BA225" s="138"/>
      <c r="BB225" s="154" t="str">
        <f t="shared" si="58"/>
        <v>5.6 Other</v>
      </c>
      <c r="BC225" s="136">
        <f t="shared" si="25"/>
        <v>0</v>
      </c>
      <c r="BD225" s="136">
        <f t="shared" si="31"/>
        <v>0</v>
      </c>
      <c r="BE225" s="136">
        <f t="shared" si="32"/>
        <v>0</v>
      </c>
      <c r="BF225" s="136">
        <f t="shared" si="33"/>
        <v>0</v>
      </c>
      <c r="BG225" s="136">
        <f t="shared" si="34"/>
        <v>0</v>
      </c>
      <c r="BH225" s="136">
        <f t="shared" si="35"/>
        <v>0</v>
      </c>
      <c r="BI225" s="136">
        <f t="shared" si="36"/>
        <v>0</v>
      </c>
      <c r="BJ225" s="136">
        <f t="shared" si="50"/>
        <v>0</v>
      </c>
      <c r="BK225" s="136" t="str">
        <f t="shared" si="51"/>
        <v/>
      </c>
      <c r="BL225" s="136">
        <f t="shared" si="26"/>
        <v>0</v>
      </c>
      <c r="BM225" s="136">
        <f t="shared" si="37"/>
        <v>0</v>
      </c>
      <c r="BN225" s="136">
        <f t="shared" si="38"/>
        <v>0</v>
      </c>
      <c r="BO225" s="136">
        <f t="shared" si="39"/>
        <v>0</v>
      </c>
      <c r="BP225" s="136">
        <f t="shared" si="40"/>
        <v>0</v>
      </c>
      <c r="BQ225" s="136">
        <f t="shared" si="41"/>
        <v>0</v>
      </c>
      <c r="BR225" s="136">
        <f t="shared" si="42"/>
        <v>0</v>
      </c>
      <c r="BS225" s="136">
        <f t="shared" si="52"/>
        <v>0</v>
      </c>
      <c r="BT225" s="136" t="str">
        <f t="shared" si="53"/>
        <v/>
      </c>
      <c r="BU225" s="136">
        <f t="shared" si="27"/>
        <v>0</v>
      </c>
      <c r="BV225" s="136">
        <f t="shared" si="43"/>
        <v>0</v>
      </c>
      <c r="BW225" s="136">
        <f t="shared" si="44"/>
        <v>0</v>
      </c>
      <c r="BX225" s="136">
        <f t="shared" si="45"/>
        <v>0</v>
      </c>
      <c r="BY225" s="136">
        <f t="shared" si="46"/>
        <v>0</v>
      </c>
      <c r="BZ225" s="136">
        <f t="shared" si="47"/>
        <v>0</v>
      </c>
      <c r="CA225" s="136">
        <f t="shared" si="48"/>
        <v>0</v>
      </c>
      <c r="CB225" s="136">
        <f t="shared" si="54"/>
        <v>0</v>
      </c>
      <c r="CC225" s="136" t="str">
        <f t="shared" si="55"/>
        <v/>
      </c>
      <c r="CD225" s="136">
        <f t="shared" si="49"/>
        <v>0</v>
      </c>
      <c r="CE225" s="136">
        <f t="shared" si="56"/>
        <v>0</v>
      </c>
      <c r="CF225" s="136" t="str">
        <f t="shared" si="57"/>
        <v/>
      </c>
      <c r="CG225"/>
      <c r="CH225"/>
      <c r="CI225"/>
    </row>
    <row r="226" spans="52:88" x14ac:dyDescent="0.25">
      <c r="BA226" s="138">
        <f>B27</f>
        <v>6</v>
      </c>
      <c r="BB226" s="136" t="str">
        <f t="shared" si="58"/>
        <v>Suffocation</v>
      </c>
      <c r="BC226" s="136">
        <f t="shared" si="25"/>
        <v>1</v>
      </c>
      <c r="BD226" s="136">
        <f t="shared" si="31"/>
        <v>0</v>
      </c>
      <c r="BE226" s="136">
        <f t="shared" si="32"/>
        <v>0</v>
      </c>
      <c r="BF226" s="136">
        <f t="shared" si="33"/>
        <v>0</v>
      </c>
      <c r="BG226" s="136">
        <f t="shared" si="34"/>
        <v>0</v>
      </c>
      <c r="BH226" s="136">
        <f t="shared" si="35"/>
        <v>0</v>
      </c>
      <c r="BI226" s="136">
        <f t="shared" si="36"/>
        <v>1</v>
      </c>
      <c r="BJ226" s="136">
        <f t="shared" si="50"/>
        <v>1</v>
      </c>
      <c r="BK226" s="136" t="str">
        <f t="shared" si="51"/>
        <v/>
      </c>
      <c r="BL226" s="136">
        <f t="shared" si="26"/>
        <v>1</v>
      </c>
      <c r="BM226" s="136">
        <f t="shared" si="37"/>
        <v>0</v>
      </c>
      <c r="BN226" s="136">
        <f t="shared" si="38"/>
        <v>0</v>
      </c>
      <c r="BO226" s="136">
        <f t="shared" si="39"/>
        <v>0</v>
      </c>
      <c r="BP226" s="136">
        <f t="shared" si="40"/>
        <v>0</v>
      </c>
      <c r="BQ226" s="136">
        <f t="shared" si="41"/>
        <v>0</v>
      </c>
      <c r="BR226" s="136">
        <f t="shared" si="42"/>
        <v>1</v>
      </c>
      <c r="BS226" s="136">
        <f t="shared" si="52"/>
        <v>1</v>
      </c>
      <c r="BT226" s="136" t="str">
        <f t="shared" si="53"/>
        <v/>
      </c>
      <c r="BU226" s="136">
        <f t="shared" si="27"/>
        <v>0</v>
      </c>
      <c r="BV226" s="136">
        <f t="shared" si="43"/>
        <v>0</v>
      </c>
      <c r="BW226" s="136">
        <f t="shared" si="44"/>
        <v>0</v>
      </c>
      <c r="BX226" s="136">
        <f t="shared" si="45"/>
        <v>0</v>
      </c>
      <c r="BY226" s="136">
        <f t="shared" si="46"/>
        <v>0</v>
      </c>
      <c r="BZ226" s="136">
        <f t="shared" si="47"/>
        <v>0</v>
      </c>
      <c r="CA226" s="136">
        <f t="shared" si="48"/>
        <v>0</v>
      </c>
      <c r="CB226" s="136">
        <f t="shared" si="54"/>
        <v>0</v>
      </c>
      <c r="CC226" s="136" t="str">
        <f t="shared" si="55"/>
        <v/>
      </c>
      <c r="CD226" s="136">
        <f t="shared" si="49"/>
        <v>2</v>
      </c>
      <c r="CE226" s="136">
        <f t="shared" si="56"/>
        <v>2</v>
      </c>
      <c r="CF226" s="136" t="str">
        <f t="shared" si="57"/>
        <v/>
      </c>
      <c r="CG226"/>
      <c r="CH226"/>
      <c r="CI226"/>
    </row>
    <row r="227" spans="52:88" x14ac:dyDescent="0.25">
      <c r="BA227" s="138">
        <f>B28</f>
        <v>7</v>
      </c>
      <c r="BB227" s="136" t="str">
        <f t="shared" si="58"/>
        <v>Drug Overdose</v>
      </c>
      <c r="BC227" s="136">
        <f t="shared" si="25"/>
        <v>0</v>
      </c>
      <c r="BD227" s="136">
        <f t="shared" si="31"/>
        <v>0</v>
      </c>
      <c r="BE227" s="136">
        <f t="shared" si="32"/>
        <v>0</v>
      </c>
      <c r="BF227" s="136">
        <f t="shared" si="33"/>
        <v>0</v>
      </c>
      <c r="BG227" s="136">
        <f t="shared" si="34"/>
        <v>1</v>
      </c>
      <c r="BH227" s="136">
        <f t="shared" si="35"/>
        <v>0</v>
      </c>
      <c r="BI227" s="136">
        <f t="shared" si="36"/>
        <v>1</v>
      </c>
      <c r="BJ227" s="136">
        <f t="shared" si="50"/>
        <v>1</v>
      </c>
      <c r="BK227" s="136" t="str">
        <f t="shared" si="51"/>
        <v/>
      </c>
      <c r="BL227" s="136">
        <f t="shared" si="26"/>
        <v>0</v>
      </c>
      <c r="BM227" s="136">
        <f t="shared" si="37"/>
        <v>0</v>
      </c>
      <c r="BN227" s="136">
        <f t="shared" si="38"/>
        <v>0</v>
      </c>
      <c r="BO227" s="136">
        <f t="shared" si="39"/>
        <v>1</v>
      </c>
      <c r="BP227" s="136">
        <f t="shared" si="40"/>
        <v>0</v>
      </c>
      <c r="BQ227" s="136">
        <f t="shared" si="41"/>
        <v>0</v>
      </c>
      <c r="BR227" s="136">
        <f t="shared" si="42"/>
        <v>1</v>
      </c>
      <c r="BS227" s="136">
        <f t="shared" si="52"/>
        <v>1</v>
      </c>
      <c r="BT227" s="136" t="str">
        <f t="shared" si="53"/>
        <v/>
      </c>
      <c r="BU227" s="136">
        <f t="shared" si="27"/>
        <v>0</v>
      </c>
      <c r="BV227" s="136">
        <f t="shared" si="43"/>
        <v>0</v>
      </c>
      <c r="BW227" s="136">
        <f t="shared" si="44"/>
        <v>0</v>
      </c>
      <c r="BX227" s="136">
        <f t="shared" si="45"/>
        <v>0</v>
      </c>
      <c r="BY227" s="136">
        <f t="shared" si="46"/>
        <v>0</v>
      </c>
      <c r="BZ227" s="136">
        <f t="shared" si="47"/>
        <v>0</v>
      </c>
      <c r="CA227" s="136">
        <f t="shared" si="48"/>
        <v>0</v>
      </c>
      <c r="CB227" s="136">
        <f t="shared" si="54"/>
        <v>0</v>
      </c>
      <c r="CC227" s="136" t="str">
        <f t="shared" si="55"/>
        <v/>
      </c>
      <c r="CD227" s="136">
        <f t="shared" si="49"/>
        <v>2</v>
      </c>
      <c r="CE227" s="136">
        <f t="shared" si="56"/>
        <v>2</v>
      </c>
      <c r="CF227" s="136" t="str">
        <f t="shared" si="57"/>
        <v/>
      </c>
      <c r="CG227"/>
      <c r="CH227"/>
      <c r="CI227"/>
    </row>
    <row r="228" spans="52:88" x14ac:dyDescent="0.25">
      <c r="BA228" s="138">
        <f t="shared" ref="BA228" si="59">B29</f>
        <v>8</v>
      </c>
      <c r="BB228" s="136" t="str">
        <f t="shared" ref="BB228" si="60">C29</f>
        <v>Total (sum of Sl. 1 to 7)</v>
      </c>
      <c r="BC228" s="136">
        <f t="shared" ref="BC228" si="61">D29</f>
        <v>2</v>
      </c>
      <c r="BD228" s="136">
        <f t="shared" ref="BD228" si="62">E29</f>
        <v>0</v>
      </c>
      <c r="BE228" s="136">
        <f t="shared" ref="BE228" si="63">F29</f>
        <v>1</v>
      </c>
      <c r="BF228" s="136">
        <f t="shared" ref="BF228" si="64">G29</f>
        <v>5</v>
      </c>
      <c r="BG228" s="136">
        <f t="shared" ref="BG228" si="65">H29</f>
        <v>10</v>
      </c>
      <c r="BH228" s="136">
        <f t="shared" ref="BH228" si="66">I29</f>
        <v>6</v>
      </c>
      <c r="BI228" s="136">
        <f t="shared" ref="BI228" si="67">J29</f>
        <v>24</v>
      </c>
      <c r="BJ228" s="136">
        <f t="shared" ref="BJ228" si="68">K29</f>
        <v>24</v>
      </c>
      <c r="BK228" s="136" t="str">
        <f t="shared" ref="BK228" si="69">L29</f>
        <v/>
      </c>
      <c r="BL228" s="136">
        <f t="shared" ref="BL228" si="70">M29</f>
        <v>1</v>
      </c>
      <c r="BM228" s="136">
        <f t="shared" ref="BM228" si="71">N29</f>
        <v>0</v>
      </c>
      <c r="BN228" s="136">
        <f t="shared" ref="BN228" si="72">O29</f>
        <v>1</v>
      </c>
      <c r="BO228" s="136">
        <f t="shared" ref="BO228" si="73">P29</f>
        <v>1</v>
      </c>
      <c r="BP228" s="136">
        <f t="shared" ref="BP228" si="74">Q29</f>
        <v>0</v>
      </c>
      <c r="BQ228" s="136">
        <f t="shared" ref="BQ228" si="75">R29</f>
        <v>4</v>
      </c>
      <c r="BR228" s="136">
        <f t="shared" ref="BR228" si="76">S29</f>
        <v>7</v>
      </c>
      <c r="BS228" s="136">
        <f t="shared" ref="BS228" si="77">T29</f>
        <v>7</v>
      </c>
      <c r="BT228" s="136" t="str">
        <f t="shared" ref="BT228" si="78">U29</f>
        <v/>
      </c>
      <c r="BU228" s="136">
        <f t="shared" ref="BU228" si="79">V29</f>
        <v>0</v>
      </c>
      <c r="BV228" s="136">
        <f t="shared" ref="BV228" si="80">W29</f>
        <v>0</v>
      </c>
      <c r="BW228" s="136">
        <f t="shared" ref="BW228" si="81">X29</f>
        <v>0</v>
      </c>
      <c r="BX228" s="136">
        <f t="shared" ref="BX228" si="82">Y29</f>
        <v>0</v>
      </c>
      <c r="BY228" s="136">
        <f t="shared" ref="BY228" si="83">Z29</f>
        <v>0</v>
      </c>
      <c r="BZ228" s="136">
        <f t="shared" ref="BZ228" si="84">AA29</f>
        <v>0</v>
      </c>
      <c r="CA228" s="136">
        <f t="shared" ref="CA228" si="85">AB29</f>
        <v>0</v>
      </c>
      <c r="CB228" s="136">
        <f t="shared" ref="CB228" si="86">AC29</f>
        <v>0</v>
      </c>
      <c r="CC228" s="136" t="str">
        <f t="shared" ref="CC228" si="87">AD29</f>
        <v/>
      </c>
      <c r="CD228" s="136">
        <f t="shared" ref="CD228" si="88">AE29</f>
        <v>31</v>
      </c>
      <c r="CE228" s="136">
        <f t="shared" ref="CE228" si="89">AF29</f>
        <v>31</v>
      </c>
      <c r="CF228" s="136" t="str">
        <f t="shared" ref="CF228" si="90">AG29</f>
        <v/>
      </c>
      <c r="CG228"/>
      <c r="CH228"/>
      <c r="CI228"/>
    </row>
    <row r="229" spans="52:88" x14ac:dyDescent="0.25">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row>
    <row r="230" spans="52:88" x14ac:dyDescent="0.25">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row>
    <row r="231" spans="52:88" x14ac:dyDescent="0.25">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row>
    <row r="232" spans="52:88" x14ac:dyDescent="0.25">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row>
    <row r="233" spans="52:88" x14ac:dyDescent="0.25">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row>
    <row r="234" spans="52:88" x14ac:dyDescent="0.25">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row>
    <row r="235" spans="52:88" x14ac:dyDescent="0.2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row>
    <row r="236" spans="52:88" x14ac:dyDescent="0.25">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row>
    <row r="237" spans="52:88" x14ac:dyDescent="0.25">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row>
    <row r="238" spans="52:88" x14ac:dyDescent="0.25">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row>
    <row r="500" spans="1:26" s="355" customFormat="1" x14ac:dyDescent="0.25">
      <c r="A500" s="191" t="s">
        <v>450</v>
      </c>
      <c r="B500" s="191" t="s">
        <v>451</v>
      </c>
      <c r="C500" s="191" t="s">
        <v>452</v>
      </c>
      <c r="D500" s="191" t="s">
        <v>453</v>
      </c>
      <c r="E500" s="191" t="s">
        <v>1365</v>
      </c>
      <c r="F500" s="191" t="s">
        <v>454</v>
      </c>
      <c r="G500" s="191" t="s">
        <v>455</v>
      </c>
      <c r="H500" s="191" t="s">
        <v>456</v>
      </c>
      <c r="I500" s="191" t="s">
        <v>457</v>
      </c>
      <c r="J500" s="191" t="s">
        <v>458</v>
      </c>
      <c r="K500" s="191" t="s">
        <v>459</v>
      </c>
      <c r="L500" s="191" t="s">
        <v>1366</v>
      </c>
      <c r="M500" s="191" t="s">
        <v>460</v>
      </c>
      <c r="N500" s="191" t="s">
        <v>461</v>
      </c>
      <c r="O500" s="191" t="s">
        <v>462</v>
      </c>
      <c r="P500" s="191" t="s">
        <v>463</v>
      </c>
      <c r="Q500" s="191" t="s">
        <v>464</v>
      </c>
      <c r="R500" s="191" t="s">
        <v>465</v>
      </c>
      <c r="S500" s="191" t="s">
        <v>1367</v>
      </c>
      <c r="T500" s="191" t="s">
        <v>466</v>
      </c>
      <c r="U500" s="191" t="s">
        <v>467</v>
      </c>
      <c r="V500" s="191" t="s">
        <v>468</v>
      </c>
      <c r="W500" s="191" t="s">
        <v>469</v>
      </c>
      <c r="X500" s="191" t="s">
        <v>470</v>
      </c>
      <c r="Y500" s="191" t="s">
        <v>471</v>
      </c>
      <c r="Z500" s="191" t="s">
        <v>150</v>
      </c>
    </row>
    <row r="501" spans="1:26" s="352" customFormat="1" ht="12.75" x14ac:dyDescent="0.2">
      <c r="A501" s="348">
        <f>IF(ADSI!$G$12="",ADSI!$H$16,ADSI!$H$12)</f>
        <v>6</v>
      </c>
      <c r="B501" s="348" t="str">
        <f ca="1">IF(ADSI!$G$12="",ADSI!$H$16,ADSI!$H$14)</f>
        <v/>
      </c>
      <c r="C501" s="395">
        <f t="shared" ref="C501:C521" si="91">A9</f>
        <v>350</v>
      </c>
      <c r="D501" s="348">
        <f>ADSI!$K$12</f>
        <v>2021</v>
      </c>
      <c r="E501" s="360">
        <f t="shared" ref="E501:K510" si="92">D9</f>
        <v>1</v>
      </c>
      <c r="F501" s="360">
        <f t="shared" si="92"/>
        <v>0</v>
      </c>
      <c r="G501" s="360">
        <f t="shared" si="92"/>
        <v>1</v>
      </c>
      <c r="H501" s="360">
        <f t="shared" si="92"/>
        <v>5</v>
      </c>
      <c r="I501" s="360">
        <f t="shared" si="92"/>
        <v>5</v>
      </c>
      <c r="J501" s="360">
        <f t="shared" si="92"/>
        <v>5</v>
      </c>
      <c r="K501" s="360">
        <f t="shared" si="92"/>
        <v>17</v>
      </c>
      <c r="L501" s="360">
        <f t="shared" ref="L501:R510" si="93">M9</f>
        <v>0</v>
      </c>
      <c r="M501" s="360">
        <f t="shared" si="93"/>
        <v>0</v>
      </c>
      <c r="N501" s="360">
        <f t="shared" si="93"/>
        <v>1</v>
      </c>
      <c r="O501" s="360">
        <f t="shared" si="93"/>
        <v>0</v>
      </c>
      <c r="P501" s="360">
        <f t="shared" si="93"/>
        <v>0</v>
      </c>
      <c r="Q501" s="360">
        <f t="shared" si="93"/>
        <v>1</v>
      </c>
      <c r="R501" s="360">
        <f t="shared" si="93"/>
        <v>2</v>
      </c>
      <c r="S501" s="360">
        <f t="shared" ref="S501:S521" si="94">V9</f>
        <v>0</v>
      </c>
      <c r="T501" s="360">
        <f t="shared" ref="T501:T521" si="95">W9</f>
        <v>0</v>
      </c>
      <c r="U501" s="360">
        <f t="shared" ref="U501:U521" si="96">X9</f>
        <v>0</v>
      </c>
      <c r="V501" s="360">
        <f t="shared" ref="V501:V521" si="97">Y9</f>
        <v>0</v>
      </c>
      <c r="W501" s="360">
        <f t="shared" ref="W501:W521" si="98">Z9</f>
        <v>0</v>
      </c>
      <c r="X501" s="360">
        <f t="shared" ref="X501:X521" si="99">AA9</f>
        <v>0</v>
      </c>
      <c r="Y501" s="360">
        <f t="shared" ref="Y501:Y521" si="100">AB9</f>
        <v>0</v>
      </c>
      <c r="Z501" s="360">
        <f t="shared" ref="Z501:Z521" si="101">AE9</f>
        <v>19</v>
      </c>
    </row>
    <row r="502" spans="1:26" s="352" customFormat="1" ht="12.75" x14ac:dyDescent="0.2">
      <c r="A502" s="348">
        <f>IF(ADSI!$G$12="",ADSI!$H$16,ADSI!$H$12)</f>
        <v>6</v>
      </c>
      <c r="B502" s="348" t="str">
        <f ca="1">IF(ADSI!$G$12="",ADSI!$H$16,ADSI!$H$14)</f>
        <v/>
      </c>
      <c r="C502" s="395">
        <f t="shared" si="91"/>
        <v>351</v>
      </c>
      <c r="D502" s="348">
        <f>ADSI!$K$12</f>
        <v>2021</v>
      </c>
      <c r="E502" s="360">
        <f t="shared" si="92"/>
        <v>0</v>
      </c>
      <c r="F502" s="360">
        <f t="shared" si="92"/>
        <v>0</v>
      </c>
      <c r="G502" s="360">
        <f t="shared" si="92"/>
        <v>0</v>
      </c>
      <c r="H502" s="360">
        <f t="shared" si="92"/>
        <v>0</v>
      </c>
      <c r="I502" s="360">
        <f t="shared" si="92"/>
        <v>0</v>
      </c>
      <c r="J502" s="360">
        <f t="shared" si="92"/>
        <v>0</v>
      </c>
      <c r="K502" s="360">
        <f t="shared" si="92"/>
        <v>0</v>
      </c>
      <c r="L502" s="360">
        <f t="shared" si="93"/>
        <v>0</v>
      </c>
      <c r="M502" s="360">
        <f t="shared" si="93"/>
        <v>0</v>
      </c>
      <c r="N502" s="360">
        <f t="shared" si="93"/>
        <v>0</v>
      </c>
      <c r="O502" s="360">
        <f t="shared" si="93"/>
        <v>0</v>
      </c>
      <c r="P502" s="360">
        <f t="shared" si="93"/>
        <v>0</v>
      </c>
      <c r="Q502" s="360">
        <f t="shared" si="93"/>
        <v>0</v>
      </c>
      <c r="R502" s="360">
        <f t="shared" si="93"/>
        <v>0</v>
      </c>
      <c r="S502" s="360">
        <f t="shared" si="94"/>
        <v>0</v>
      </c>
      <c r="T502" s="360">
        <f t="shared" si="95"/>
        <v>0</v>
      </c>
      <c r="U502" s="360">
        <f t="shared" si="96"/>
        <v>0</v>
      </c>
      <c r="V502" s="360">
        <f t="shared" si="97"/>
        <v>0</v>
      </c>
      <c r="W502" s="360">
        <f t="shared" si="98"/>
        <v>0</v>
      </c>
      <c r="X502" s="360">
        <f t="shared" si="99"/>
        <v>0</v>
      </c>
      <c r="Y502" s="360">
        <f t="shared" si="100"/>
        <v>0</v>
      </c>
      <c r="Z502" s="360">
        <f t="shared" si="101"/>
        <v>0</v>
      </c>
    </row>
    <row r="503" spans="1:26" s="352" customFormat="1" ht="12.75" x14ac:dyDescent="0.2">
      <c r="A503" s="348">
        <f>IF(ADSI!$G$12="",ADSI!$H$16,ADSI!$H$12)</f>
        <v>6</v>
      </c>
      <c r="B503" s="348" t="str">
        <f ca="1">IF(ADSI!$G$12="",ADSI!$H$16,ADSI!$H$14)</f>
        <v/>
      </c>
      <c r="C503" s="395">
        <f t="shared" si="91"/>
        <v>352</v>
      </c>
      <c r="D503" s="348">
        <f>ADSI!$K$12</f>
        <v>2021</v>
      </c>
      <c r="E503" s="360">
        <f t="shared" si="92"/>
        <v>0</v>
      </c>
      <c r="F503" s="360">
        <f t="shared" si="92"/>
        <v>0</v>
      </c>
      <c r="G503" s="360">
        <f t="shared" si="92"/>
        <v>1</v>
      </c>
      <c r="H503" s="360">
        <f t="shared" si="92"/>
        <v>4</v>
      </c>
      <c r="I503" s="360">
        <f t="shared" si="92"/>
        <v>2</v>
      </c>
      <c r="J503" s="360">
        <f t="shared" si="92"/>
        <v>2</v>
      </c>
      <c r="K503" s="360">
        <f t="shared" si="92"/>
        <v>9</v>
      </c>
      <c r="L503" s="360">
        <f t="shared" si="93"/>
        <v>0</v>
      </c>
      <c r="M503" s="360">
        <f t="shared" si="93"/>
        <v>0</v>
      </c>
      <c r="N503" s="360">
        <f t="shared" si="93"/>
        <v>0</v>
      </c>
      <c r="O503" s="360">
        <f t="shared" si="93"/>
        <v>0</v>
      </c>
      <c r="P503" s="360">
        <f t="shared" si="93"/>
        <v>0</v>
      </c>
      <c r="Q503" s="360">
        <f t="shared" si="93"/>
        <v>1</v>
      </c>
      <c r="R503" s="360">
        <f t="shared" si="93"/>
        <v>1</v>
      </c>
      <c r="S503" s="360">
        <f t="shared" si="94"/>
        <v>0</v>
      </c>
      <c r="T503" s="360">
        <f t="shared" si="95"/>
        <v>0</v>
      </c>
      <c r="U503" s="360">
        <f t="shared" si="96"/>
        <v>0</v>
      </c>
      <c r="V503" s="360">
        <f t="shared" si="97"/>
        <v>0</v>
      </c>
      <c r="W503" s="360">
        <f t="shared" si="98"/>
        <v>0</v>
      </c>
      <c r="X503" s="360">
        <f t="shared" si="99"/>
        <v>0</v>
      </c>
      <c r="Y503" s="360">
        <f t="shared" si="100"/>
        <v>0</v>
      </c>
      <c r="Z503" s="360">
        <f t="shared" si="101"/>
        <v>10</v>
      </c>
    </row>
    <row r="504" spans="1:26" s="352" customFormat="1" ht="12.75" x14ac:dyDescent="0.2">
      <c r="A504" s="348">
        <f>IF(ADSI!$G$12="",ADSI!$H$16,ADSI!$H$12)</f>
        <v>6</v>
      </c>
      <c r="B504" s="348" t="str">
        <f ca="1">IF(ADSI!$G$12="",ADSI!$H$16,ADSI!$H$14)</f>
        <v/>
      </c>
      <c r="C504" s="395">
        <f t="shared" si="91"/>
        <v>353</v>
      </c>
      <c r="D504" s="348">
        <f>ADSI!$K$12</f>
        <v>2021</v>
      </c>
      <c r="E504" s="360">
        <f t="shared" si="92"/>
        <v>1</v>
      </c>
      <c r="F504" s="360">
        <f t="shared" si="92"/>
        <v>0</v>
      </c>
      <c r="G504" s="360">
        <f t="shared" si="92"/>
        <v>0</v>
      </c>
      <c r="H504" s="360">
        <f t="shared" si="92"/>
        <v>1</v>
      </c>
      <c r="I504" s="360">
        <f t="shared" si="92"/>
        <v>3</v>
      </c>
      <c r="J504" s="360">
        <f t="shared" si="92"/>
        <v>3</v>
      </c>
      <c r="K504" s="360">
        <f t="shared" si="92"/>
        <v>8</v>
      </c>
      <c r="L504" s="360">
        <f t="shared" si="93"/>
        <v>0</v>
      </c>
      <c r="M504" s="360">
        <f t="shared" si="93"/>
        <v>0</v>
      </c>
      <c r="N504" s="360">
        <f t="shared" si="93"/>
        <v>1</v>
      </c>
      <c r="O504" s="360">
        <f t="shared" si="93"/>
        <v>0</v>
      </c>
      <c r="P504" s="360">
        <f t="shared" si="93"/>
        <v>0</v>
      </c>
      <c r="Q504" s="360">
        <f t="shared" si="93"/>
        <v>0</v>
      </c>
      <c r="R504" s="360">
        <f t="shared" si="93"/>
        <v>1</v>
      </c>
      <c r="S504" s="360">
        <f t="shared" si="94"/>
        <v>0</v>
      </c>
      <c r="T504" s="360">
        <f t="shared" si="95"/>
        <v>0</v>
      </c>
      <c r="U504" s="360">
        <f t="shared" si="96"/>
        <v>0</v>
      </c>
      <c r="V504" s="360">
        <f t="shared" si="97"/>
        <v>0</v>
      </c>
      <c r="W504" s="360">
        <f t="shared" si="98"/>
        <v>0</v>
      </c>
      <c r="X504" s="360">
        <f t="shared" si="99"/>
        <v>0</v>
      </c>
      <c r="Y504" s="360">
        <f t="shared" si="100"/>
        <v>0</v>
      </c>
      <c r="Z504" s="360">
        <f t="shared" si="101"/>
        <v>9</v>
      </c>
    </row>
    <row r="505" spans="1:26" s="352" customFormat="1" ht="12.75" x14ac:dyDescent="0.2">
      <c r="A505" s="348">
        <f>IF(ADSI!$G$12="",ADSI!$H$16,ADSI!$H$12)</f>
        <v>6</v>
      </c>
      <c r="B505" s="348" t="str">
        <f ca="1">IF(ADSI!$G$12="",ADSI!$H$16,ADSI!$H$14)</f>
        <v/>
      </c>
      <c r="C505" s="395">
        <f t="shared" si="91"/>
        <v>354</v>
      </c>
      <c r="D505" s="348">
        <f>ADSI!$K$12</f>
        <v>2021</v>
      </c>
      <c r="E505" s="360">
        <f t="shared" si="92"/>
        <v>0</v>
      </c>
      <c r="F505" s="360">
        <f t="shared" si="92"/>
        <v>0</v>
      </c>
      <c r="G505" s="360">
        <f t="shared" si="92"/>
        <v>0</v>
      </c>
      <c r="H505" s="360">
        <f t="shared" si="92"/>
        <v>0</v>
      </c>
      <c r="I505" s="360">
        <f t="shared" si="92"/>
        <v>0</v>
      </c>
      <c r="J505" s="360">
        <f t="shared" si="92"/>
        <v>0</v>
      </c>
      <c r="K505" s="360">
        <f t="shared" si="92"/>
        <v>0</v>
      </c>
      <c r="L505" s="360">
        <f t="shared" si="93"/>
        <v>0</v>
      </c>
      <c r="M505" s="360">
        <f t="shared" si="93"/>
        <v>0</v>
      </c>
      <c r="N505" s="360">
        <f t="shared" si="93"/>
        <v>0</v>
      </c>
      <c r="O505" s="360">
        <f t="shared" si="93"/>
        <v>0</v>
      </c>
      <c r="P505" s="360">
        <f t="shared" si="93"/>
        <v>0</v>
      </c>
      <c r="Q505" s="360">
        <f t="shared" si="93"/>
        <v>0</v>
      </c>
      <c r="R505" s="360">
        <f t="shared" si="93"/>
        <v>0</v>
      </c>
      <c r="S505" s="360">
        <f t="shared" si="94"/>
        <v>0</v>
      </c>
      <c r="T505" s="360">
        <f t="shared" si="95"/>
        <v>0</v>
      </c>
      <c r="U505" s="360">
        <f t="shared" si="96"/>
        <v>0</v>
      </c>
      <c r="V505" s="360">
        <f t="shared" si="97"/>
        <v>0</v>
      </c>
      <c r="W505" s="360">
        <f t="shared" si="98"/>
        <v>0</v>
      </c>
      <c r="X505" s="360">
        <f t="shared" si="99"/>
        <v>0</v>
      </c>
      <c r="Y505" s="360">
        <f t="shared" si="100"/>
        <v>0</v>
      </c>
      <c r="Z505" s="360">
        <f t="shared" si="101"/>
        <v>0</v>
      </c>
    </row>
    <row r="506" spans="1:26" s="352" customFormat="1" ht="12.75" x14ac:dyDescent="0.2">
      <c r="A506" s="348">
        <f>IF(ADSI!$G$12="",ADSI!$H$16,ADSI!$H$12)</f>
        <v>6</v>
      </c>
      <c r="B506" s="348" t="str">
        <f ca="1">IF(ADSI!$G$12="",ADSI!$H$16,ADSI!$H$14)</f>
        <v/>
      </c>
      <c r="C506" s="395">
        <f t="shared" si="91"/>
        <v>355</v>
      </c>
      <c r="D506" s="348">
        <f>ADSI!$K$12</f>
        <v>2021</v>
      </c>
      <c r="E506" s="360">
        <f t="shared" si="92"/>
        <v>0</v>
      </c>
      <c r="F506" s="360">
        <f t="shared" si="92"/>
        <v>0</v>
      </c>
      <c r="G506" s="360">
        <f t="shared" si="92"/>
        <v>0</v>
      </c>
      <c r="H506" s="360">
        <f t="shared" si="92"/>
        <v>0</v>
      </c>
      <c r="I506" s="360">
        <f t="shared" si="92"/>
        <v>0</v>
      </c>
      <c r="J506" s="360">
        <f t="shared" si="92"/>
        <v>0</v>
      </c>
      <c r="K506" s="360">
        <f t="shared" si="92"/>
        <v>0</v>
      </c>
      <c r="L506" s="360">
        <f t="shared" si="93"/>
        <v>0</v>
      </c>
      <c r="M506" s="360">
        <f t="shared" si="93"/>
        <v>0</v>
      </c>
      <c r="N506" s="360">
        <f t="shared" si="93"/>
        <v>0</v>
      </c>
      <c r="O506" s="360">
        <f t="shared" si="93"/>
        <v>0</v>
      </c>
      <c r="P506" s="360">
        <f t="shared" si="93"/>
        <v>0</v>
      </c>
      <c r="Q506" s="360">
        <f t="shared" si="93"/>
        <v>0</v>
      </c>
      <c r="R506" s="360">
        <f t="shared" si="93"/>
        <v>0</v>
      </c>
      <c r="S506" s="360">
        <f t="shared" si="94"/>
        <v>0</v>
      </c>
      <c r="T506" s="360">
        <f t="shared" si="95"/>
        <v>0</v>
      </c>
      <c r="U506" s="360">
        <f t="shared" si="96"/>
        <v>0</v>
      </c>
      <c r="V506" s="360">
        <f t="shared" si="97"/>
        <v>0</v>
      </c>
      <c r="W506" s="360">
        <f t="shared" si="98"/>
        <v>0</v>
      </c>
      <c r="X506" s="360">
        <f t="shared" si="99"/>
        <v>0</v>
      </c>
      <c r="Y506" s="360">
        <f t="shared" si="100"/>
        <v>0</v>
      </c>
      <c r="Z506" s="360">
        <f t="shared" si="101"/>
        <v>0</v>
      </c>
    </row>
    <row r="507" spans="1:26" s="352" customFormat="1" ht="12.75" x14ac:dyDescent="0.2">
      <c r="A507" s="348">
        <f>IF(ADSI!$G$12="",ADSI!$H$16,ADSI!$H$12)</f>
        <v>6</v>
      </c>
      <c r="B507" s="348" t="str">
        <f ca="1">IF(ADSI!$G$12="",ADSI!$H$16,ADSI!$H$14)</f>
        <v/>
      </c>
      <c r="C507" s="395">
        <f t="shared" si="91"/>
        <v>356</v>
      </c>
      <c r="D507" s="348">
        <f>ADSI!$K$12</f>
        <v>2021</v>
      </c>
      <c r="E507" s="360">
        <f t="shared" si="92"/>
        <v>0</v>
      </c>
      <c r="F507" s="360">
        <f t="shared" si="92"/>
        <v>0</v>
      </c>
      <c r="G507" s="360">
        <f t="shared" si="92"/>
        <v>0</v>
      </c>
      <c r="H507" s="360">
        <f t="shared" si="92"/>
        <v>0</v>
      </c>
      <c r="I507" s="360">
        <f t="shared" si="92"/>
        <v>0</v>
      </c>
      <c r="J507" s="360">
        <f t="shared" si="92"/>
        <v>0</v>
      </c>
      <c r="K507" s="360">
        <f t="shared" si="92"/>
        <v>0</v>
      </c>
      <c r="L507" s="360">
        <f t="shared" si="93"/>
        <v>0</v>
      </c>
      <c r="M507" s="360">
        <f t="shared" si="93"/>
        <v>0</v>
      </c>
      <c r="N507" s="360">
        <f t="shared" si="93"/>
        <v>0</v>
      </c>
      <c r="O507" s="360">
        <f t="shared" si="93"/>
        <v>0</v>
      </c>
      <c r="P507" s="360">
        <f t="shared" si="93"/>
        <v>0</v>
      </c>
      <c r="Q507" s="360">
        <f t="shared" si="93"/>
        <v>0</v>
      </c>
      <c r="R507" s="360">
        <f t="shared" si="93"/>
        <v>0</v>
      </c>
      <c r="S507" s="360">
        <f t="shared" si="94"/>
        <v>0</v>
      </c>
      <c r="T507" s="360">
        <f t="shared" si="95"/>
        <v>0</v>
      </c>
      <c r="U507" s="360">
        <f t="shared" si="96"/>
        <v>0</v>
      </c>
      <c r="V507" s="360">
        <f t="shared" si="97"/>
        <v>0</v>
      </c>
      <c r="W507" s="360">
        <f t="shared" si="98"/>
        <v>0</v>
      </c>
      <c r="X507" s="360">
        <f t="shared" si="99"/>
        <v>0</v>
      </c>
      <c r="Y507" s="360">
        <f t="shared" si="100"/>
        <v>0</v>
      </c>
      <c r="Z507" s="360">
        <f t="shared" si="101"/>
        <v>0</v>
      </c>
    </row>
    <row r="508" spans="1:26" s="352" customFormat="1" ht="12.75" x14ac:dyDescent="0.2">
      <c r="A508" s="348">
        <f>IF(ADSI!$G$12="",ADSI!$H$16,ADSI!$H$12)</f>
        <v>6</v>
      </c>
      <c r="B508" s="348" t="str">
        <f ca="1">IF(ADSI!$G$12="",ADSI!$H$16,ADSI!$H$14)</f>
        <v/>
      </c>
      <c r="C508" s="395">
        <f t="shared" si="91"/>
        <v>357</v>
      </c>
      <c r="D508" s="348">
        <f>ADSI!$K$12</f>
        <v>2021</v>
      </c>
      <c r="E508" s="360">
        <f t="shared" si="92"/>
        <v>0</v>
      </c>
      <c r="F508" s="360">
        <f t="shared" si="92"/>
        <v>0</v>
      </c>
      <c r="G508" s="360">
        <f t="shared" si="92"/>
        <v>0</v>
      </c>
      <c r="H508" s="360">
        <f t="shared" si="92"/>
        <v>0</v>
      </c>
      <c r="I508" s="360">
        <f t="shared" si="92"/>
        <v>0</v>
      </c>
      <c r="J508" s="360">
        <f t="shared" si="92"/>
        <v>0</v>
      </c>
      <c r="K508" s="360">
        <f t="shared" si="92"/>
        <v>0</v>
      </c>
      <c r="L508" s="360">
        <f t="shared" si="93"/>
        <v>0</v>
      </c>
      <c r="M508" s="360">
        <f t="shared" si="93"/>
        <v>0</v>
      </c>
      <c r="N508" s="360">
        <f t="shared" si="93"/>
        <v>0</v>
      </c>
      <c r="O508" s="360">
        <f t="shared" si="93"/>
        <v>0</v>
      </c>
      <c r="P508" s="360">
        <f t="shared" si="93"/>
        <v>0</v>
      </c>
      <c r="Q508" s="360">
        <f t="shared" si="93"/>
        <v>0</v>
      </c>
      <c r="R508" s="360">
        <f t="shared" si="93"/>
        <v>0</v>
      </c>
      <c r="S508" s="360">
        <f t="shared" si="94"/>
        <v>0</v>
      </c>
      <c r="T508" s="360">
        <f t="shared" si="95"/>
        <v>0</v>
      </c>
      <c r="U508" s="360">
        <f t="shared" si="96"/>
        <v>0</v>
      </c>
      <c r="V508" s="360">
        <f t="shared" si="97"/>
        <v>0</v>
      </c>
      <c r="W508" s="360">
        <f t="shared" si="98"/>
        <v>0</v>
      </c>
      <c r="X508" s="360">
        <f t="shared" si="99"/>
        <v>0</v>
      </c>
      <c r="Y508" s="360">
        <f t="shared" si="100"/>
        <v>0</v>
      </c>
      <c r="Z508" s="360">
        <f t="shared" si="101"/>
        <v>0</v>
      </c>
    </row>
    <row r="509" spans="1:26" s="352" customFormat="1" ht="12.75" x14ac:dyDescent="0.2">
      <c r="A509" s="348">
        <f>IF(ADSI!$G$12="",ADSI!$H$16,ADSI!$H$12)</f>
        <v>6</v>
      </c>
      <c r="B509" s="348" t="str">
        <f ca="1">IF(ADSI!$G$12="",ADSI!$H$16,ADSI!$H$14)</f>
        <v/>
      </c>
      <c r="C509" s="395">
        <f t="shared" si="91"/>
        <v>358</v>
      </c>
      <c r="D509" s="348">
        <f>ADSI!$K$12</f>
        <v>2021</v>
      </c>
      <c r="E509" s="360">
        <f t="shared" si="92"/>
        <v>0</v>
      </c>
      <c r="F509" s="360">
        <f t="shared" si="92"/>
        <v>0</v>
      </c>
      <c r="G509" s="360">
        <f t="shared" si="92"/>
        <v>0</v>
      </c>
      <c r="H509" s="360">
        <f t="shared" si="92"/>
        <v>0</v>
      </c>
      <c r="I509" s="360">
        <f t="shared" si="92"/>
        <v>1</v>
      </c>
      <c r="J509" s="360">
        <f t="shared" si="92"/>
        <v>0</v>
      </c>
      <c r="K509" s="360">
        <f t="shared" si="92"/>
        <v>1</v>
      </c>
      <c r="L509" s="360">
        <f t="shared" si="93"/>
        <v>0</v>
      </c>
      <c r="M509" s="360">
        <f t="shared" si="93"/>
        <v>0</v>
      </c>
      <c r="N509" s="360">
        <f t="shared" si="93"/>
        <v>0</v>
      </c>
      <c r="O509" s="360">
        <f t="shared" si="93"/>
        <v>0</v>
      </c>
      <c r="P509" s="360">
        <f t="shared" si="93"/>
        <v>0</v>
      </c>
      <c r="Q509" s="360">
        <f t="shared" si="93"/>
        <v>1</v>
      </c>
      <c r="R509" s="360">
        <f t="shared" si="93"/>
        <v>1</v>
      </c>
      <c r="S509" s="360">
        <f t="shared" si="94"/>
        <v>0</v>
      </c>
      <c r="T509" s="360">
        <f t="shared" si="95"/>
        <v>0</v>
      </c>
      <c r="U509" s="360">
        <f t="shared" si="96"/>
        <v>0</v>
      </c>
      <c r="V509" s="360">
        <f t="shared" si="97"/>
        <v>0</v>
      </c>
      <c r="W509" s="360">
        <f t="shared" si="98"/>
        <v>0</v>
      </c>
      <c r="X509" s="360">
        <f t="shared" si="99"/>
        <v>0</v>
      </c>
      <c r="Y509" s="360">
        <f t="shared" si="100"/>
        <v>0</v>
      </c>
      <c r="Z509" s="360">
        <f t="shared" si="101"/>
        <v>2</v>
      </c>
    </row>
    <row r="510" spans="1:26" s="352" customFormat="1" ht="12.75" x14ac:dyDescent="0.2">
      <c r="A510" s="348">
        <f>IF(ADSI!$G$12="",ADSI!$H$16,ADSI!$H$12)</f>
        <v>6</v>
      </c>
      <c r="B510" s="348" t="str">
        <f ca="1">IF(ADSI!$G$12="",ADSI!$H$16,ADSI!$H$14)</f>
        <v/>
      </c>
      <c r="C510" s="395">
        <f t="shared" si="91"/>
        <v>359</v>
      </c>
      <c r="D510" s="348">
        <f>ADSI!$K$12</f>
        <v>2021</v>
      </c>
      <c r="E510" s="360">
        <f t="shared" si="92"/>
        <v>0</v>
      </c>
      <c r="F510" s="360">
        <f t="shared" si="92"/>
        <v>0</v>
      </c>
      <c r="G510" s="360">
        <f t="shared" si="92"/>
        <v>0</v>
      </c>
      <c r="H510" s="360">
        <f t="shared" si="92"/>
        <v>0</v>
      </c>
      <c r="I510" s="360">
        <f t="shared" si="92"/>
        <v>3</v>
      </c>
      <c r="J510" s="360">
        <f t="shared" si="92"/>
        <v>1</v>
      </c>
      <c r="K510" s="360">
        <f t="shared" si="92"/>
        <v>4</v>
      </c>
      <c r="L510" s="360">
        <f t="shared" si="93"/>
        <v>0</v>
      </c>
      <c r="M510" s="360">
        <f t="shared" si="93"/>
        <v>0</v>
      </c>
      <c r="N510" s="360">
        <f t="shared" si="93"/>
        <v>0</v>
      </c>
      <c r="O510" s="360">
        <f t="shared" si="93"/>
        <v>0</v>
      </c>
      <c r="P510" s="360">
        <f t="shared" si="93"/>
        <v>0</v>
      </c>
      <c r="Q510" s="360">
        <f t="shared" si="93"/>
        <v>2</v>
      </c>
      <c r="R510" s="360">
        <f t="shared" si="93"/>
        <v>2</v>
      </c>
      <c r="S510" s="360">
        <f t="shared" si="94"/>
        <v>0</v>
      </c>
      <c r="T510" s="360">
        <f t="shared" si="95"/>
        <v>0</v>
      </c>
      <c r="U510" s="360">
        <f t="shared" si="96"/>
        <v>0</v>
      </c>
      <c r="V510" s="360">
        <f t="shared" si="97"/>
        <v>0</v>
      </c>
      <c r="W510" s="360">
        <f t="shared" si="98"/>
        <v>0</v>
      </c>
      <c r="X510" s="360">
        <f t="shared" si="99"/>
        <v>0</v>
      </c>
      <c r="Y510" s="360">
        <f t="shared" si="100"/>
        <v>0</v>
      </c>
      <c r="Z510" s="360">
        <f t="shared" si="101"/>
        <v>6</v>
      </c>
    </row>
    <row r="511" spans="1:26" s="352" customFormat="1" ht="12.75" x14ac:dyDescent="0.2">
      <c r="A511" s="348">
        <f>IF(ADSI!$G$12="",ADSI!$H$16,ADSI!$H$12)</f>
        <v>6</v>
      </c>
      <c r="B511" s="348" t="str">
        <f ca="1">IF(ADSI!$G$12="",ADSI!$H$16,ADSI!$H$14)</f>
        <v/>
      </c>
      <c r="C511" s="395">
        <f t="shared" si="91"/>
        <v>360</v>
      </c>
      <c r="D511" s="348">
        <f>ADSI!$K$12</f>
        <v>2021</v>
      </c>
      <c r="E511" s="360">
        <f t="shared" ref="E511:K520" si="102">D19</f>
        <v>0</v>
      </c>
      <c r="F511" s="360">
        <f t="shared" si="102"/>
        <v>0</v>
      </c>
      <c r="G511" s="360">
        <f t="shared" si="102"/>
        <v>0</v>
      </c>
      <c r="H511" s="360">
        <f t="shared" si="102"/>
        <v>0</v>
      </c>
      <c r="I511" s="360">
        <f t="shared" si="102"/>
        <v>1</v>
      </c>
      <c r="J511" s="360">
        <f t="shared" si="102"/>
        <v>0</v>
      </c>
      <c r="K511" s="360">
        <f t="shared" si="102"/>
        <v>1</v>
      </c>
      <c r="L511" s="360">
        <f t="shared" ref="L511:R520" si="103">M19</f>
        <v>0</v>
      </c>
      <c r="M511" s="360">
        <f t="shared" si="103"/>
        <v>0</v>
      </c>
      <c r="N511" s="360">
        <f t="shared" si="103"/>
        <v>0</v>
      </c>
      <c r="O511" s="360">
        <f t="shared" si="103"/>
        <v>0</v>
      </c>
      <c r="P511" s="360">
        <f t="shared" si="103"/>
        <v>0</v>
      </c>
      <c r="Q511" s="360">
        <f t="shared" si="103"/>
        <v>0</v>
      </c>
      <c r="R511" s="360">
        <f t="shared" si="103"/>
        <v>0</v>
      </c>
      <c r="S511" s="360">
        <f t="shared" si="94"/>
        <v>0</v>
      </c>
      <c r="T511" s="360">
        <f t="shared" si="95"/>
        <v>0</v>
      </c>
      <c r="U511" s="360">
        <f t="shared" si="96"/>
        <v>0</v>
      </c>
      <c r="V511" s="360">
        <f t="shared" si="97"/>
        <v>0</v>
      </c>
      <c r="W511" s="360">
        <f t="shared" si="98"/>
        <v>0</v>
      </c>
      <c r="X511" s="360">
        <f t="shared" si="99"/>
        <v>0</v>
      </c>
      <c r="Y511" s="360">
        <f t="shared" si="100"/>
        <v>0</v>
      </c>
      <c r="Z511" s="360">
        <f t="shared" si="101"/>
        <v>1</v>
      </c>
    </row>
    <row r="512" spans="1:26" s="352" customFormat="1" ht="12.75" x14ac:dyDescent="0.2">
      <c r="A512" s="348">
        <f>IF(ADSI!$G$12="",ADSI!$H$16,ADSI!$H$12)</f>
        <v>6</v>
      </c>
      <c r="B512" s="348" t="str">
        <f ca="1">IF(ADSI!$G$12="",ADSI!$H$16,ADSI!$H$14)</f>
        <v/>
      </c>
      <c r="C512" s="395">
        <f t="shared" si="91"/>
        <v>361</v>
      </c>
      <c r="D512" s="348">
        <f>ADSI!$K$12</f>
        <v>2021</v>
      </c>
      <c r="E512" s="360">
        <f t="shared" si="102"/>
        <v>0</v>
      </c>
      <c r="F512" s="360">
        <f t="shared" si="102"/>
        <v>0</v>
      </c>
      <c r="G512" s="360">
        <f t="shared" si="102"/>
        <v>0</v>
      </c>
      <c r="H512" s="360">
        <f t="shared" si="102"/>
        <v>0</v>
      </c>
      <c r="I512" s="360">
        <f t="shared" si="102"/>
        <v>1</v>
      </c>
      <c r="J512" s="360">
        <f t="shared" si="102"/>
        <v>1</v>
      </c>
      <c r="K512" s="360">
        <f t="shared" si="102"/>
        <v>2</v>
      </c>
      <c r="L512" s="360">
        <f t="shared" si="103"/>
        <v>0</v>
      </c>
      <c r="M512" s="360">
        <f t="shared" si="103"/>
        <v>0</v>
      </c>
      <c r="N512" s="360">
        <f t="shared" si="103"/>
        <v>0</v>
      </c>
      <c r="O512" s="360">
        <f t="shared" si="103"/>
        <v>0</v>
      </c>
      <c r="P512" s="360">
        <f t="shared" si="103"/>
        <v>0</v>
      </c>
      <c r="Q512" s="360">
        <f t="shared" si="103"/>
        <v>1</v>
      </c>
      <c r="R512" s="360">
        <f t="shared" si="103"/>
        <v>1</v>
      </c>
      <c r="S512" s="360">
        <f t="shared" si="94"/>
        <v>0</v>
      </c>
      <c r="T512" s="360">
        <f t="shared" si="95"/>
        <v>0</v>
      </c>
      <c r="U512" s="360">
        <f t="shared" si="96"/>
        <v>0</v>
      </c>
      <c r="V512" s="360">
        <f t="shared" si="97"/>
        <v>0</v>
      </c>
      <c r="W512" s="360">
        <f t="shared" si="98"/>
        <v>0</v>
      </c>
      <c r="X512" s="360">
        <f t="shared" si="99"/>
        <v>0</v>
      </c>
      <c r="Y512" s="360">
        <f t="shared" si="100"/>
        <v>0</v>
      </c>
      <c r="Z512" s="360">
        <f t="shared" si="101"/>
        <v>3</v>
      </c>
    </row>
    <row r="513" spans="1:26" s="352" customFormat="1" ht="12.75" x14ac:dyDescent="0.2">
      <c r="A513" s="348">
        <f>IF(ADSI!$G$12="",ADSI!$H$16,ADSI!$H$12)</f>
        <v>6</v>
      </c>
      <c r="B513" s="348" t="str">
        <f ca="1">IF(ADSI!$G$12="",ADSI!$H$16,ADSI!$H$14)</f>
        <v/>
      </c>
      <c r="C513" s="395">
        <f t="shared" si="91"/>
        <v>362</v>
      </c>
      <c r="D513" s="348">
        <f>ADSI!$K$12</f>
        <v>2021</v>
      </c>
      <c r="E513" s="360">
        <f t="shared" si="102"/>
        <v>0</v>
      </c>
      <c r="F513" s="360">
        <f t="shared" si="102"/>
        <v>0</v>
      </c>
      <c r="G513" s="360">
        <f t="shared" si="102"/>
        <v>0</v>
      </c>
      <c r="H513" s="360">
        <f t="shared" si="102"/>
        <v>0</v>
      </c>
      <c r="I513" s="360">
        <f t="shared" si="102"/>
        <v>0</v>
      </c>
      <c r="J513" s="360">
        <f t="shared" si="102"/>
        <v>0</v>
      </c>
      <c r="K513" s="360">
        <f t="shared" si="102"/>
        <v>0</v>
      </c>
      <c r="L513" s="360">
        <f t="shared" si="103"/>
        <v>0</v>
      </c>
      <c r="M513" s="360">
        <f t="shared" si="103"/>
        <v>0</v>
      </c>
      <c r="N513" s="360">
        <f t="shared" si="103"/>
        <v>0</v>
      </c>
      <c r="O513" s="360">
        <f t="shared" si="103"/>
        <v>0</v>
      </c>
      <c r="P513" s="360">
        <f t="shared" si="103"/>
        <v>0</v>
      </c>
      <c r="Q513" s="360">
        <f t="shared" si="103"/>
        <v>0</v>
      </c>
      <c r="R513" s="360">
        <f t="shared" si="103"/>
        <v>0</v>
      </c>
      <c r="S513" s="360">
        <f t="shared" si="94"/>
        <v>0</v>
      </c>
      <c r="T513" s="360">
        <f t="shared" si="95"/>
        <v>0</v>
      </c>
      <c r="U513" s="360">
        <f t="shared" si="96"/>
        <v>0</v>
      </c>
      <c r="V513" s="360">
        <f t="shared" si="97"/>
        <v>0</v>
      </c>
      <c r="W513" s="360">
        <f t="shared" si="98"/>
        <v>0</v>
      </c>
      <c r="X513" s="360">
        <f t="shared" si="99"/>
        <v>0</v>
      </c>
      <c r="Y513" s="360">
        <f t="shared" si="100"/>
        <v>0</v>
      </c>
      <c r="Z513" s="360">
        <f t="shared" si="101"/>
        <v>0</v>
      </c>
    </row>
    <row r="514" spans="1:26" s="352" customFormat="1" ht="12.75" x14ac:dyDescent="0.2">
      <c r="A514" s="348">
        <f>IF(ADSI!$G$12="",ADSI!$H$16,ADSI!$H$12)</f>
        <v>6</v>
      </c>
      <c r="B514" s="348" t="str">
        <f ca="1">IF(ADSI!$G$12="",ADSI!$H$16,ADSI!$H$14)</f>
        <v/>
      </c>
      <c r="C514" s="395">
        <f t="shared" si="91"/>
        <v>363</v>
      </c>
      <c r="D514" s="348">
        <f>ADSI!$K$12</f>
        <v>2021</v>
      </c>
      <c r="E514" s="360">
        <f t="shared" si="102"/>
        <v>0</v>
      </c>
      <c r="F514" s="360">
        <f t="shared" si="102"/>
        <v>0</v>
      </c>
      <c r="G514" s="360">
        <f t="shared" si="102"/>
        <v>0</v>
      </c>
      <c r="H514" s="360">
        <f t="shared" si="102"/>
        <v>0</v>
      </c>
      <c r="I514" s="360">
        <f t="shared" si="102"/>
        <v>0</v>
      </c>
      <c r="J514" s="360">
        <f t="shared" si="102"/>
        <v>0</v>
      </c>
      <c r="K514" s="360">
        <f t="shared" si="102"/>
        <v>0</v>
      </c>
      <c r="L514" s="360">
        <f t="shared" si="103"/>
        <v>0</v>
      </c>
      <c r="M514" s="360">
        <f t="shared" si="103"/>
        <v>0</v>
      </c>
      <c r="N514" s="360">
        <f t="shared" si="103"/>
        <v>0</v>
      </c>
      <c r="O514" s="360">
        <f t="shared" si="103"/>
        <v>0</v>
      </c>
      <c r="P514" s="360">
        <f t="shared" si="103"/>
        <v>0</v>
      </c>
      <c r="Q514" s="360">
        <f t="shared" si="103"/>
        <v>0</v>
      </c>
      <c r="R514" s="360">
        <f t="shared" si="103"/>
        <v>0</v>
      </c>
      <c r="S514" s="360">
        <f t="shared" si="94"/>
        <v>0</v>
      </c>
      <c r="T514" s="360">
        <f t="shared" si="95"/>
        <v>0</v>
      </c>
      <c r="U514" s="360">
        <f t="shared" si="96"/>
        <v>0</v>
      </c>
      <c r="V514" s="360">
        <f t="shared" si="97"/>
        <v>0</v>
      </c>
      <c r="W514" s="360">
        <f t="shared" si="98"/>
        <v>0</v>
      </c>
      <c r="X514" s="360">
        <f t="shared" si="99"/>
        <v>0</v>
      </c>
      <c r="Y514" s="360">
        <f t="shared" si="100"/>
        <v>0</v>
      </c>
      <c r="Z514" s="360">
        <f t="shared" si="101"/>
        <v>0</v>
      </c>
    </row>
    <row r="515" spans="1:26" s="352" customFormat="1" ht="12.75" x14ac:dyDescent="0.2">
      <c r="A515" s="348">
        <f>IF(ADSI!$G$12="",ADSI!$H$16,ADSI!$H$12)</f>
        <v>6</v>
      </c>
      <c r="B515" s="348" t="str">
        <f ca="1">IF(ADSI!$G$12="",ADSI!$H$16,ADSI!$H$14)</f>
        <v/>
      </c>
      <c r="C515" s="395">
        <f t="shared" si="91"/>
        <v>364</v>
      </c>
      <c r="D515" s="348">
        <f>ADSI!$K$12</f>
        <v>2021</v>
      </c>
      <c r="E515" s="360">
        <f t="shared" si="102"/>
        <v>0</v>
      </c>
      <c r="F515" s="360">
        <f t="shared" si="102"/>
        <v>0</v>
      </c>
      <c r="G515" s="360">
        <f t="shared" si="102"/>
        <v>0</v>
      </c>
      <c r="H515" s="360">
        <f t="shared" si="102"/>
        <v>0</v>
      </c>
      <c r="I515" s="360">
        <f t="shared" si="102"/>
        <v>0</v>
      </c>
      <c r="J515" s="360">
        <f t="shared" si="102"/>
        <v>0</v>
      </c>
      <c r="K515" s="360">
        <f t="shared" si="102"/>
        <v>0</v>
      </c>
      <c r="L515" s="360">
        <f t="shared" si="103"/>
        <v>0</v>
      </c>
      <c r="M515" s="360">
        <f t="shared" si="103"/>
        <v>0</v>
      </c>
      <c r="N515" s="360">
        <f t="shared" si="103"/>
        <v>0</v>
      </c>
      <c r="O515" s="360">
        <f t="shared" si="103"/>
        <v>0</v>
      </c>
      <c r="P515" s="360">
        <f t="shared" si="103"/>
        <v>0</v>
      </c>
      <c r="Q515" s="360">
        <f t="shared" si="103"/>
        <v>0</v>
      </c>
      <c r="R515" s="360">
        <f t="shared" si="103"/>
        <v>0</v>
      </c>
      <c r="S515" s="360">
        <f t="shared" si="94"/>
        <v>0</v>
      </c>
      <c r="T515" s="360">
        <f t="shared" si="95"/>
        <v>0</v>
      </c>
      <c r="U515" s="360">
        <f t="shared" si="96"/>
        <v>0</v>
      </c>
      <c r="V515" s="360">
        <f t="shared" si="97"/>
        <v>0</v>
      </c>
      <c r="W515" s="360">
        <f t="shared" si="98"/>
        <v>0</v>
      </c>
      <c r="X515" s="360">
        <f t="shared" si="99"/>
        <v>0</v>
      </c>
      <c r="Y515" s="360">
        <f t="shared" si="100"/>
        <v>0</v>
      </c>
      <c r="Z515" s="360">
        <f t="shared" si="101"/>
        <v>0</v>
      </c>
    </row>
    <row r="516" spans="1:26" s="352" customFormat="1" ht="12.75" x14ac:dyDescent="0.2">
      <c r="A516" s="348">
        <f>IF(ADSI!$G$12="",ADSI!$H$16,ADSI!$H$12)</f>
        <v>6</v>
      </c>
      <c r="B516" s="348" t="str">
        <f ca="1">IF(ADSI!$G$12="",ADSI!$H$16,ADSI!$H$14)</f>
        <v/>
      </c>
      <c r="C516" s="395">
        <f t="shared" si="91"/>
        <v>365</v>
      </c>
      <c r="D516" s="348">
        <f>ADSI!$K$12</f>
        <v>2021</v>
      </c>
      <c r="E516" s="360">
        <f t="shared" si="102"/>
        <v>0</v>
      </c>
      <c r="F516" s="360">
        <f t="shared" si="102"/>
        <v>0</v>
      </c>
      <c r="G516" s="360">
        <f t="shared" si="102"/>
        <v>0</v>
      </c>
      <c r="H516" s="360">
        <f t="shared" si="102"/>
        <v>0</v>
      </c>
      <c r="I516" s="360">
        <f t="shared" si="102"/>
        <v>1</v>
      </c>
      <c r="J516" s="360">
        <f t="shared" si="102"/>
        <v>0</v>
      </c>
      <c r="K516" s="360">
        <f t="shared" si="102"/>
        <v>1</v>
      </c>
      <c r="L516" s="360">
        <f t="shared" si="103"/>
        <v>0</v>
      </c>
      <c r="M516" s="360">
        <f t="shared" si="103"/>
        <v>0</v>
      </c>
      <c r="N516" s="360">
        <f t="shared" si="103"/>
        <v>0</v>
      </c>
      <c r="O516" s="360">
        <f t="shared" si="103"/>
        <v>0</v>
      </c>
      <c r="P516" s="360">
        <f t="shared" si="103"/>
        <v>0</v>
      </c>
      <c r="Q516" s="360">
        <f t="shared" si="103"/>
        <v>1</v>
      </c>
      <c r="R516" s="360">
        <f t="shared" si="103"/>
        <v>1</v>
      </c>
      <c r="S516" s="360">
        <f t="shared" si="94"/>
        <v>0</v>
      </c>
      <c r="T516" s="360">
        <f t="shared" si="95"/>
        <v>0</v>
      </c>
      <c r="U516" s="360">
        <f t="shared" si="96"/>
        <v>0</v>
      </c>
      <c r="V516" s="360">
        <f t="shared" si="97"/>
        <v>0</v>
      </c>
      <c r="W516" s="360">
        <f t="shared" si="98"/>
        <v>0</v>
      </c>
      <c r="X516" s="360">
        <f t="shared" si="99"/>
        <v>0</v>
      </c>
      <c r="Y516" s="360">
        <f t="shared" si="100"/>
        <v>0</v>
      </c>
      <c r="Z516" s="360">
        <f t="shared" si="101"/>
        <v>2</v>
      </c>
    </row>
    <row r="517" spans="1:26" s="352" customFormat="1" ht="12.75" x14ac:dyDescent="0.2">
      <c r="A517" s="348">
        <f>IF(ADSI!$G$12="",ADSI!$H$16,ADSI!$H$12)</f>
        <v>6</v>
      </c>
      <c r="B517" s="348" t="str">
        <f ca="1">IF(ADSI!$G$12="",ADSI!$H$16,ADSI!$H$14)</f>
        <v/>
      </c>
      <c r="C517" s="395">
        <f t="shared" si="91"/>
        <v>366</v>
      </c>
      <c r="D517" s="348">
        <f>ADSI!$K$12</f>
        <v>2021</v>
      </c>
      <c r="E517" s="360">
        <f t="shared" si="102"/>
        <v>0</v>
      </c>
      <c r="F517" s="360">
        <f t="shared" si="102"/>
        <v>0</v>
      </c>
      <c r="G517" s="360">
        <f t="shared" si="102"/>
        <v>0</v>
      </c>
      <c r="H517" s="360">
        <f t="shared" si="102"/>
        <v>0</v>
      </c>
      <c r="I517" s="360">
        <f t="shared" si="102"/>
        <v>0</v>
      </c>
      <c r="J517" s="360">
        <f t="shared" si="102"/>
        <v>0</v>
      </c>
      <c r="K517" s="360">
        <f t="shared" si="102"/>
        <v>0</v>
      </c>
      <c r="L517" s="360">
        <f t="shared" si="103"/>
        <v>0</v>
      </c>
      <c r="M517" s="360">
        <f t="shared" si="103"/>
        <v>0</v>
      </c>
      <c r="N517" s="360">
        <f t="shared" si="103"/>
        <v>0</v>
      </c>
      <c r="O517" s="360">
        <f t="shared" si="103"/>
        <v>0</v>
      </c>
      <c r="P517" s="360">
        <f t="shared" si="103"/>
        <v>0</v>
      </c>
      <c r="Q517" s="360">
        <f t="shared" si="103"/>
        <v>0</v>
      </c>
      <c r="R517" s="360">
        <f t="shared" si="103"/>
        <v>0</v>
      </c>
      <c r="S517" s="360">
        <f t="shared" si="94"/>
        <v>0</v>
      </c>
      <c r="T517" s="360">
        <f t="shared" si="95"/>
        <v>0</v>
      </c>
      <c r="U517" s="360">
        <f t="shared" si="96"/>
        <v>0</v>
      </c>
      <c r="V517" s="360">
        <f t="shared" si="97"/>
        <v>0</v>
      </c>
      <c r="W517" s="360">
        <f t="shared" si="98"/>
        <v>0</v>
      </c>
      <c r="X517" s="360">
        <f t="shared" si="99"/>
        <v>0</v>
      </c>
      <c r="Y517" s="360">
        <f t="shared" si="100"/>
        <v>0</v>
      </c>
      <c r="Z517" s="360">
        <f t="shared" si="101"/>
        <v>0</v>
      </c>
    </row>
    <row r="518" spans="1:26" s="352" customFormat="1" ht="12.75" x14ac:dyDescent="0.2">
      <c r="A518" s="348">
        <f>IF(ADSI!$G$12="",ADSI!$H$16,ADSI!$H$12)</f>
        <v>6</v>
      </c>
      <c r="B518" s="348" t="str">
        <f ca="1">IF(ADSI!$G$12="",ADSI!$H$16,ADSI!$H$14)</f>
        <v/>
      </c>
      <c r="C518" s="395">
        <f t="shared" si="91"/>
        <v>367</v>
      </c>
      <c r="D518" s="348">
        <f>ADSI!$K$12</f>
        <v>2021</v>
      </c>
      <c r="E518" s="360">
        <f t="shared" si="102"/>
        <v>0</v>
      </c>
      <c r="F518" s="360">
        <f t="shared" si="102"/>
        <v>0</v>
      </c>
      <c r="G518" s="360">
        <f t="shared" si="102"/>
        <v>0</v>
      </c>
      <c r="H518" s="360">
        <f t="shared" si="102"/>
        <v>0</v>
      </c>
      <c r="I518" s="360">
        <f t="shared" si="102"/>
        <v>0</v>
      </c>
      <c r="J518" s="360">
        <f t="shared" si="102"/>
        <v>0</v>
      </c>
      <c r="K518" s="360">
        <f t="shared" si="102"/>
        <v>0</v>
      </c>
      <c r="L518" s="360">
        <f t="shared" si="103"/>
        <v>0</v>
      </c>
      <c r="M518" s="360">
        <f t="shared" si="103"/>
        <v>0</v>
      </c>
      <c r="N518" s="360">
        <f t="shared" si="103"/>
        <v>0</v>
      </c>
      <c r="O518" s="360">
        <f t="shared" si="103"/>
        <v>0</v>
      </c>
      <c r="P518" s="360">
        <f t="shared" si="103"/>
        <v>0</v>
      </c>
      <c r="Q518" s="360">
        <f t="shared" si="103"/>
        <v>0</v>
      </c>
      <c r="R518" s="360">
        <f t="shared" si="103"/>
        <v>0</v>
      </c>
      <c r="S518" s="360">
        <f t="shared" si="94"/>
        <v>0</v>
      </c>
      <c r="T518" s="360">
        <f t="shared" si="95"/>
        <v>0</v>
      </c>
      <c r="U518" s="360">
        <f t="shared" si="96"/>
        <v>0</v>
      </c>
      <c r="V518" s="360">
        <f t="shared" si="97"/>
        <v>0</v>
      </c>
      <c r="W518" s="360">
        <f t="shared" si="98"/>
        <v>0</v>
      </c>
      <c r="X518" s="360">
        <f t="shared" si="99"/>
        <v>0</v>
      </c>
      <c r="Y518" s="360">
        <f t="shared" si="100"/>
        <v>0</v>
      </c>
      <c r="Z518" s="360">
        <f t="shared" si="101"/>
        <v>0</v>
      </c>
    </row>
    <row r="519" spans="1:26" s="352" customFormat="1" ht="12.75" x14ac:dyDescent="0.2">
      <c r="A519" s="348">
        <f>IF(ADSI!$G$12="",ADSI!$H$16,ADSI!$H$12)</f>
        <v>6</v>
      </c>
      <c r="B519" s="348" t="str">
        <f ca="1">IF(ADSI!$G$12="",ADSI!$H$16,ADSI!$H$14)</f>
        <v/>
      </c>
      <c r="C519" s="395">
        <f t="shared" si="91"/>
        <v>368</v>
      </c>
      <c r="D519" s="348">
        <f>ADSI!$K$12</f>
        <v>2021</v>
      </c>
      <c r="E519" s="360">
        <f t="shared" si="102"/>
        <v>1</v>
      </c>
      <c r="F519" s="360">
        <f t="shared" si="102"/>
        <v>0</v>
      </c>
      <c r="G519" s="360">
        <f t="shared" si="102"/>
        <v>0</v>
      </c>
      <c r="H519" s="360">
        <f t="shared" si="102"/>
        <v>0</v>
      </c>
      <c r="I519" s="360">
        <f t="shared" si="102"/>
        <v>0</v>
      </c>
      <c r="J519" s="360">
        <f t="shared" si="102"/>
        <v>0</v>
      </c>
      <c r="K519" s="360">
        <f t="shared" si="102"/>
        <v>1</v>
      </c>
      <c r="L519" s="360">
        <f t="shared" si="103"/>
        <v>1</v>
      </c>
      <c r="M519" s="360">
        <f t="shared" si="103"/>
        <v>0</v>
      </c>
      <c r="N519" s="360">
        <f t="shared" si="103"/>
        <v>0</v>
      </c>
      <c r="O519" s="360">
        <f t="shared" si="103"/>
        <v>0</v>
      </c>
      <c r="P519" s="360">
        <f t="shared" si="103"/>
        <v>0</v>
      </c>
      <c r="Q519" s="360">
        <f t="shared" si="103"/>
        <v>0</v>
      </c>
      <c r="R519" s="360">
        <f t="shared" si="103"/>
        <v>1</v>
      </c>
      <c r="S519" s="360">
        <f t="shared" si="94"/>
        <v>0</v>
      </c>
      <c r="T519" s="360">
        <f t="shared" si="95"/>
        <v>0</v>
      </c>
      <c r="U519" s="360">
        <f t="shared" si="96"/>
        <v>0</v>
      </c>
      <c r="V519" s="360">
        <f t="shared" si="97"/>
        <v>0</v>
      </c>
      <c r="W519" s="360">
        <f t="shared" si="98"/>
        <v>0</v>
      </c>
      <c r="X519" s="360">
        <f t="shared" si="99"/>
        <v>0</v>
      </c>
      <c r="Y519" s="360">
        <f t="shared" si="100"/>
        <v>0</v>
      </c>
      <c r="Z519" s="360">
        <f t="shared" si="101"/>
        <v>2</v>
      </c>
    </row>
    <row r="520" spans="1:26" s="352" customFormat="1" ht="12.75" x14ac:dyDescent="0.2">
      <c r="A520" s="348">
        <f>IF(ADSI!$G$12="",ADSI!$H$16,ADSI!$H$12)</f>
        <v>6</v>
      </c>
      <c r="B520" s="348" t="str">
        <f ca="1">IF(ADSI!$G$12="",ADSI!$H$16,ADSI!$H$14)</f>
        <v/>
      </c>
      <c r="C520" s="395">
        <f t="shared" si="91"/>
        <v>369</v>
      </c>
      <c r="D520" s="348">
        <f>ADSI!$K$12</f>
        <v>2021</v>
      </c>
      <c r="E520" s="360">
        <f t="shared" si="102"/>
        <v>0</v>
      </c>
      <c r="F520" s="360">
        <f t="shared" si="102"/>
        <v>0</v>
      </c>
      <c r="G520" s="360">
        <f t="shared" si="102"/>
        <v>0</v>
      </c>
      <c r="H520" s="360">
        <f t="shared" si="102"/>
        <v>0</v>
      </c>
      <c r="I520" s="360">
        <f t="shared" si="102"/>
        <v>1</v>
      </c>
      <c r="J520" s="360">
        <f t="shared" si="102"/>
        <v>0</v>
      </c>
      <c r="K520" s="360">
        <f t="shared" si="102"/>
        <v>1</v>
      </c>
      <c r="L520" s="360">
        <f t="shared" si="103"/>
        <v>0</v>
      </c>
      <c r="M520" s="360">
        <f t="shared" si="103"/>
        <v>0</v>
      </c>
      <c r="N520" s="360">
        <f t="shared" si="103"/>
        <v>0</v>
      </c>
      <c r="O520" s="360">
        <f t="shared" si="103"/>
        <v>1</v>
      </c>
      <c r="P520" s="360">
        <f t="shared" si="103"/>
        <v>0</v>
      </c>
      <c r="Q520" s="360">
        <f t="shared" si="103"/>
        <v>0</v>
      </c>
      <c r="R520" s="360">
        <f t="shared" si="103"/>
        <v>1</v>
      </c>
      <c r="S520" s="360">
        <f t="shared" si="94"/>
        <v>0</v>
      </c>
      <c r="T520" s="360">
        <f t="shared" si="95"/>
        <v>0</v>
      </c>
      <c r="U520" s="360">
        <f t="shared" si="96"/>
        <v>0</v>
      </c>
      <c r="V520" s="360">
        <f t="shared" si="97"/>
        <v>0</v>
      </c>
      <c r="W520" s="360">
        <f t="shared" si="98"/>
        <v>0</v>
      </c>
      <c r="X520" s="360">
        <f t="shared" si="99"/>
        <v>0</v>
      </c>
      <c r="Y520" s="360">
        <f t="shared" si="100"/>
        <v>0</v>
      </c>
      <c r="Z520" s="360">
        <f t="shared" si="101"/>
        <v>2</v>
      </c>
    </row>
    <row r="521" spans="1:26" s="352" customFormat="1" ht="12.75" x14ac:dyDescent="0.2">
      <c r="A521" s="348">
        <f>IF(ADSI!$G$12="",ADSI!$H$16,ADSI!$H$12)</f>
        <v>6</v>
      </c>
      <c r="B521" s="348" t="str">
        <f ca="1">IF(ADSI!$G$12="",ADSI!$H$16,ADSI!$H$14)</f>
        <v/>
      </c>
      <c r="C521" s="395">
        <f t="shared" si="91"/>
        <v>390</v>
      </c>
      <c r="D521" s="348">
        <f>ADSI!$K$12</f>
        <v>2021</v>
      </c>
      <c r="E521" s="360">
        <f t="shared" ref="E521:K521" si="104">D29</f>
        <v>2</v>
      </c>
      <c r="F521" s="360">
        <f t="shared" si="104"/>
        <v>0</v>
      </c>
      <c r="G521" s="360">
        <f t="shared" si="104"/>
        <v>1</v>
      </c>
      <c r="H521" s="360">
        <f t="shared" si="104"/>
        <v>5</v>
      </c>
      <c r="I521" s="360">
        <f t="shared" si="104"/>
        <v>10</v>
      </c>
      <c r="J521" s="360">
        <f t="shared" si="104"/>
        <v>6</v>
      </c>
      <c r="K521" s="360">
        <f t="shared" si="104"/>
        <v>24</v>
      </c>
      <c r="L521" s="360">
        <f t="shared" ref="L521:R521" si="105">M29</f>
        <v>1</v>
      </c>
      <c r="M521" s="360">
        <f t="shared" si="105"/>
        <v>0</v>
      </c>
      <c r="N521" s="360">
        <f t="shared" si="105"/>
        <v>1</v>
      </c>
      <c r="O521" s="360">
        <f t="shared" si="105"/>
        <v>1</v>
      </c>
      <c r="P521" s="360">
        <f t="shared" si="105"/>
        <v>0</v>
      </c>
      <c r="Q521" s="360">
        <f t="shared" si="105"/>
        <v>4</v>
      </c>
      <c r="R521" s="360">
        <f t="shared" si="105"/>
        <v>7</v>
      </c>
      <c r="S521" s="360">
        <f t="shared" si="94"/>
        <v>0</v>
      </c>
      <c r="T521" s="360">
        <f t="shared" si="95"/>
        <v>0</v>
      </c>
      <c r="U521" s="360">
        <f t="shared" si="96"/>
        <v>0</v>
      </c>
      <c r="V521" s="360">
        <f t="shared" si="97"/>
        <v>0</v>
      </c>
      <c r="W521" s="360">
        <f t="shared" si="98"/>
        <v>0</v>
      </c>
      <c r="X521" s="360">
        <f t="shared" si="99"/>
        <v>0</v>
      </c>
      <c r="Y521" s="360">
        <f t="shared" si="100"/>
        <v>0</v>
      </c>
      <c r="Z521" s="360">
        <f t="shared" si="101"/>
        <v>31</v>
      </c>
    </row>
    <row r="522" spans="1:26" s="352" customFormat="1" ht="12.75" x14ac:dyDescent="0.2">
      <c r="A522" s="348"/>
      <c r="B522" s="348"/>
      <c r="C522" s="395"/>
      <c r="D522" s="348"/>
      <c r="E522" s="360"/>
      <c r="F522" s="360"/>
      <c r="G522" s="360"/>
      <c r="H522" s="360"/>
      <c r="I522" s="360"/>
      <c r="J522" s="360"/>
      <c r="K522" s="360"/>
      <c r="L522" s="360"/>
      <c r="M522" s="360"/>
      <c r="N522" s="360"/>
      <c r="O522" s="360"/>
      <c r="P522" s="360"/>
      <c r="Q522" s="360"/>
      <c r="R522" s="360"/>
      <c r="S522" s="360"/>
      <c r="T522" s="360"/>
      <c r="U522" s="360"/>
      <c r="V522" s="360"/>
      <c r="W522" s="360"/>
      <c r="X522" s="360"/>
      <c r="Y522" s="360"/>
      <c r="Z522" s="360"/>
    </row>
    <row r="523" spans="1:26" s="352" customFormat="1" ht="12.75" x14ac:dyDescent="0.2">
      <c r="C523" s="353"/>
    </row>
    <row r="524" spans="1:26" s="352" customFormat="1" ht="12.75" x14ac:dyDescent="0.2">
      <c r="C524" s="353"/>
    </row>
    <row r="525" spans="1:26" s="352" customFormat="1" ht="12.75" x14ac:dyDescent="0.2">
      <c r="C525" s="353"/>
    </row>
    <row r="526" spans="1:26" s="352" customFormat="1" ht="12.75" x14ac:dyDescent="0.2">
      <c r="C526" s="353"/>
    </row>
    <row r="527" spans="1:26" s="352" customFormat="1" ht="12.75" x14ac:dyDescent="0.2">
      <c r="C527" s="353"/>
    </row>
    <row r="528" spans="1:26" s="352" customFormat="1" ht="12.75" x14ac:dyDescent="0.2">
      <c r="C528" s="353"/>
    </row>
    <row r="529" spans="3:3" s="352" customFormat="1" ht="12.75" x14ac:dyDescent="0.2">
      <c r="C529" s="353"/>
    </row>
    <row r="530" spans="3:3" s="352" customFormat="1" ht="12.75" x14ac:dyDescent="0.2">
      <c r="C530" s="353"/>
    </row>
    <row r="531" spans="3:3" s="352" customFormat="1" ht="12.75" x14ac:dyDescent="0.2">
      <c r="C531" s="353"/>
    </row>
    <row r="532" spans="3:3" s="352" customFormat="1" ht="12.75" x14ac:dyDescent="0.2">
      <c r="C532" s="353"/>
    </row>
    <row r="533" spans="3:3" s="352" customFormat="1" ht="12.75" x14ac:dyDescent="0.2">
      <c r="C533" s="353"/>
    </row>
    <row r="534" spans="3:3" s="352" customFormat="1" ht="12.75" x14ac:dyDescent="0.2">
      <c r="C534" s="353"/>
    </row>
    <row r="535" spans="3:3" s="352" customFormat="1" ht="12.75" x14ac:dyDescent="0.2">
      <c r="C535" s="353"/>
    </row>
    <row r="536" spans="3:3" s="352" customFormat="1" ht="12.75" x14ac:dyDescent="0.2">
      <c r="C536" s="353"/>
    </row>
    <row r="537" spans="3:3" s="352" customFormat="1" ht="12.75" x14ac:dyDescent="0.2">
      <c r="C537" s="353"/>
    </row>
    <row r="538" spans="3:3" s="352" customFormat="1" ht="12.75" x14ac:dyDescent="0.2">
      <c r="C538" s="353"/>
    </row>
    <row r="539" spans="3:3" s="352" customFormat="1" ht="12.75" x14ac:dyDescent="0.2">
      <c r="C539" s="353"/>
    </row>
    <row r="540" spans="3:3" s="352" customFormat="1" ht="12.75" x14ac:dyDescent="0.2">
      <c r="C540" s="353"/>
    </row>
    <row r="541" spans="3:3" s="352" customFormat="1" ht="12.75" x14ac:dyDescent="0.2">
      <c r="C541" s="353"/>
    </row>
    <row r="542" spans="3:3" s="352" customFormat="1" ht="12.75" x14ac:dyDescent="0.2">
      <c r="C542" s="353"/>
    </row>
    <row r="543" spans="3:3" s="352" customFormat="1" ht="12.75" x14ac:dyDescent="0.2">
      <c r="C543" s="353"/>
    </row>
    <row r="544" spans="3:3" s="352" customFormat="1" ht="12.75" x14ac:dyDescent="0.2"/>
    <row r="545" s="352" customFormat="1" ht="12.75" x14ac:dyDescent="0.2"/>
    <row r="546" s="352" customFormat="1" ht="12.75" x14ac:dyDescent="0.2"/>
    <row r="547" s="352" customFormat="1" ht="12.75" x14ac:dyDescent="0.2"/>
  </sheetData>
  <sheetProtection password="C614" sheet="1" objects="1" scenarios="1" selectLockedCells="1"/>
  <mergeCells count="25">
    <mergeCell ref="BA204:BA206"/>
    <mergeCell ref="CD204:CD206"/>
    <mergeCell ref="CE204:CE207"/>
    <mergeCell ref="CF204:CF207"/>
    <mergeCell ref="BC204:CC204"/>
    <mergeCell ref="BU205:CC205"/>
    <mergeCell ref="BL205:BT205"/>
    <mergeCell ref="BC205:BK205"/>
    <mergeCell ref="BB204:BB206"/>
    <mergeCell ref="CC206:CC207"/>
    <mergeCell ref="CB206:CB207"/>
    <mergeCell ref="BS206:BS207"/>
    <mergeCell ref="BT206:BT207"/>
    <mergeCell ref="BJ206:BJ207"/>
    <mergeCell ref="BK206:BK207"/>
    <mergeCell ref="AG5:AG7"/>
    <mergeCell ref="A5:A7"/>
    <mergeCell ref="B5:B7"/>
    <mergeCell ref="C5:C7"/>
    <mergeCell ref="AE5:AE7"/>
    <mergeCell ref="D6:L6"/>
    <mergeCell ref="D5:AD5"/>
    <mergeCell ref="V6:AD6"/>
    <mergeCell ref="AF5:AF7"/>
    <mergeCell ref="M6:U6"/>
  </mergeCells>
  <conditionalFormatting sqref="AF9:AG29 L9:L29 U9:U29 AD9:AD29">
    <cfRule type="cellIs" dxfId="122" priority="8" operator="equal">
      <formula>FALSE</formula>
    </cfRule>
  </conditionalFormatting>
  <dataValidations count="1">
    <dataValidation type="whole" allowBlank="1" showInputMessage="1" showErrorMessage="1" sqref="V22:AA28 D10:I12 V19:AA20 D19:I20 D22:I28 M10:R12 M14:R17 M19:R20 M22:R28 V10:AA12 D14:I17 V14:AA17">
      <formula1>0</formula1>
      <formula2>999999999</formula2>
    </dataValidation>
  </dataValidations>
  <pageMargins left="0.39370078740157483" right="0" top="0.59055118110236227" bottom="0.39370078740157483" header="0.31496062992125984" footer="0.19685039370078741"/>
  <pageSetup paperSize="5" orientation="landscape" r:id="rId1"/>
  <headerFooter>
    <oddFooter>&amp;L&amp;9ADSI - &amp;A&amp;C&amp;9&amp;D &amp;T&amp;R&amp;9Page &amp;P of &amp;N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U517"/>
  <sheetViews>
    <sheetView showGridLines="0" zoomScale="88" zoomScaleNormal="88" workbookViewId="0">
      <selection activeCell="M14" sqref="M14"/>
    </sheetView>
  </sheetViews>
  <sheetFormatPr defaultRowHeight="15" x14ac:dyDescent="0.25"/>
  <cols>
    <col min="1" max="2" width="6.7109375" style="5" customWidth="1"/>
    <col min="3" max="3" width="20.28515625" style="5" customWidth="1"/>
    <col min="4" max="4" width="29.85546875" style="5" customWidth="1"/>
    <col min="5" max="7" width="12.7109375" style="5" customWidth="1"/>
    <col min="8" max="8" width="15.7109375" style="5" customWidth="1"/>
    <col min="9" max="11" width="12.7109375" style="5" customWidth="1"/>
    <col min="12" max="12" width="15.7109375" style="5" customWidth="1"/>
    <col min="13" max="36" width="9.140625" style="5"/>
    <col min="37" max="37" width="4.140625" style="5" customWidth="1"/>
    <col min="38" max="38" width="16.28515625" style="5" customWidth="1"/>
    <col min="39" max="39" width="27.5703125" style="5" customWidth="1"/>
    <col min="40" max="47" width="16" style="5" customWidth="1"/>
    <col min="48" max="16384" width="9.140625" style="5"/>
  </cols>
  <sheetData>
    <row r="1" spans="1:13" ht="15.75" customHeight="1" x14ac:dyDescent="0.25">
      <c r="A1" s="285" t="str">
        <f>ADSI!$B$1</f>
        <v>Goa, , ADSI-2021</v>
      </c>
      <c r="H1" s="685"/>
      <c r="I1" s="685"/>
      <c r="J1" s="685"/>
      <c r="K1" s="685"/>
      <c r="L1" s="685"/>
    </row>
    <row r="2" spans="1:13" ht="15.75" x14ac:dyDescent="0.25">
      <c r="A2" s="286" t="s">
        <v>657</v>
      </c>
      <c r="C2" s="291">
        <f>COUNTIF(E31:L33,FALSE)</f>
        <v>0</v>
      </c>
      <c r="H2" s="685"/>
      <c r="I2" s="685"/>
      <c r="J2" s="685"/>
      <c r="K2" s="685"/>
      <c r="L2" s="685"/>
    </row>
    <row r="3" spans="1:13" ht="15.75" x14ac:dyDescent="0.25">
      <c r="A3" s="289" t="s">
        <v>69</v>
      </c>
      <c r="C3" s="49"/>
      <c r="D3" s="49"/>
      <c r="H3" s="685"/>
      <c r="I3" s="685"/>
      <c r="J3" s="685"/>
      <c r="K3" s="685"/>
      <c r="L3" s="685"/>
    </row>
    <row r="4" spans="1:13" ht="15.75" x14ac:dyDescent="0.25">
      <c r="A4" s="289" t="s">
        <v>11</v>
      </c>
      <c r="C4" s="49"/>
      <c r="D4" s="49"/>
      <c r="F4" s="49"/>
      <c r="G4" s="49"/>
      <c r="H4" s="49"/>
      <c r="I4" s="49"/>
      <c r="J4" s="49"/>
      <c r="K4" s="49"/>
      <c r="L4" s="49"/>
    </row>
    <row r="5" spans="1:13" ht="20.100000000000001" customHeight="1" x14ac:dyDescent="0.25">
      <c r="A5" s="649" t="s">
        <v>249</v>
      </c>
      <c r="B5" s="649" t="s">
        <v>0</v>
      </c>
      <c r="C5" s="686" t="s">
        <v>612</v>
      </c>
      <c r="D5" s="686"/>
      <c r="E5" s="689" t="s">
        <v>1775</v>
      </c>
      <c r="F5" s="690"/>
      <c r="G5" s="690"/>
      <c r="H5" s="690"/>
      <c r="I5" s="690"/>
      <c r="J5" s="690"/>
      <c r="K5" s="690"/>
      <c r="L5" s="691"/>
    </row>
    <row r="6" spans="1:13" ht="20.100000000000001" customHeight="1" x14ac:dyDescent="0.25">
      <c r="A6" s="649"/>
      <c r="B6" s="649"/>
      <c r="C6" s="686"/>
      <c r="D6" s="686"/>
      <c r="E6" s="692"/>
      <c r="F6" s="693"/>
      <c r="G6" s="693"/>
      <c r="H6" s="693"/>
      <c r="I6" s="693"/>
      <c r="J6" s="693"/>
      <c r="K6" s="693"/>
      <c r="L6" s="694"/>
    </row>
    <row r="7" spans="1:13" ht="20.100000000000001" customHeight="1" x14ac:dyDescent="0.25">
      <c r="A7" s="649"/>
      <c r="B7" s="649"/>
      <c r="C7" s="686"/>
      <c r="D7" s="686"/>
      <c r="E7" s="686" t="s">
        <v>2</v>
      </c>
      <c r="F7" s="686"/>
      <c r="G7" s="686"/>
      <c r="H7" s="686"/>
      <c r="I7" s="649" t="s">
        <v>445</v>
      </c>
      <c r="J7" s="649"/>
      <c r="K7" s="649"/>
      <c r="L7" s="649"/>
    </row>
    <row r="8" spans="1:13" ht="32.25" customHeight="1" x14ac:dyDescent="0.25">
      <c r="A8" s="649"/>
      <c r="B8" s="649"/>
      <c r="C8" s="686"/>
      <c r="D8" s="686"/>
      <c r="E8" s="224" t="s">
        <v>38</v>
      </c>
      <c r="F8" s="224" t="s">
        <v>39</v>
      </c>
      <c r="G8" s="224" t="s">
        <v>240</v>
      </c>
      <c r="H8" s="217" t="s">
        <v>610</v>
      </c>
      <c r="I8" s="46" t="s">
        <v>38</v>
      </c>
      <c r="J8" s="46" t="s">
        <v>39</v>
      </c>
      <c r="K8" s="46" t="s">
        <v>240</v>
      </c>
      <c r="L8" s="47" t="s">
        <v>611</v>
      </c>
    </row>
    <row r="9" spans="1:13" ht="20.100000000000001" customHeight="1" x14ac:dyDescent="0.25">
      <c r="A9" s="8"/>
      <c r="B9" s="8" t="s">
        <v>181</v>
      </c>
      <c r="C9" s="687" t="s">
        <v>182</v>
      </c>
      <c r="D9" s="688"/>
      <c r="E9" s="219" t="s">
        <v>191</v>
      </c>
      <c r="F9" s="219" t="s">
        <v>192</v>
      </c>
      <c r="G9" s="219" t="s">
        <v>193</v>
      </c>
      <c r="H9" s="219" t="s">
        <v>194</v>
      </c>
      <c r="I9" s="8" t="s">
        <v>195</v>
      </c>
      <c r="J9" s="8" t="s">
        <v>196</v>
      </c>
      <c r="K9" s="8" t="s">
        <v>197</v>
      </c>
      <c r="L9" s="8" t="s">
        <v>204</v>
      </c>
    </row>
    <row r="10" spans="1:13" ht="20.100000000000001" customHeight="1" x14ac:dyDescent="0.25">
      <c r="A10" s="45">
        <v>400</v>
      </c>
      <c r="B10" s="563">
        <v>1</v>
      </c>
      <c r="C10" s="654" t="s">
        <v>1776</v>
      </c>
      <c r="D10" s="655"/>
      <c r="E10" s="252">
        <v>16</v>
      </c>
      <c r="F10" s="252">
        <v>3</v>
      </c>
      <c r="G10" s="252">
        <v>0</v>
      </c>
      <c r="H10" s="438">
        <f>SUM(E10:G10)</f>
        <v>19</v>
      </c>
      <c r="I10" s="252">
        <v>5</v>
      </c>
      <c r="J10" s="252">
        <v>1</v>
      </c>
      <c r="K10" s="252">
        <v>0</v>
      </c>
      <c r="L10" s="438">
        <f>SUM(I10:K10)</f>
        <v>6</v>
      </c>
    </row>
    <row r="11" spans="1:13" ht="20.100000000000001" customHeight="1" x14ac:dyDescent="0.25">
      <c r="A11" s="45">
        <v>405</v>
      </c>
      <c r="B11" s="563">
        <v>2</v>
      </c>
      <c r="C11" s="654" t="s">
        <v>3</v>
      </c>
      <c r="D11" s="655"/>
      <c r="E11" s="252">
        <v>20</v>
      </c>
      <c r="F11" s="252">
        <v>10</v>
      </c>
      <c r="G11" s="252">
        <v>0</v>
      </c>
      <c r="H11" s="438">
        <f t="shared" ref="H11:H26" si="0">SUM(E11:G11)</f>
        <v>30</v>
      </c>
      <c r="I11" s="252">
        <v>0</v>
      </c>
      <c r="J11" s="252">
        <v>0</v>
      </c>
      <c r="K11" s="252">
        <v>0</v>
      </c>
      <c r="L11" s="438">
        <f t="shared" ref="L11:L26" si="1">SUM(I11:K11)</f>
        <v>0</v>
      </c>
      <c r="M11" s="492"/>
    </row>
    <row r="12" spans="1:13" ht="20.100000000000001" customHeight="1" x14ac:dyDescent="0.25">
      <c r="A12" s="45">
        <v>409</v>
      </c>
      <c r="B12" s="563">
        <v>3</v>
      </c>
      <c r="C12" s="654" t="s">
        <v>1777</v>
      </c>
      <c r="D12" s="655"/>
      <c r="E12" s="252">
        <v>129</v>
      </c>
      <c r="F12" s="252">
        <v>35</v>
      </c>
      <c r="G12" s="252">
        <v>0</v>
      </c>
      <c r="H12" s="438">
        <f t="shared" si="0"/>
        <v>164</v>
      </c>
      <c r="I12" s="252">
        <v>26</v>
      </c>
      <c r="J12" s="252">
        <v>3</v>
      </c>
      <c r="K12" s="252">
        <v>0</v>
      </c>
      <c r="L12" s="438">
        <f t="shared" si="1"/>
        <v>29</v>
      </c>
      <c r="M12" s="492"/>
    </row>
    <row r="13" spans="1:13" ht="20.100000000000001" customHeight="1" x14ac:dyDescent="0.25">
      <c r="A13" s="45">
        <v>420</v>
      </c>
      <c r="B13" s="563">
        <v>4</v>
      </c>
      <c r="C13" s="654" t="s">
        <v>4</v>
      </c>
      <c r="D13" s="655"/>
      <c r="E13" s="252">
        <v>0</v>
      </c>
      <c r="F13" s="252">
        <v>0</v>
      </c>
      <c r="G13" s="252">
        <v>0</v>
      </c>
      <c r="H13" s="438">
        <f t="shared" si="0"/>
        <v>0</v>
      </c>
      <c r="I13" s="252">
        <v>0</v>
      </c>
      <c r="J13" s="252">
        <v>0</v>
      </c>
      <c r="K13" s="252">
        <v>0</v>
      </c>
      <c r="L13" s="438">
        <f t="shared" si="1"/>
        <v>0</v>
      </c>
      <c r="M13" s="492"/>
    </row>
    <row r="14" spans="1:13" ht="20.100000000000001" customHeight="1" x14ac:dyDescent="0.25">
      <c r="A14" s="45">
        <v>421</v>
      </c>
      <c r="B14" s="650">
        <v>5</v>
      </c>
      <c r="C14" s="660" t="s">
        <v>577</v>
      </c>
      <c r="D14" s="448" t="s">
        <v>1489</v>
      </c>
      <c r="E14" s="437">
        <f t="shared" ref="E14:K14" si="2">SUM(E15:E16)</f>
        <v>2</v>
      </c>
      <c r="F14" s="437">
        <f t="shared" si="2"/>
        <v>1</v>
      </c>
      <c r="G14" s="437">
        <f t="shared" si="2"/>
        <v>0</v>
      </c>
      <c r="H14" s="438">
        <f t="shared" si="0"/>
        <v>3</v>
      </c>
      <c r="I14" s="437">
        <f t="shared" si="2"/>
        <v>0</v>
      </c>
      <c r="J14" s="437">
        <f t="shared" si="2"/>
        <v>0</v>
      </c>
      <c r="K14" s="437">
        <f t="shared" si="2"/>
        <v>0</v>
      </c>
      <c r="L14" s="438">
        <f t="shared" si="1"/>
        <v>0</v>
      </c>
      <c r="M14" s="492"/>
    </row>
    <row r="15" spans="1:13" ht="20.100000000000001" customHeight="1" x14ac:dyDescent="0.25">
      <c r="A15" s="45">
        <v>422</v>
      </c>
      <c r="B15" s="651"/>
      <c r="C15" s="661"/>
      <c r="D15" s="216" t="s">
        <v>1778</v>
      </c>
      <c r="E15" s="252">
        <v>0</v>
      </c>
      <c r="F15" s="252">
        <v>1</v>
      </c>
      <c r="G15" s="252">
        <v>0</v>
      </c>
      <c r="H15" s="438">
        <f t="shared" si="0"/>
        <v>1</v>
      </c>
      <c r="I15" s="252">
        <v>0</v>
      </c>
      <c r="J15" s="252">
        <v>0</v>
      </c>
      <c r="K15" s="252">
        <v>0</v>
      </c>
      <c r="L15" s="438">
        <f t="shared" si="1"/>
        <v>0</v>
      </c>
      <c r="M15" s="492"/>
    </row>
    <row r="16" spans="1:13" ht="20.100000000000001" customHeight="1" x14ac:dyDescent="0.25">
      <c r="A16" s="45">
        <v>423</v>
      </c>
      <c r="B16" s="652"/>
      <c r="C16" s="662"/>
      <c r="D16" s="216" t="s">
        <v>1779</v>
      </c>
      <c r="E16" s="252">
        <v>2</v>
      </c>
      <c r="F16" s="252">
        <v>0</v>
      </c>
      <c r="G16" s="252">
        <v>0</v>
      </c>
      <c r="H16" s="438">
        <f t="shared" si="0"/>
        <v>2</v>
      </c>
      <c r="I16" s="252">
        <v>0</v>
      </c>
      <c r="J16" s="252">
        <v>0</v>
      </c>
      <c r="K16" s="252">
        <v>0</v>
      </c>
      <c r="L16" s="438">
        <f t="shared" si="1"/>
        <v>0</v>
      </c>
      <c r="M16" s="492"/>
    </row>
    <row r="17" spans="1:13" ht="20.100000000000001" customHeight="1" x14ac:dyDescent="0.25">
      <c r="A17" s="45">
        <v>424</v>
      </c>
      <c r="B17" s="563">
        <v>6</v>
      </c>
      <c r="C17" s="654" t="s">
        <v>5</v>
      </c>
      <c r="D17" s="655"/>
      <c r="E17" s="252">
        <v>486</v>
      </c>
      <c r="F17" s="252">
        <v>90</v>
      </c>
      <c r="G17" s="252">
        <v>0</v>
      </c>
      <c r="H17" s="438">
        <f t="shared" si="0"/>
        <v>576</v>
      </c>
      <c r="I17" s="252">
        <v>132</v>
      </c>
      <c r="J17" s="252">
        <v>19</v>
      </c>
      <c r="K17" s="252">
        <v>0</v>
      </c>
      <c r="L17" s="438">
        <f t="shared" si="1"/>
        <v>151</v>
      </c>
      <c r="M17" s="492"/>
    </row>
    <row r="18" spans="1:13" ht="20.100000000000001" customHeight="1" x14ac:dyDescent="0.25">
      <c r="A18" s="45">
        <v>428</v>
      </c>
      <c r="B18" s="45">
        <v>7</v>
      </c>
      <c r="C18" s="659" t="s">
        <v>6</v>
      </c>
      <c r="D18" s="659"/>
      <c r="E18" s="252">
        <v>0</v>
      </c>
      <c r="F18" s="252">
        <v>0</v>
      </c>
      <c r="G18" s="252">
        <v>0</v>
      </c>
      <c r="H18" s="438">
        <f t="shared" si="0"/>
        <v>0</v>
      </c>
      <c r="I18" s="252">
        <v>0</v>
      </c>
      <c r="J18" s="252">
        <v>0</v>
      </c>
      <c r="K18" s="252">
        <v>0</v>
      </c>
      <c r="L18" s="438">
        <f t="shared" si="1"/>
        <v>0</v>
      </c>
      <c r="M18" s="492"/>
    </row>
    <row r="19" spans="1:13" ht="20.100000000000001" customHeight="1" x14ac:dyDescent="0.25">
      <c r="A19" s="45">
        <v>429</v>
      </c>
      <c r="B19" s="45">
        <v>8</v>
      </c>
      <c r="C19" s="663" t="s">
        <v>1780</v>
      </c>
      <c r="D19" s="663"/>
      <c r="E19" s="449">
        <f>SUM(E10:E14,E17:E18)</f>
        <v>653</v>
      </c>
      <c r="F19" s="449">
        <f t="shared" ref="F19:G19" si="3">SUM(F10:F14,F17:F18)</f>
        <v>139</v>
      </c>
      <c r="G19" s="449">
        <f t="shared" si="3"/>
        <v>0</v>
      </c>
      <c r="H19" s="438">
        <f t="shared" si="0"/>
        <v>792</v>
      </c>
      <c r="I19" s="449">
        <f t="shared" ref="I19:K19" si="4">SUM(I10:I14,I17:I18)</f>
        <v>163</v>
      </c>
      <c r="J19" s="449">
        <f t="shared" si="4"/>
        <v>23</v>
      </c>
      <c r="K19" s="449">
        <f t="shared" si="4"/>
        <v>0</v>
      </c>
      <c r="L19" s="438">
        <f t="shared" si="1"/>
        <v>186</v>
      </c>
      <c r="M19" s="492"/>
    </row>
    <row r="20" spans="1:13" ht="20.100000000000001" customHeight="1" x14ac:dyDescent="0.25">
      <c r="A20" s="45">
        <v>430</v>
      </c>
      <c r="B20" s="45">
        <v>9</v>
      </c>
      <c r="C20" s="664" t="s">
        <v>7</v>
      </c>
      <c r="D20" s="664"/>
      <c r="E20" s="252">
        <v>11</v>
      </c>
      <c r="F20" s="252">
        <v>0</v>
      </c>
      <c r="G20" s="252">
        <v>0</v>
      </c>
      <c r="H20" s="438">
        <f t="shared" si="0"/>
        <v>11</v>
      </c>
      <c r="I20" s="252">
        <v>6</v>
      </c>
      <c r="J20" s="252">
        <v>0</v>
      </c>
      <c r="K20" s="252">
        <v>0</v>
      </c>
      <c r="L20" s="438">
        <f t="shared" si="1"/>
        <v>6</v>
      </c>
      <c r="M20" s="492"/>
    </row>
    <row r="21" spans="1:13" ht="20.100000000000001" customHeight="1" x14ac:dyDescent="0.25">
      <c r="A21" s="45">
        <v>431</v>
      </c>
      <c r="B21" s="45">
        <v>10</v>
      </c>
      <c r="C21" s="664" t="s">
        <v>613</v>
      </c>
      <c r="D21" s="664"/>
      <c r="E21" s="252">
        <v>0</v>
      </c>
      <c r="F21" s="252">
        <v>0</v>
      </c>
      <c r="G21" s="252">
        <v>0</v>
      </c>
      <c r="H21" s="438">
        <f t="shared" si="0"/>
        <v>0</v>
      </c>
      <c r="I21" s="252">
        <v>0</v>
      </c>
      <c r="J21" s="252">
        <v>0</v>
      </c>
      <c r="K21" s="252">
        <v>0</v>
      </c>
      <c r="L21" s="438">
        <f t="shared" si="1"/>
        <v>0</v>
      </c>
      <c r="M21" s="492"/>
    </row>
    <row r="22" spans="1:13" ht="20.100000000000001" customHeight="1" x14ac:dyDescent="0.25">
      <c r="A22" s="45">
        <v>432</v>
      </c>
      <c r="B22" s="45">
        <v>11</v>
      </c>
      <c r="C22" s="664" t="s">
        <v>8</v>
      </c>
      <c r="D22" s="664"/>
      <c r="E22" s="252">
        <v>0</v>
      </c>
      <c r="F22" s="252">
        <v>0</v>
      </c>
      <c r="G22" s="252">
        <v>0</v>
      </c>
      <c r="H22" s="438">
        <f t="shared" si="0"/>
        <v>0</v>
      </c>
      <c r="I22" s="252">
        <v>0</v>
      </c>
      <c r="J22" s="252">
        <v>0</v>
      </c>
      <c r="K22" s="252">
        <v>0</v>
      </c>
      <c r="L22" s="438">
        <f t="shared" si="1"/>
        <v>0</v>
      </c>
      <c r="M22" s="492"/>
    </row>
    <row r="23" spans="1:13" ht="20.100000000000001" customHeight="1" x14ac:dyDescent="0.25">
      <c r="A23" s="45">
        <v>433</v>
      </c>
      <c r="B23" s="45">
        <v>12</v>
      </c>
      <c r="C23" s="654" t="s">
        <v>179</v>
      </c>
      <c r="D23" s="655"/>
      <c r="E23" s="252">
        <v>32</v>
      </c>
      <c r="F23" s="252">
        <v>21</v>
      </c>
      <c r="G23" s="252">
        <v>0</v>
      </c>
      <c r="H23" s="438">
        <f t="shared" si="0"/>
        <v>53</v>
      </c>
      <c r="I23" s="252">
        <v>24</v>
      </c>
      <c r="J23" s="252">
        <v>10</v>
      </c>
      <c r="K23" s="252">
        <v>0</v>
      </c>
      <c r="L23" s="438">
        <f t="shared" si="1"/>
        <v>34</v>
      </c>
      <c r="M23" s="492"/>
    </row>
    <row r="24" spans="1:13" ht="20.100000000000001" customHeight="1" x14ac:dyDescent="0.25">
      <c r="A24" s="45">
        <v>434</v>
      </c>
      <c r="B24" s="45">
        <v>13</v>
      </c>
      <c r="C24" s="654" t="s">
        <v>9</v>
      </c>
      <c r="D24" s="655"/>
      <c r="E24" s="252">
        <v>0</v>
      </c>
      <c r="F24" s="252">
        <v>0</v>
      </c>
      <c r="G24" s="252">
        <v>0</v>
      </c>
      <c r="H24" s="438">
        <f t="shared" si="0"/>
        <v>0</v>
      </c>
      <c r="I24" s="252">
        <v>0</v>
      </c>
      <c r="J24" s="252">
        <v>0</v>
      </c>
      <c r="K24" s="252">
        <v>0</v>
      </c>
      <c r="L24" s="438">
        <f t="shared" si="1"/>
        <v>0</v>
      </c>
      <c r="M24" s="492"/>
    </row>
    <row r="25" spans="1:13" ht="20.100000000000001" customHeight="1" x14ac:dyDescent="0.25">
      <c r="A25" s="45">
        <v>435</v>
      </c>
      <c r="B25" s="45">
        <v>14</v>
      </c>
      <c r="C25" s="665" t="s">
        <v>1781</v>
      </c>
      <c r="D25" s="665"/>
      <c r="E25" s="449">
        <f t="shared" ref="E25:K25" si="5">SUM(E20:E24)</f>
        <v>43</v>
      </c>
      <c r="F25" s="449">
        <f t="shared" si="5"/>
        <v>21</v>
      </c>
      <c r="G25" s="449">
        <f t="shared" si="5"/>
        <v>0</v>
      </c>
      <c r="H25" s="438">
        <f t="shared" si="0"/>
        <v>64</v>
      </c>
      <c r="I25" s="449">
        <f t="shared" si="5"/>
        <v>30</v>
      </c>
      <c r="J25" s="449">
        <f t="shared" si="5"/>
        <v>10</v>
      </c>
      <c r="K25" s="449">
        <f t="shared" si="5"/>
        <v>0</v>
      </c>
      <c r="L25" s="438">
        <f t="shared" si="1"/>
        <v>40</v>
      </c>
      <c r="M25" s="492"/>
    </row>
    <row r="26" spans="1:13" ht="20.100000000000001" customHeight="1" x14ac:dyDescent="0.25">
      <c r="A26" s="45">
        <v>450</v>
      </c>
      <c r="B26" s="450"/>
      <c r="C26" s="666" t="s">
        <v>1793</v>
      </c>
      <c r="D26" s="666"/>
      <c r="E26" s="451">
        <f t="shared" ref="E26:K26" si="6">SUM(E19+E25)</f>
        <v>696</v>
      </c>
      <c r="F26" s="451">
        <f t="shared" si="6"/>
        <v>160</v>
      </c>
      <c r="G26" s="451">
        <f t="shared" si="6"/>
        <v>0</v>
      </c>
      <c r="H26" s="441">
        <f t="shared" si="0"/>
        <v>856</v>
      </c>
      <c r="I26" s="451">
        <f t="shared" si="6"/>
        <v>193</v>
      </c>
      <c r="J26" s="451">
        <f t="shared" si="6"/>
        <v>33</v>
      </c>
      <c r="K26" s="451">
        <f t="shared" si="6"/>
        <v>0</v>
      </c>
      <c r="L26" s="441">
        <f t="shared" si="1"/>
        <v>226</v>
      </c>
      <c r="M26" s="492"/>
    </row>
    <row r="27" spans="1:13" ht="20.100000000000001" customHeight="1" x14ac:dyDescent="0.25">
      <c r="A27" s="653" t="s">
        <v>1490</v>
      </c>
      <c r="B27" s="653"/>
      <c r="C27" s="653"/>
      <c r="D27" s="653"/>
      <c r="E27" s="648" t="s">
        <v>36</v>
      </c>
      <c r="F27" s="648"/>
      <c r="G27" s="648"/>
      <c r="H27" s="648"/>
      <c r="I27" s="648" t="s">
        <v>37</v>
      </c>
      <c r="J27" s="648"/>
      <c r="K27" s="648"/>
      <c r="L27" s="648"/>
    </row>
    <row r="28" spans="1:13" ht="20.100000000000001" customHeight="1" x14ac:dyDescent="0.25">
      <c r="A28" s="653"/>
      <c r="B28" s="653"/>
      <c r="C28" s="653"/>
      <c r="D28" s="653"/>
      <c r="E28" s="564" t="s">
        <v>38</v>
      </c>
      <c r="F28" s="564" t="s">
        <v>39</v>
      </c>
      <c r="G28" s="564" t="s">
        <v>240</v>
      </c>
      <c r="H28" s="564" t="s">
        <v>1782</v>
      </c>
      <c r="I28" s="564" t="s">
        <v>200</v>
      </c>
      <c r="J28" s="564" t="s">
        <v>201</v>
      </c>
      <c r="K28" s="564" t="s">
        <v>240</v>
      </c>
      <c r="L28" s="564" t="s">
        <v>17</v>
      </c>
    </row>
    <row r="29" spans="1:13" ht="35.1" customHeight="1" x14ac:dyDescent="0.25">
      <c r="A29" s="658" t="s">
        <v>1491</v>
      </c>
      <c r="B29" s="658"/>
      <c r="C29" s="658"/>
      <c r="D29" s="658"/>
      <c r="E29" s="565">
        <f>'P-II'!F43</f>
        <v>696</v>
      </c>
      <c r="F29" s="565">
        <f>'P-II'!G43</f>
        <v>160</v>
      </c>
      <c r="G29" s="565">
        <f>'P-II'!H43</f>
        <v>0</v>
      </c>
      <c r="H29" s="565">
        <f>'P-II'!I43</f>
        <v>856</v>
      </c>
      <c r="I29" s="565">
        <f>'P-II'!J43</f>
        <v>193</v>
      </c>
      <c r="J29" s="565">
        <f>'P-II'!K43</f>
        <v>33</v>
      </c>
      <c r="K29" s="565">
        <f>'P-II'!L43</f>
        <v>0</v>
      </c>
      <c r="L29" s="565">
        <f>'P-II'!M43</f>
        <v>226</v>
      </c>
    </row>
    <row r="30" spans="1:13" ht="35.1" customHeight="1" x14ac:dyDescent="0.25">
      <c r="A30" s="616" t="s">
        <v>1783</v>
      </c>
      <c r="B30" s="616"/>
      <c r="C30" s="616"/>
      <c r="D30" s="616"/>
      <c r="E30" s="566" t="str">
        <f>IF(E26=E29,"",FALSE)</f>
        <v/>
      </c>
      <c r="F30" s="566" t="str">
        <f t="shared" ref="F30:L30" si="7">IF(F26=F29,"",FALSE)</f>
        <v/>
      </c>
      <c r="G30" s="566" t="str">
        <f t="shared" si="7"/>
        <v/>
      </c>
      <c r="H30" s="566" t="str">
        <f t="shared" si="7"/>
        <v/>
      </c>
      <c r="I30" s="566" t="str">
        <f t="shared" si="7"/>
        <v/>
      </c>
      <c r="J30" s="566" t="str">
        <f t="shared" si="7"/>
        <v/>
      </c>
      <c r="K30" s="566" t="str">
        <f t="shared" si="7"/>
        <v/>
      </c>
      <c r="L30" s="566" t="str">
        <f t="shared" si="7"/>
        <v/>
      </c>
    </row>
    <row r="31" spans="1:13" ht="24.95" customHeight="1" x14ac:dyDescent="0.25">
      <c r="A31" s="656" t="s">
        <v>1784</v>
      </c>
      <c r="B31" s="656"/>
      <c r="C31" s="656"/>
      <c r="D31" s="656"/>
      <c r="E31" s="463" t="str">
        <f t="shared" ref="E31:L31" si="8">IF(E19&gt;0,IF((E18/E19*100)&gt;10,"ABVAR",""),"")</f>
        <v/>
      </c>
      <c r="F31" s="463" t="str">
        <f t="shared" si="8"/>
        <v/>
      </c>
      <c r="G31" s="463" t="str">
        <f t="shared" si="8"/>
        <v/>
      </c>
      <c r="H31" s="463" t="str">
        <f t="shared" si="8"/>
        <v/>
      </c>
      <c r="I31" s="463" t="str">
        <f t="shared" si="8"/>
        <v/>
      </c>
      <c r="J31" s="463" t="str">
        <f t="shared" si="8"/>
        <v/>
      </c>
      <c r="K31" s="463" t="str">
        <f t="shared" si="8"/>
        <v/>
      </c>
      <c r="L31" s="463" t="str">
        <f t="shared" si="8"/>
        <v/>
      </c>
    </row>
    <row r="32" spans="1:13" ht="24.95" customHeight="1" x14ac:dyDescent="0.25">
      <c r="A32" s="657" t="s">
        <v>1785</v>
      </c>
      <c r="B32" s="657"/>
      <c r="C32" s="657"/>
      <c r="D32" s="657"/>
      <c r="E32" s="463" t="str">
        <f t="shared" ref="E32:L32" si="9">IF(E25&gt;0,IF((E23/E26*100)&gt;15,"RE-CHECK",""),"")</f>
        <v/>
      </c>
      <c r="F32" s="463" t="str">
        <f t="shared" si="9"/>
        <v/>
      </c>
      <c r="G32" s="463" t="str">
        <f t="shared" si="9"/>
        <v/>
      </c>
      <c r="H32" s="463" t="str">
        <f t="shared" si="9"/>
        <v/>
      </c>
      <c r="I32" s="463" t="str">
        <f t="shared" si="9"/>
        <v/>
      </c>
      <c r="J32" s="463" t="str">
        <f t="shared" si="9"/>
        <v>RE-CHECK</v>
      </c>
      <c r="K32" s="463" t="str">
        <f t="shared" si="9"/>
        <v/>
      </c>
      <c r="L32" s="463" t="str">
        <f t="shared" si="9"/>
        <v>RE-CHECK</v>
      </c>
    </row>
    <row r="33" spans="1:12" ht="24.95" customHeight="1" x14ac:dyDescent="0.25">
      <c r="A33" s="656" t="s">
        <v>1792</v>
      </c>
      <c r="B33" s="656"/>
      <c r="C33" s="656"/>
      <c r="D33" s="656"/>
      <c r="E33" s="463" t="str">
        <f t="shared" ref="E33:L33" si="10">IF(E25&gt;0,IF((E24/E25*100)&gt;10,"ABVAR",""),"")</f>
        <v/>
      </c>
      <c r="F33" s="463" t="str">
        <f t="shared" si="10"/>
        <v/>
      </c>
      <c r="G33" s="463" t="str">
        <f t="shared" si="10"/>
        <v/>
      </c>
      <c r="H33" s="463" t="str">
        <f t="shared" si="10"/>
        <v/>
      </c>
      <c r="I33" s="463" t="str">
        <f t="shared" si="10"/>
        <v/>
      </c>
      <c r="J33" s="463" t="str">
        <f t="shared" si="10"/>
        <v/>
      </c>
      <c r="K33" s="463" t="str">
        <f t="shared" si="10"/>
        <v/>
      </c>
      <c r="L33" s="463" t="str">
        <f t="shared" si="10"/>
        <v/>
      </c>
    </row>
    <row r="180" spans="37:47" x14ac:dyDescent="0.25">
      <c r="AK180" s="141" t="str">
        <f>A1</f>
        <v>Goa, , ADSI-2021</v>
      </c>
    </row>
    <row r="181" spans="37:47" x14ac:dyDescent="0.25">
      <c r="AK181" s="141" t="str">
        <f>A2</f>
        <v>Errors</v>
      </c>
      <c r="AL181" s="145">
        <f>C2</f>
        <v>0</v>
      </c>
    </row>
    <row r="182" spans="37:47" x14ac:dyDescent="0.25">
      <c r="AK182" s="141" t="str">
        <f>A3</f>
        <v>Proforma–VI</v>
      </c>
      <c r="AL182" s="132"/>
      <c r="AM182" s="132"/>
      <c r="AN182" s="134"/>
      <c r="AP182" s="132"/>
      <c r="AQ182" s="132"/>
      <c r="AR182" s="132"/>
      <c r="AS182" s="132"/>
      <c r="AT182" s="132"/>
      <c r="AU182" s="133"/>
    </row>
    <row r="183" spans="37:47" x14ac:dyDescent="0.25">
      <c r="AK183" s="141" t="str">
        <f>A4</f>
        <v>Details of Road Accident According to Type of Vehicle and Mode of Transport involved (Culpability vis-à-vis Fatality)</v>
      </c>
      <c r="AL183" s="132"/>
      <c r="AM183" s="132"/>
      <c r="AP183" s="132"/>
      <c r="AQ183" s="132"/>
      <c r="AR183" s="132"/>
      <c r="AS183" s="132"/>
      <c r="AT183" s="133"/>
      <c r="AU183" s="147"/>
    </row>
    <row r="184" spans="37:47" x14ac:dyDescent="0.25">
      <c r="AK184" s="602" t="str">
        <f>B5</f>
        <v>Sl. No.</v>
      </c>
      <c r="AL184" s="667" t="str">
        <f>C5</f>
        <v>Mode of Transport</v>
      </c>
      <c r="AM184" s="668"/>
      <c r="AN184" s="620"/>
      <c r="AO184" s="620"/>
      <c r="AP184" s="620"/>
      <c r="AQ184" s="620"/>
      <c r="AR184" s="620"/>
      <c r="AS184" s="620"/>
      <c r="AT184" s="620"/>
      <c r="AU184" s="621"/>
    </row>
    <row r="185" spans="37:47" x14ac:dyDescent="0.25">
      <c r="AK185" s="603"/>
      <c r="AL185" s="669"/>
      <c r="AM185" s="670"/>
      <c r="AN185" s="619" t="str">
        <f>E5</f>
        <v>Number of Persons Travelling in the Involved mode of Transport</v>
      </c>
      <c r="AO185" s="620"/>
      <c r="AP185" s="620"/>
      <c r="AQ185" s="620"/>
      <c r="AR185" s="620" t="s">
        <v>1</v>
      </c>
      <c r="AS185" s="620"/>
      <c r="AT185" s="620"/>
      <c r="AU185" s="621"/>
    </row>
    <row r="186" spans="37:47" x14ac:dyDescent="0.25">
      <c r="AK186" s="603"/>
      <c r="AL186" s="669"/>
      <c r="AM186" s="670"/>
      <c r="AN186" s="619" t="str">
        <f t="shared" ref="AN186:AN205" si="11">E7</f>
        <v>Injured</v>
      </c>
      <c r="AO186" s="620"/>
      <c r="AP186" s="620"/>
      <c r="AQ186" s="621"/>
      <c r="AR186" s="619" t="str">
        <f t="shared" ref="AR186:AR205" si="12">I7</f>
        <v>Died</v>
      </c>
      <c r="AS186" s="620"/>
      <c r="AT186" s="620"/>
      <c r="AU186" s="621"/>
    </row>
    <row r="187" spans="37:47" ht="25.5" x14ac:dyDescent="0.25">
      <c r="AK187" s="604"/>
      <c r="AL187" s="671"/>
      <c r="AM187" s="672"/>
      <c r="AN187" s="146" t="str">
        <f t="shared" si="11"/>
        <v>Male</v>
      </c>
      <c r="AO187" s="146" t="str">
        <f t="shared" ref="AO187:AO205" si="13">F8</f>
        <v>Female</v>
      </c>
      <c r="AP187" s="146" t="str">
        <f t="shared" ref="AP187:AP205" si="14">G8</f>
        <v>Transgender</v>
      </c>
      <c r="AQ187" s="146" t="str">
        <f t="shared" ref="AQ187:AQ205" si="15">H8</f>
        <v>Total [sum of (11) to (13)]</v>
      </c>
      <c r="AR187" s="146" t="str">
        <f t="shared" si="12"/>
        <v>Male</v>
      </c>
      <c r="AS187" s="146" t="str">
        <f t="shared" ref="AS187:AS205" si="16">J8</f>
        <v>Female</v>
      </c>
      <c r="AT187" s="146" t="str">
        <f t="shared" ref="AT187:AT205" si="17">K8</f>
        <v>Transgender</v>
      </c>
      <c r="AU187" s="523" t="str">
        <f t="shared" ref="AU187:AU205" si="18">L8</f>
        <v>Total [sum of (15) to (17)]</v>
      </c>
    </row>
    <row r="188" spans="37:47" x14ac:dyDescent="0.25">
      <c r="AK188" s="149" t="str">
        <f t="shared" ref="AK188:AL193" si="19">B9</f>
        <v>(1)</v>
      </c>
      <c r="AL188" s="678" t="str">
        <f t="shared" si="19"/>
        <v>(2)</v>
      </c>
      <c r="AM188" s="679"/>
      <c r="AN188" s="149" t="str">
        <f t="shared" si="11"/>
        <v>(11)</v>
      </c>
      <c r="AO188" s="149" t="str">
        <f t="shared" si="13"/>
        <v>(12)</v>
      </c>
      <c r="AP188" s="149" t="str">
        <f t="shared" si="14"/>
        <v>(13)</v>
      </c>
      <c r="AQ188" s="149" t="str">
        <f t="shared" si="15"/>
        <v>(14)</v>
      </c>
      <c r="AR188" s="149" t="str">
        <f t="shared" si="12"/>
        <v>(15)</v>
      </c>
      <c r="AS188" s="149" t="str">
        <f t="shared" si="16"/>
        <v>(16)</v>
      </c>
      <c r="AT188" s="149" t="str">
        <f t="shared" si="17"/>
        <v>(17)</v>
      </c>
      <c r="AU188" s="522" t="str">
        <f t="shared" si="18"/>
        <v>(18)</v>
      </c>
    </row>
    <row r="189" spans="37:47" ht="15" customHeight="1" x14ac:dyDescent="0.25">
      <c r="AK189" s="275">
        <f t="shared" si="19"/>
        <v>1</v>
      </c>
      <c r="AL189" s="562" t="str">
        <f t="shared" si="19"/>
        <v>Truck/Lorry/Mini Truck</v>
      </c>
      <c r="AM189" s="140">
        <f t="shared" ref="AM189:AM196" si="20">D10</f>
        <v>0</v>
      </c>
      <c r="AN189" s="136">
        <f t="shared" si="11"/>
        <v>16</v>
      </c>
      <c r="AO189" s="136">
        <f t="shared" si="13"/>
        <v>3</v>
      </c>
      <c r="AP189" s="136">
        <f t="shared" si="14"/>
        <v>0</v>
      </c>
      <c r="AQ189" s="136">
        <f t="shared" si="15"/>
        <v>19</v>
      </c>
      <c r="AR189" s="136">
        <f t="shared" si="12"/>
        <v>5</v>
      </c>
      <c r="AS189" s="136">
        <f t="shared" si="16"/>
        <v>1</v>
      </c>
      <c r="AT189" s="136">
        <f t="shared" si="17"/>
        <v>0</v>
      </c>
      <c r="AU189" s="136">
        <f t="shared" si="18"/>
        <v>6</v>
      </c>
    </row>
    <row r="190" spans="37:47" x14ac:dyDescent="0.25">
      <c r="AK190" s="275">
        <f t="shared" si="19"/>
        <v>2</v>
      </c>
      <c r="AL190" s="562" t="str">
        <f t="shared" si="19"/>
        <v>Bus</v>
      </c>
      <c r="AM190" s="140">
        <f t="shared" si="20"/>
        <v>0</v>
      </c>
      <c r="AN190" s="136">
        <f t="shared" si="11"/>
        <v>20</v>
      </c>
      <c r="AO190" s="136">
        <f t="shared" si="13"/>
        <v>10</v>
      </c>
      <c r="AP190" s="136">
        <f t="shared" si="14"/>
        <v>0</v>
      </c>
      <c r="AQ190" s="136">
        <f t="shared" si="15"/>
        <v>30</v>
      </c>
      <c r="AR190" s="136">
        <f t="shared" si="12"/>
        <v>0</v>
      </c>
      <c r="AS190" s="136">
        <f t="shared" si="16"/>
        <v>0</v>
      </c>
      <c r="AT190" s="136">
        <f t="shared" si="17"/>
        <v>0</v>
      </c>
      <c r="AU190" s="136">
        <f t="shared" si="18"/>
        <v>0</v>
      </c>
    </row>
    <row r="191" spans="37:47" ht="15" customHeight="1" x14ac:dyDescent="0.25">
      <c r="AK191" s="275">
        <f t="shared" si="19"/>
        <v>3</v>
      </c>
      <c r="AL191" s="562" t="str">
        <f t="shared" si="19"/>
        <v>SUV / Car / Jeep / etc.</v>
      </c>
      <c r="AM191" s="140">
        <f t="shared" si="20"/>
        <v>0</v>
      </c>
      <c r="AN191" s="136">
        <f t="shared" si="11"/>
        <v>129</v>
      </c>
      <c r="AO191" s="136">
        <f t="shared" si="13"/>
        <v>35</v>
      </c>
      <c r="AP191" s="136">
        <f t="shared" si="14"/>
        <v>0</v>
      </c>
      <c r="AQ191" s="136">
        <f t="shared" si="15"/>
        <v>164</v>
      </c>
      <c r="AR191" s="136">
        <f t="shared" si="12"/>
        <v>26</v>
      </c>
      <c r="AS191" s="136">
        <f t="shared" si="16"/>
        <v>3</v>
      </c>
      <c r="AT191" s="136">
        <f t="shared" si="17"/>
        <v>0</v>
      </c>
      <c r="AU191" s="136">
        <f t="shared" si="18"/>
        <v>29</v>
      </c>
    </row>
    <row r="192" spans="37:47" x14ac:dyDescent="0.25">
      <c r="AK192" s="275">
        <f t="shared" si="19"/>
        <v>4</v>
      </c>
      <c r="AL192" s="562" t="str">
        <f t="shared" si="19"/>
        <v>Tractor</v>
      </c>
      <c r="AM192" s="150">
        <f t="shared" si="20"/>
        <v>0</v>
      </c>
      <c r="AN192" s="136">
        <f t="shared" si="11"/>
        <v>0</v>
      </c>
      <c r="AO192" s="136">
        <f t="shared" si="13"/>
        <v>0</v>
      </c>
      <c r="AP192" s="136">
        <f t="shared" si="14"/>
        <v>0</v>
      </c>
      <c r="AQ192" s="136">
        <f t="shared" si="15"/>
        <v>0</v>
      </c>
      <c r="AR192" s="136">
        <f t="shared" si="12"/>
        <v>0</v>
      </c>
      <c r="AS192" s="136">
        <f t="shared" si="16"/>
        <v>0</v>
      </c>
      <c r="AT192" s="136">
        <f t="shared" si="17"/>
        <v>0</v>
      </c>
      <c r="AU192" s="136">
        <f t="shared" si="18"/>
        <v>0</v>
      </c>
    </row>
    <row r="193" spans="37:47" x14ac:dyDescent="0.25">
      <c r="AK193" s="275">
        <f t="shared" si="19"/>
        <v>5</v>
      </c>
      <c r="AL193" s="675" t="str">
        <f t="shared" si="19"/>
        <v>Three Wheeler/Auto rickshaw</v>
      </c>
      <c r="AM193" s="140" t="str">
        <f t="shared" si="20"/>
        <v>Total (sum of 7.1 &amp; 7.2)</v>
      </c>
      <c r="AN193" s="136">
        <f t="shared" si="11"/>
        <v>2</v>
      </c>
      <c r="AO193" s="136">
        <f t="shared" si="13"/>
        <v>1</v>
      </c>
      <c r="AP193" s="136">
        <f t="shared" si="14"/>
        <v>0</v>
      </c>
      <c r="AQ193" s="136">
        <f t="shared" si="15"/>
        <v>3</v>
      </c>
      <c r="AR193" s="136">
        <f t="shared" si="12"/>
        <v>0</v>
      </c>
      <c r="AS193" s="136">
        <f t="shared" si="16"/>
        <v>0</v>
      </c>
      <c r="AT193" s="136">
        <f t="shared" si="17"/>
        <v>0</v>
      </c>
      <c r="AU193" s="136">
        <f t="shared" si="18"/>
        <v>0</v>
      </c>
    </row>
    <row r="194" spans="37:47" x14ac:dyDescent="0.25">
      <c r="AK194" s="275"/>
      <c r="AL194" s="676"/>
      <c r="AM194" s="140" t="str">
        <f t="shared" si="20"/>
        <v>5.1 Passenger Carriers</v>
      </c>
      <c r="AN194" s="136">
        <f t="shared" si="11"/>
        <v>0</v>
      </c>
      <c r="AO194" s="136">
        <f t="shared" si="13"/>
        <v>1</v>
      </c>
      <c r="AP194" s="136">
        <f t="shared" si="14"/>
        <v>0</v>
      </c>
      <c r="AQ194" s="136">
        <f t="shared" si="15"/>
        <v>1</v>
      </c>
      <c r="AR194" s="136">
        <f t="shared" si="12"/>
        <v>0</v>
      </c>
      <c r="AS194" s="136">
        <f t="shared" si="16"/>
        <v>0</v>
      </c>
      <c r="AT194" s="136">
        <f t="shared" si="17"/>
        <v>0</v>
      </c>
      <c r="AU194" s="136">
        <f t="shared" si="18"/>
        <v>0</v>
      </c>
    </row>
    <row r="195" spans="37:47" x14ac:dyDescent="0.25">
      <c r="AK195" s="275"/>
      <c r="AL195" s="677"/>
      <c r="AM195" s="136" t="str">
        <f t="shared" si="20"/>
        <v>5.2 Goods Carriers</v>
      </c>
      <c r="AN195" s="136">
        <f t="shared" si="11"/>
        <v>2</v>
      </c>
      <c r="AO195" s="136">
        <f t="shared" si="13"/>
        <v>0</v>
      </c>
      <c r="AP195" s="136">
        <f t="shared" si="14"/>
        <v>0</v>
      </c>
      <c r="AQ195" s="136">
        <f t="shared" si="15"/>
        <v>2</v>
      </c>
      <c r="AR195" s="136">
        <f t="shared" si="12"/>
        <v>0</v>
      </c>
      <c r="AS195" s="136">
        <f t="shared" si="16"/>
        <v>0</v>
      </c>
      <c r="AT195" s="136">
        <f t="shared" si="17"/>
        <v>0</v>
      </c>
      <c r="AU195" s="136">
        <f t="shared" si="18"/>
        <v>0</v>
      </c>
    </row>
    <row r="196" spans="37:47" ht="15" customHeight="1" x14ac:dyDescent="0.25">
      <c r="AK196" s="275">
        <f t="shared" ref="AK196:AK205" si="21">B17</f>
        <v>6</v>
      </c>
      <c r="AL196" s="562" t="str">
        <f t="shared" ref="AL196:AL205" si="22">C17</f>
        <v>Two Wheeler</v>
      </c>
      <c r="AM196" s="140">
        <f t="shared" si="20"/>
        <v>0</v>
      </c>
      <c r="AN196" s="136">
        <f t="shared" si="11"/>
        <v>486</v>
      </c>
      <c r="AO196" s="136">
        <f t="shared" si="13"/>
        <v>90</v>
      </c>
      <c r="AP196" s="136">
        <f t="shared" si="14"/>
        <v>0</v>
      </c>
      <c r="AQ196" s="136">
        <f t="shared" si="15"/>
        <v>576</v>
      </c>
      <c r="AR196" s="136">
        <f t="shared" si="12"/>
        <v>132</v>
      </c>
      <c r="AS196" s="136">
        <f t="shared" si="16"/>
        <v>19</v>
      </c>
      <c r="AT196" s="136">
        <f t="shared" si="17"/>
        <v>0</v>
      </c>
      <c r="AU196" s="136">
        <f t="shared" si="18"/>
        <v>151</v>
      </c>
    </row>
    <row r="197" spans="37:47" x14ac:dyDescent="0.25">
      <c r="AK197" s="275">
        <f t="shared" si="21"/>
        <v>7</v>
      </c>
      <c r="AL197" s="673" t="str">
        <f t="shared" si="22"/>
        <v>Other Motor Vehicles</v>
      </c>
      <c r="AM197" s="674"/>
      <c r="AN197" s="136">
        <f t="shared" si="11"/>
        <v>0</v>
      </c>
      <c r="AO197" s="136">
        <f t="shared" si="13"/>
        <v>0</v>
      </c>
      <c r="AP197" s="136">
        <f t="shared" si="14"/>
        <v>0</v>
      </c>
      <c r="AQ197" s="136">
        <f t="shared" si="15"/>
        <v>0</v>
      </c>
      <c r="AR197" s="136">
        <f t="shared" si="12"/>
        <v>0</v>
      </c>
      <c r="AS197" s="136">
        <f t="shared" si="16"/>
        <v>0</v>
      </c>
      <c r="AT197" s="136">
        <f t="shared" si="17"/>
        <v>0</v>
      </c>
      <c r="AU197" s="136">
        <f t="shared" si="18"/>
        <v>0</v>
      </c>
    </row>
    <row r="198" spans="37:47" x14ac:dyDescent="0.25">
      <c r="AK198" s="275">
        <f t="shared" si="21"/>
        <v>8</v>
      </c>
      <c r="AL198" s="673" t="str">
        <f t="shared" si="22"/>
        <v>Sub-Total (sum of Sl. 1 to 7)</v>
      </c>
      <c r="AM198" s="674"/>
      <c r="AN198" s="136">
        <f t="shared" si="11"/>
        <v>653</v>
      </c>
      <c r="AO198" s="136">
        <f t="shared" si="13"/>
        <v>139</v>
      </c>
      <c r="AP198" s="136">
        <f t="shared" si="14"/>
        <v>0</v>
      </c>
      <c r="AQ198" s="136">
        <f t="shared" si="15"/>
        <v>792</v>
      </c>
      <c r="AR198" s="136">
        <f t="shared" si="12"/>
        <v>163</v>
      </c>
      <c r="AS198" s="136">
        <f t="shared" si="16"/>
        <v>23</v>
      </c>
      <c r="AT198" s="136">
        <f t="shared" si="17"/>
        <v>0</v>
      </c>
      <c r="AU198" s="136">
        <f t="shared" si="18"/>
        <v>186</v>
      </c>
    </row>
    <row r="199" spans="37:47" x14ac:dyDescent="0.25">
      <c r="AK199" s="275">
        <f t="shared" si="21"/>
        <v>9</v>
      </c>
      <c r="AL199" s="673" t="str">
        <f t="shared" si="22"/>
        <v>Bicycle</v>
      </c>
      <c r="AM199" s="674"/>
      <c r="AN199" s="136">
        <f t="shared" si="11"/>
        <v>11</v>
      </c>
      <c r="AO199" s="136">
        <f t="shared" si="13"/>
        <v>0</v>
      </c>
      <c r="AP199" s="136">
        <f t="shared" si="14"/>
        <v>0</v>
      </c>
      <c r="AQ199" s="136">
        <f t="shared" si="15"/>
        <v>11</v>
      </c>
      <c r="AR199" s="136">
        <f t="shared" si="12"/>
        <v>6</v>
      </c>
      <c r="AS199" s="136">
        <f t="shared" si="16"/>
        <v>0</v>
      </c>
      <c r="AT199" s="136">
        <f t="shared" si="17"/>
        <v>0</v>
      </c>
      <c r="AU199" s="136">
        <f t="shared" si="18"/>
        <v>6</v>
      </c>
    </row>
    <row r="200" spans="37:47" ht="28.5" customHeight="1" x14ac:dyDescent="0.25">
      <c r="AK200" s="275">
        <f t="shared" si="21"/>
        <v>10</v>
      </c>
      <c r="AL200" s="673" t="str">
        <f t="shared" si="22"/>
        <v>Hand Drawn Vehicle/Cycle rickshaw</v>
      </c>
      <c r="AM200" s="674"/>
      <c r="AN200" s="136">
        <f t="shared" si="11"/>
        <v>0</v>
      </c>
      <c r="AO200" s="136">
        <f t="shared" si="13"/>
        <v>0</v>
      </c>
      <c r="AP200" s="136">
        <f t="shared" si="14"/>
        <v>0</v>
      </c>
      <c r="AQ200" s="136">
        <f t="shared" si="15"/>
        <v>0</v>
      </c>
      <c r="AR200" s="136">
        <f t="shared" si="12"/>
        <v>0</v>
      </c>
      <c r="AS200" s="136">
        <f t="shared" si="16"/>
        <v>0</v>
      </c>
      <c r="AT200" s="136">
        <f t="shared" si="17"/>
        <v>0</v>
      </c>
      <c r="AU200" s="136">
        <f t="shared" si="18"/>
        <v>0</v>
      </c>
    </row>
    <row r="201" spans="37:47" x14ac:dyDescent="0.25">
      <c r="AK201" s="275">
        <f t="shared" si="21"/>
        <v>11</v>
      </c>
      <c r="AL201" s="673" t="str">
        <f t="shared" si="22"/>
        <v>Animal Drawn Vehicle</v>
      </c>
      <c r="AM201" s="674"/>
      <c r="AN201" s="136">
        <f t="shared" si="11"/>
        <v>0</v>
      </c>
      <c r="AO201" s="136">
        <f t="shared" si="13"/>
        <v>0</v>
      </c>
      <c r="AP201" s="136">
        <f t="shared" si="14"/>
        <v>0</v>
      </c>
      <c r="AQ201" s="136">
        <f t="shared" si="15"/>
        <v>0</v>
      </c>
      <c r="AR201" s="136">
        <f t="shared" si="12"/>
        <v>0</v>
      </c>
      <c r="AS201" s="136">
        <f t="shared" si="16"/>
        <v>0</v>
      </c>
      <c r="AT201" s="136">
        <f t="shared" si="17"/>
        <v>0</v>
      </c>
      <c r="AU201" s="136">
        <f t="shared" si="18"/>
        <v>0</v>
      </c>
    </row>
    <row r="202" spans="37:47" x14ac:dyDescent="0.25">
      <c r="AK202" s="275">
        <f t="shared" si="21"/>
        <v>12</v>
      </c>
      <c r="AL202" s="673" t="str">
        <f t="shared" si="22"/>
        <v>Pedestrian</v>
      </c>
      <c r="AM202" s="674"/>
      <c r="AN202" s="136">
        <f t="shared" si="11"/>
        <v>32</v>
      </c>
      <c r="AO202" s="136">
        <f t="shared" si="13"/>
        <v>21</v>
      </c>
      <c r="AP202" s="136">
        <f t="shared" si="14"/>
        <v>0</v>
      </c>
      <c r="AQ202" s="136">
        <f t="shared" si="15"/>
        <v>53</v>
      </c>
      <c r="AR202" s="136">
        <f t="shared" si="12"/>
        <v>24</v>
      </c>
      <c r="AS202" s="136">
        <f t="shared" si="16"/>
        <v>10</v>
      </c>
      <c r="AT202" s="136">
        <f t="shared" si="17"/>
        <v>0</v>
      </c>
      <c r="AU202" s="136">
        <f t="shared" si="18"/>
        <v>34</v>
      </c>
    </row>
    <row r="203" spans="37:47" x14ac:dyDescent="0.25">
      <c r="AK203" s="275">
        <f t="shared" si="21"/>
        <v>13</v>
      </c>
      <c r="AL203" s="673" t="str">
        <f t="shared" si="22"/>
        <v>Others</v>
      </c>
      <c r="AM203" s="674"/>
      <c r="AN203" s="136">
        <f t="shared" si="11"/>
        <v>0</v>
      </c>
      <c r="AO203" s="136">
        <f t="shared" si="13"/>
        <v>0</v>
      </c>
      <c r="AP203" s="136">
        <f t="shared" si="14"/>
        <v>0</v>
      </c>
      <c r="AQ203" s="136">
        <f t="shared" si="15"/>
        <v>0</v>
      </c>
      <c r="AR203" s="136">
        <f t="shared" si="12"/>
        <v>0</v>
      </c>
      <c r="AS203" s="136">
        <f t="shared" si="16"/>
        <v>0</v>
      </c>
      <c r="AT203" s="136">
        <f t="shared" si="17"/>
        <v>0</v>
      </c>
      <c r="AU203" s="136">
        <f t="shared" si="18"/>
        <v>0</v>
      </c>
    </row>
    <row r="204" spans="37:47" x14ac:dyDescent="0.25">
      <c r="AK204" s="275">
        <f t="shared" si="21"/>
        <v>14</v>
      </c>
      <c r="AL204" s="673" t="str">
        <f t="shared" si="22"/>
        <v>Sub-Total (sum of Sl. 9 to 13)</v>
      </c>
      <c r="AM204" s="674"/>
      <c r="AN204" s="136">
        <f t="shared" si="11"/>
        <v>43</v>
      </c>
      <c r="AO204" s="136">
        <f t="shared" si="13"/>
        <v>21</v>
      </c>
      <c r="AP204" s="136">
        <f t="shared" si="14"/>
        <v>0</v>
      </c>
      <c r="AQ204" s="136">
        <f t="shared" si="15"/>
        <v>64</v>
      </c>
      <c r="AR204" s="136">
        <f t="shared" si="12"/>
        <v>30</v>
      </c>
      <c r="AS204" s="136">
        <f t="shared" si="16"/>
        <v>10</v>
      </c>
      <c r="AT204" s="136">
        <f t="shared" si="17"/>
        <v>0</v>
      </c>
      <c r="AU204" s="136">
        <f t="shared" si="18"/>
        <v>40</v>
      </c>
    </row>
    <row r="205" spans="37:47" x14ac:dyDescent="0.25">
      <c r="AK205" s="275">
        <f t="shared" si="21"/>
        <v>0</v>
      </c>
      <c r="AL205" s="673" t="str">
        <f t="shared" si="22"/>
        <v>Total (sum of Sl. 8 &amp; 14)</v>
      </c>
      <c r="AM205" s="674"/>
      <c r="AN205" s="136">
        <f t="shared" si="11"/>
        <v>696</v>
      </c>
      <c r="AO205" s="136">
        <f t="shared" si="13"/>
        <v>160</v>
      </c>
      <c r="AP205" s="136">
        <f t="shared" si="14"/>
        <v>0</v>
      </c>
      <c r="AQ205" s="136">
        <f t="shared" si="15"/>
        <v>856</v>
      </c>
      <c r="AR205" s="136">
        <f t="shared" si="12"/>
        <v>193</v>
      </c>
      <c r="AS205" s="136">
        <f t="shared" si="16"/>
        <v>33</v>
      </c>
      <c r="AT205" s="136">
        <f t="shared" si="17"/>
        <v>0</v>
      </c>
      <c r="AU205" s="136">
        <f t="shared" si="18"/>
        <v>226</v>
      </c>
    </row>
    <row r="206" spans="37:47" ht="15" customHeight="1" x14ac:dyDescent="0.25">
      <c r="AK206" s="680" t="str">
        <f>A27</f>
        <v>VALIDATION  WITH PROFORMA–II [Sl.–12.1 (Road Accidents Total)]</v>
      </c>
      <c r="AL206" s="681"/>
      <c r="AM206" s="681"/>
      <c r="AN206" s="561"/>
      <c r="AO206" s="132"/>
      <c r="AP206" s="132"/>
      <c r="AQ206" s="132"/>
      <c r="AR206" s="132"/>
      <c r="AS206" s="132"/>
      <c r="AT206" s="132"/>
      <c r="AU206" s="532"/>
    </row>
    <row r="207" spans="37:47" x14ac:dyDescent="0.25">
      <c r="AK207" s="682"/>
      <c r="AL207" s="683"/>
      <c r="AM207" s="683"/>
      <c r="AN207" s="138"/>
      <c r="AO207" s="132"/>
      <c r="AP207" s="132"/>
      <c r="AQ207" s="132"/>
      <c r="AR207" s="132"/>
      <c r="AS207" s="132"/>
      <c r="AT207" s="132"/>
      <c r="AU207" s="533"/>
    </row>
    <row r="208" spans="37:47" ht="21.75" customHeight="1" x14ac:dyDescent="0.25">
      <c r="AK208" s="678" t="str">
        <f>A29</f>
        <v xml:space="preserve"> PROFORMA–II VALUES [Sl.– 12.1 (Road Accidents Total)]</v>
      </c>
      <c r="AL208" s="684"/>
      <c r="AM208" s="684"/>
      <c r="AN208" s="136"/>
      <c r="AO208" s="132"/>
      <c r="AP208" s="132"/>
      <c r="AQ208" s="132"/>
      <c r="AR208" s="132"/>
      <c r="AS208" s="132"/>
      <c r="AT208" s="132"/>
      <c r="AU208" s="533"/>
    </row>
    <row r="209" spans="37:47" ht="21.75" customHeight="1" x14ac:dyDescent="0.25">
      <c r="AK209" s="678" t="str">
        <f>A30</f>
        <v>VALIDATION FOR INJURED and DIED [sum of Offending Driver/Pedestrian and Victims]</v>
      </c>
      <c r="AL209" s="684"/>
      <c r="AM209" s="684"/>
      <c r="AN209" s="136"/>
      <c r="AO209" s="132"/>
      <c r="AP209" s="132"/>
      <c r="AQ209" s="132"/>
      <c r="AR209" s="132"/>
      <c r="AS209" s="132"/>
      <c r="AT209" s="132"/>
      <c r="AU209" s="534"/>
    </row>
    <row r="210" spans="37:47" ht="24.95" customHeight="1" x14ac:dyDescent="0.25">
      <c r="AK210" s="618" t="str">
        <f>A31</f>
        <v>SL-7 ABNORMAL VARIATION  IN "OTHER MOTOR VEHICLES" DATA</v>
      </c>
      <c r="AL210" s="618"/>
      <c r="AM210" s="618"/>
      <c r="AN210" s="484" t="str">
        <f t="shared" ref="AN210:AU210" si="23">E31</f>
        <v/>
      </c>
      <c r="AO210" s="484" t="str">
        <f t="shared" si="23"/>
        <v/>
      </c>
      <c r="AP210" s="484" t="str">
        <f t="shared" si="23"/>
        <v/>
      </c>
      <c r="AQ210" s="484" t="str">
        <f t="shared" si="23"/>
        <v/>
      </c>
      <c r="AR210" s="484" t="str">
        <f t="shared" si="23"/>
        <v/>
      </c>
      <c r="AS210" s="484" t="str">
        <f t="shared" si="23"/>
        <v/>
      </c>
      <c r="AT210" s="484" t="str">
        <f t="shared" si="23"/>
        <v/>
      </c>
      <c r="AU210" s="484" t="str">
        <f t="shared" si="23"/>
        <v/>
      </c>
    </row>
    <row r="211" spans="37:47" ht="24.95" customHeight="1" x14ac:dyDescent="0.25">
      <c r="AK211" s="618" t="str">
        <f>A32</f>
        <v>SL-12 ABNORMAL VARIATION  IN "PEDESTRIAN" DATA</v>
      </c>
      <c r="AL211" s="618"/>
      <c r="AM211" s="618"/>
      <c r="AN211" s="484" t="str">
        <f t="shared" ref="AN211" si="24">E32</f>
        <v/>
      </c>
      <c r="AO211" s="484" t="str">
        <f t="shared" ref="AO211" si="25">F32</f>
        <v/>
      </c>
      <c r="AP211" s="484" t="str">
        <f t="shared" ref="AP211" si="26">G32</f>
        <v/>
      </c>
      <c r="AQ211" s="484" t="str">
        <f t="shared" ref="AQ211" si="27">H32</f>
        <v/>
      </c>
      <c r="AR211" s="484" t="str">
        <f t="shared" ref="AR211" si="28">I32</f>
        <v/>
      </c>
      <c r="AS211" s="484" t="str">
        <f t="shared" ref="AS211" si="29">J32</f>
        <v>RE-CHECK</v>
      </c>
      <c r="AT211" s="484" t="str">
        <f t="shared" ref="AT211" si="30">K32</f>
        <v/>
      </c>
      <c r="AU211" s="484" t="str">
        <f t="shared" ref="AU211" si="31">L32</f>
        <v>RE-CHECK</v>
      </c>
    </row>
    <row r="212" spans="37:47" ht="24.95" customHeight="1" x14ac:dyDescent="0.25">
      <c r="AK212" s="618" t="str">
        <f>A33</f>
        <v>SL-12 ABNORMAL VARIATION  IN "OTHERS" DATA</v>
      </c>
      <c r="AL212" s="618"/>
      <c r="AM212" s="618"/>
      <c r="AN212" s="484" t="str">
        <f t="shared" ref="AN212:AU212" si="32">E33</f>
        <v/>
      </c>
      <c r="AO212" s="484" t="str">
        <f t="shared" si="32"/>
        <v/>
      </c>
      <c r="AP212" s="484" t="str">
        <f t="shared" si="32"/>
        <v/>
      </c>
      <c r="AQ212" s="484" t="str">
        <f t="shared" si="32"/>
        <v/>
      </c>
      <c r="AR212" s="484" t="str">
        <f t="shared" si="32"/>
        <v/>
      </c>
      <c r="AS212" s="484" t="str">
        <f t="shared" si="32"/>
        <v/>
      </c>
      <c r="AT212" s="484" t="str">
        <f t="shared" si="32"/>
        <v/>
      </c>
      <c r="AU212" s="484" t="str">
        <f t="shared" si="32"/>
        <v/>
      </c>
    </row>
    <row r="213" spans="37:47" x14ac:dyDescent="0.25">
      <c r="AK213" s="132"/>
      <c r="AL213" s="132"/>
      <c r="AM213" s="132"/>
      <c r="AN213" s="132"/>
      <c r="AO213" s="132"/>
      <c r="AP213" s="132"/>
      <c r="AQ213" s="132"/>
      <c r="AR213" s="132"/>
      <c r="AS213" s="132"/>
      <c r="AT213" s="132"/>
      <c r="AU213" s="132"/>
    </row>
    <row r="214" spans="37:47" x14ac:dyDescent="0.25">
      <c r="AK214" s="132"/>
      <c r="AL214" s="132"/>
      <c r="AM214" s="132"/>
      <c r="AN214" s="132"/>
      <c r="AO214" s="132"/>
      <c r="AP214" s="132"/>
      <c r="AQ214" s="132"/>
      <c r="AR214" s="132"/>
      <c r="AS214" s="132"/>
      <c r="AT214" s="132"/>
      <c r="AU214" s="132"/>
    </row>
    <row r="480" spans="1:12" s="357" customFormat="1" hidden="1" x14ac:dyDescent="0.25">
      <c r="A480" s="192" t="s">
        <v>450</v>
      </c>
      <c r="B480" s="192" t="s">
        <v>451</v>
      </c>
      <c r="C480" s="192" t="s">
        <v>452</v>
      </c>
      <c r="D480" s="192" t="s">
        <v>453</v>
      </c>
      <c r="E480" s="192" t="s">
        <v>481</v>
      </c>
      <c r="F480" s="192" t="s">
        <v>482</v>
      </c>
      <c r="G480" s="192" t="s">
        <v>483</v>
      </c>
      <c r="H480" s="192" t="s">
        <v>484</v>
      </c>
      <c r="I480" s="192" t="s">
        <v>485</v>
      </c>
      <c r="J480" s="192" t="s">
        <v>486</v>
      </c>
      <c r="K480" s="192" t="s">
        <v>487</v>
      </c>
      <c r="L480" s="192" t="s">
        <v>488</v>
      </c>
    </row>
    <row r="481" spans="1:12" s="354" customFormat="1" ht="12.75" hidden="1" x14ac:dyDescent="0.25">
      <c r="A481" s="348">
        <f>IF(ADSI!$G$12="",ADSI!$H$16,ADSI!$H$12)</f>
        <v>6</v>
      </c>
      <c r="B481" s="348" t="str">
        <f ca="1">IF(ADSI!$G$12="",ADSI!$H$16,ADSI!$H$14)</f>
        <v/>
      </c>
      <c r="C481" s="396">
        <f t="shared" ref="C481:C488" si="33">A10</f>
        <v>400</v>
      </c>
      <c r="D481" s="348">
        <f>ADSI!$K$12</f>
        <v>2021</v>
      </c>
      <c r="E481" s="397">
        <f t="shared" ref="E481:L488" si="34">E10</f>
        <v>16</v>
      </c>
      <c r="F481" s="397">
        <f t="shared" si="34"/>
        <v>3</v>
      </c>
      <c r="G481" s="397">
        <f t="shared" si="34"/>
        <v>0</v>
      </c>
      <c r="H481" s="397">
        <f t="shared" si="34"/>
        <v>19</v>
      </c>
      <c r="I481" s="397">
        <f t="shared" si="34"/>
        <v>5</v>
      </c>
      <c r="J481" s="397">
        <f t="shared" si="34"/>
        <v>1</v>
      </c>
      <c r="K481" s="397">
        <f t="shared" si="34"/>
        <v>0</v>
      </c>
      <c r="L481" s="397">
        <f t="shared" si="34"/>
        <v>6</v>
      </c>
    </row>
    <row r="482" spans="1:12" s="354" customFormat="1" ht="12.75" hidden="1" x14ac:dyDescent="0.25">
      <c r="A482" s="348">
        <f>IF(ADSI!$G$12="",ADSI!$H$16,ADSI!$H$12)</f>
        <v>6</v>
      </c>
      <c r="B482" s="348" t="str">
        <f ca="1">IF(ADSI!$G$12="",ADSI!$H$16,ADSI!$H$14)</f>
        <v/>
      </c>
      <c r="C482" s="396">
        <f t="shared" si="33"/>
        <v>405</v>
      </c>
      <c r="D482" s="348">
        <f>ADSI!$K$12</f>
        <v>2021</v>
      </c>
      <c r="E482" s="397">
        <f t="shared" si="34"/>
        <v>20</v>
      </c>
      <c r="F482" s="397">
        <f t="shared" si="34"/>
        <v>10</v>
      </c>
      <c r="G482" s="397">
        <f t="shared" si="34"/>
        <v>0</v>
      </c>
      <c r="H482" s="397">
        <f t="shared" si="34"/>
        <v>30</v>
      </c>
      <c r="I482" s="397">
        <f t="shared" si="34"/>
        <v>0</v>
      </c>
      <c r="J482" s="397">
        <f t="shared" si="34"/>
        <v>0</v>
      </c>
      <c r="K482" s="397">
        <f t="shared" si="34"/>
        <v>0</v>
      </c>
      <c r="L482" s="397">
        <f t="shared" si="34"/>
        <v>0</v>
      </c>
    </row>
    <row r="483" spans="1:12" s="354" customFormat="1" ht="12.75" hidden="1" x14ac:dyDescent="0.25">
      <c r="A483" s="348">
        <f>IF(ADSI!$G$12="",ADSI!$H$16,ADSI!$H$12)</f>
        <v>6</v>
      </c>
      <c r="B483" s="348" t="str">
        <f ca="1">IF(ADSI!$G$12="",ADSI!$H$16,ADSI!$H$14)</f>
        <v/>
      </c>
      <c r="C483" s="396">
        <f t="shared" si="33"/>
        <v>409</v>
      </c>
      <c r="D483" s="348">
        <f>ADSI!$K$12</f>
        <v>2021</v>
      </c>
      <c r="E483" s="397">
        <f t="shared" si="34"/>
        <v>129</v>
      </c>
      <c r="F483" s="397">
        <f t="shared" si="34"/>
        <v>35</v>
      </c>
      <c r="G483" s="397">
        <f t="shared" si="34"/>
        <v>0</v>
      </c>
      <c r="H483" s="397">
        <f t="shared" si="34"/>
        <v>164</v>
      </c>
      <c r="I483" s="397">
        <f t="shared" si="34"/>
        <v>26</v>
      </c>
      <c r="J483" s="397">
        <f t="shared" si="34"/>
        <v>3</v>
      </c>
      <c r="K483" s="397">
        <f t="shared" si="34"/>
        <v>0</v>
      </c>
      <c r="L483" s="397">
        <f t="shared" si="34"/>
        <v>29</v>
      </c>
    </row>
    <row r="484" spans="1:12" s="354" customFormat="1" ht="12.75" hidden="1" x14ac:dyDescent="0.25">
      <c r="A484" s="348">
        <f>IF(ADSI!$G$12="",ADSI!$H$16,ADSI!$H$12)</f>
        <v>6</v>
      </c>
      <c r="B484" s="348" t="str">
        <f ca="1">IF(ADSI!$G$12="",ADSI!$H$16,ADSI!$H$14)</f>
        <v/>
      </c>
      <c r="C484" s="396">
        <f t="shared" si="33"/>
        <v>420</v>
      </c>
      <c r="D484" s="348">
        <f>ADSI!$K$12</f>
        <v>2021</v>
      </c>
      <c r="E484" s="397">
        <f t="shared" si="34"/>
        <v>0</v>
      </c>
      <c r="F484" s="397">
        <f t="shared" si="34"/>
        <v>0</v>
      </c>
      <c r="G484" s="397">
        <f t="shared" si="34"/>
        <v>0</v>
      </c>
      <c r="H484" s="397">
        <f t="shared" si="34"/>
        <v>0</v>
      </c>
      <c r="I484" s="397">
        <f t="shared" si="34"/>
        <v>0</v>
      </c>
      <c r="J484" s="397">
        <f t="shared" si="34"/>
        <v>0</v>
      </c>
      <c r="K484" s="397">
        <f t="shared" si="34"/>
        <v>0</v>
      </c>
      <c r="L484" s="397">
        <f t="shared" si="34"/>
        <v>0</v>
      </c>
    </row>
    <row r="485" spans="1:12" s="354" customFormat="1" ht="12.75" hidden="1" x14ac:dyDescent="0.25">
      <c r="A485" s="348">
        <f>IF(ADSI!$G$12="",ADSI!$H$16,ADSI!$H$12)</f>
        <v>6</v>
      </c>
      <c r="B485" s="348" t="str">
        <f ca="1">IF(ADSI!$G$12="",ADSI!$H$16,ADSI!$H$14)</f>
        <v/>
      </c>
      <c r="C485" s="396">
        <f t="shared" si="33"/>
        <v>421</v>
      </c>
      <c r="D485" s="348">
        <f>ADSI!$K$12</f>
        <v>2021</v>
      </c>
      <c r="E485" s="397">
        <f t="shared" si="34"/>
        <v>2</v>
      </c>
      <c r="F485" s="397">
        <f t="shared" si="34"/>
        <v>1</v>
      </c>
      <c r="G485" s="397">
        <f t="shared" si="34"/>
        <v>0</v>
      </c>
      <c r="H485" s="397">
        <f t="shared" si="34"/>
        <v>3</v>
      </c>
      <c r="I485" s="397">
        <f t="shared" si="34"/>
        <v>0</v>
      </c>
      <c r="J485" s="397">
        <f t="shared" si="34"/>
        <v>0</v>
      </c>
      <c r="K485" s="397">
        <f t="shared" si="34"/>
        <v>0</v>
      </c>
      <c r="L485" s="397">
        <f t="shared" si="34"/>
        <v>0</v>
      </c>
    </row>
    <row r="486" spans="1:12" s="354" customFormat="1" ht="12.75" hidden="1" x14ac:dyDescent="0.25">
      <c r="A486" s="348">
        <f>IF(ADSI!$G$12="",ADSI!$H$16,ADSI!$H$12)</f>
        <v>6</v>
      </c>
      <c r="B486" s="348" t="str">
        <f ca="1">IF(ADSI!$G$12="",ADSI!$H$16,ADSI!$H$14)</f>
        <v/>
      </c>
      <c r="C486" s="396">
        <f t="shared" si="33"/>
        <v>422</v>
      </c>
      <c r="D486" s="348">
        <f>ADSI!$K$12</f>
        <v>2021</v>
      </c>
      <c r="E486" s="397">
        <f t="shared" si="34"/>
        <v>0</v>
      </c>
      <c r="F486" s="397">
        <f t="shared" si="34"/>
        <v>1</v>
      </c>
      <c r="G486" s="397">
        <f t="shared" si="34"/>
        <v>0</v>
      </c>
      <c r="H486" s="397">
        <f t="shared" si="34"/>
        <v>1</v>
      </c>
      <c r="I486" s="397">
        <f t="shared" si="34"/>
        <v>0</v>
      </c>
      <c r="J486" s="397">
        <f t="shared" si="34"/>
        <v>0</v>
      </c>
      <c r="K486" s="397">
        <f t="shared" si="34"/>
        <v>0</v>
      </c>
      <c r="L486" s="397">
        <f t="shared" si="34"/>
        <v>0</v>
      </c>
    </row>
    <row r="487" spans="1:12" s="354" customFormat="1" ht="12.75" hidden="1" x14ac:dyDescent="0.25">
      <c r="A487" s="348">
        <f>IF(ADSI!$G$12="",ADSI!$H$16,ADSI!$H$12)</f>
        <v>6</v>
      </c>
      <c r="B487" s="348" t="str">
        <f ca="1">IF(ADSI!$G$12="",ADSI!$H$16,ADSI!$H$14)</f>
        <v/>
      </c>
      <c r="C487" s="396">
        <f t="shared" si="33"/>
        <v>423</v>
      </c>
      <c r="D487" s="348">
        <f>ADSI!$K$12</f>
        <v>2021</v>
      </c>
      <c r="E487" s="397">
        <f t="shared" si="34"/>
        <v>2</v>
      </c>
      <c r="F487" s="397">
        <f t="shared" si="34"/>
        <v>0</v>
      </c>
      <c r="G487" s="397">
        <f t="shared" si="34"/>
        <v>0</v>
      </c>
      <c r="H487" s="397">
        <f t="shared" si="34"/>
        <v>2</v>
      </c>
      <c r="I487" s="397">
        <f t="shared" si="34"/>
        <v>0</v>
      </c>
      <c r="J487" s="397">
        <f t="shared" si="34"/>
        <v>0</v>
      </c>
      <c r="K487" s="397">
        <f t="shared" si="34"/>
        <v>0</v>
      </c>
      <c r="L487" s="397">
        <f t="shared" si="34"/>
        <v>0</v>
      </c>
    </row>
    <row r="488" spans="1:12" s="354" customFormat="1" ht="12.75" hidden="1" x14ac:dyDescent="0.25">
      <c r="A488" s="348">
        <f>IF(ADSI!$G$12="",ADSI!$H$16,ADSI!$H$12)</f>
        <v>6</v>
      </c>
      <c r="B488" s="348" t="str">
        <f ca="1">IF(ADSI!$G$12="",ADSI!$H$16,ADSI!$H$14)</f>
        <v/>
      </c>
      <c r="C488" s="396">
        <f t="shared" si="33"/>
        <v>424</v>
      </c>
      <c r="D488" s="348">
        <f>ADSI!$K$12</f>
        <v>2021</v>
      </c>
      <c r="E488" s="397">
        <f t="shared" si="34"/>
        <v>486</v>
      </c>
      <c r="F488" s="397">
        <f t="shared" si="34"/>
        <v>90</v>
      </c>
      <c r="G488" s="397">
        <f t="shared" si="34"/>
        <v>0</v>
      </c>
      <c r="H488" s="397">
        <f t="shared" si="34"/>
        <v>576</v>
      </c>
      <c r="I488" s="397">
        <f t="shared" si="34"/>
        <v>132</v>
      </c>
      <c r="J488" s="397">
        <f t="shared" si="34"/>
        <v>19</v>
      </c>
      <c r="K488" s="397">
        <f t="shared" si="34"/>
        <v>0</v>
      </c>
      <c r="L488" s="397">
        <f t="shared" si="34"/>
        <v>151</v>
      </c>
    </row>
    <row r="489" spans="1:12" s="354" customFormat="1" ht="12.75" hidden="1" x14ac:dyDescent="0.25">
      <c r="A489" s="348">
        <f>IF(ADSI!$G$12="",ADSI!$H$16,ADSI!$H$12)</f>
        <v>6</v>
      </c>
      <c r="B489" s="348" t="str">
        <f ca="1">IF(ADSI!$G$12="",ADSI!$H$16,ADSI!$H$14)</f>
        <v/>
      </c>
      <c r="C489" s="396">
        <f t="shared" ref="C489:C497" si="35">A18</f>
        <v>428</v>
      </c>
      <c r="D489" s="348">
        <f>ADSI!$K$12</f>
        <v>2021</v>
      </c>
      <c r="E489" s="397">
        <f t="shared" ref="E489:L489" si="36">E18</f>
        <v>0</v>
      </c>
      <c r="F489" s="397">
        <f t="shared" si="36"/>
        <v>0</v>
      </c>
      <c r="G489" s="397">
        <f t="shared" si="36"/>
        <v>0</v>
      </c>
      <c r="H489" s="397">
        <f t="shared" si="36"/>
        <v>0</v>
      </c>
      <c r="I489" s="397">
        <f t="shared" si="36"/>
        <v>0</v>
      </c>
      <c r="J489" s="397">
        <f t="shared" si="36"/>
        <v>0</v>
      </c>
      <c r="K489" s="397">
        <f t="shared" si="36"/>
        <v>0</v>
      </c>
      <c r="L489" s="397">
        <f t="shared" si="36"/>
        <v>0</v>
      </c>
    </row>
    <row r="490" spans="1:12" s="354" customFormat="1" ht="12.75" hidden="1" x14ac:dyDescent="0.25">
      <c r="A490" s="348">
        <f>IF(ADSI!$G$12="",ADSI!$H$16,ADSI!$H$12)</f>
        <v>6</v>
      </c>
      <c r="B490" s="348" t="str">
        <f ca="1">IF(ADSI!$G$12="",ADSI!$H$16,ADSI!$H$14)</f>
        <v/>
      </c>
      <c r="C490" s="396">
        <f t="shared" si="35"/>
        <v>429</v>
      </c>
      <c r="D490" s="348">
        <f>ADSI!$K$12</f>
        <v>2021</v>
      </c>
      <c r="E490" s="397">
        <f t="shared" ref="E490:L490" si="37">E19</f>
        <v>653</v>
      </c>
      <c r="F490" s="397">
        <f t="shared" si="37"/>
        <v>139</v>
      </c>
      <c r="G490" s="397">
        <f t="shared" si="37"/>
        <v>0</v>
      </c>
      <c r="H490" s="397">
        <f t="shared" si="37"/>
        <v>792</v>
      </c>
      <c r="I490" s="397">
        <f t="shared" si="37"/>
        <v>163</v>
      </c>
      <c r="J490" s="397">
        <f t="shared" si="37"/>
        <v>23</v>
      </c>
      <c r="K490" s="397">
        <f t="shared" si="37"/>
        <v>0</v>
      </c>
      <c r="L490" s="397">
        <f t="shared" si="37"/>
        <v>186</v>
      </c>
    </row>
    <row r="491" spans="1:12" s="354" customFormat="1" ht="12.75" hidden="1" x14ac:dyDescent="0.25">
      <c r="A491" s="348">
        <f>IF(ADSI!$G$12="",ADSI!$H$16,ADSI!$H$12)</f>
        <v>6</v>
      </c>
      <c r="B491" s="348" t="str">
        <f ca="1">IF(ADSI!$G$12="",ADSI!$H$16,ADSI!$H$14)</f>
        <v/>
      </c>
      <c r="C491" s="396">
        <f t="shared" si="35"/>
        <v>430</v>
      </c>
      <c r="D491" s="348">
        <f>ADSI!$K$12</f>
        <v>2021</v>
      </c>
      <c r="E491" s="397">
        <f t="shared" ref="E491:L491" si="38">E20</f>
        <v>11</v>
      </c>
      <c r="F491" s="397">
        <f t="shared" si="38"/>
        <v>0</v>
      </c>
      <c r="G491" s="397">
        <f t="shared" si="38"/>
        <v>0</v>
      </c>
      <c r="H491" s="397">
        <f t="shared" si="38"/>
        <v>11</v>
      </c>
      <c r="I491" s="397">
        <f t="shared" si="38"/>
        <v>6</v>
      </c>
      <c r="J491" s="397">
        <f t="shared" si="38"/>
        <v>0</v>
      </c>
      <c r="K491" s="397">
        <f t="shared" si="38"/>
        <v>0</v>
      </c>
      <c r="L491" s="397">
        <f t="shared" si="38"/>
        <v>6</v>
      </c>
    </row>
    <row r="492" spans="1:12" s="354" customFormat="1" ht="12.75" hidden="1" x14ac:dyDescent="0.25">
      <c r="A492" s="348">
        <f>IF(ADSI!$G$12="",ADSI!$H$16,ADSI!$H$12)</f>
        <v>6</v>
      </c>
      <c r="B492" s="348" t="str">
        <f ca="1">IF(ADSI!$G$12="",ADSI!$H$16,ADSI!$H$14)</f>
        <v/>
      </c>
      <c r="C492" s="396">
        <f t="shared" si="35"/>
        <v>431</v>
      </c>
      <c r="D492" s="348">
        <f>ADSI!$K$12</f>
        <v>2021</v>
      </c>
      <c r="E492" s="397">
        <f t="shared" ref="E492:L492" si="39">E21</f>
        <v>0</v>
      </c>
      <c r="F492" s="397">
        <f t="shared" si="39"/>
        <v>0</v>
      </c>
      <c r="G492" s="397">
        <f t="shared" si="39"/>
        <v>0</v>
      </c>
      <c r="H492" s="397">
        <f t="shared" si="39"/>
        <v>0</v>
      </c>
      <c r="I492" s="397">
        <f t="shared" si="39"/>
        <v>0</v>
      </c>
      <c r="J492" s="397">
        <f t="shared" si="39"/>
        <v>0</v>
      </c>
      <c r="K492" s="397">
        <f t="shared" si="39"/>
        <v>0</v>
      </c>
      <c r="L492" s="397">
        <f t="shared" si="39"/>
        <v>0</v>
      </c>
    </row>
    <row r="493" spans="1:12" s="354" customFormat="1" ht="12.75" hidden="1" x14ac:dyDescent="0.25">
      <c r="A493" s="348">
        <f>IF(ADSI!$G$12="",ADSI!$H$16,ADSI!$H$12)</f>
        <v>6</v>
      </c>
      <c r="B493" s="348" t="str">
        <f ca="1">IF(ADSI!$G$12="",ADSI!$H$16,ADSI!$H$14)</f>
        <v/>
      </c>
      <c r="C493" s="396">
        <f t="shared" si="35"/>
        <v>432</v>
      </c>
      <c r="D493" s="348">
        <f>ADSI!$K$12</f>
        <v>2021</v>
      </c>
      <c r="E493" s="397">
        <f t="shared" ref="E493:L493" si="40">E22</f>
        <v>0</v>
      </c>
      <c r="F493" s="397">
        <f t="shared" si="40"/>
        <v>0</v>
      </c>
      <c r="G493" s="397">
        <f t="shared" si="40"/>
        <v>0</v>
      </c>
      <c r="H493" s="397">
        <f t="shared" si="40"/>
        <v>0</v>
      </c>
      <c r="I493" s="397">
        <f t="shared" si="40"/>
        <v>0</v>
      </c>
      <c r="J493" s="397">
        <f t="shared" si="40"/>
        <v>0</v>
      </c>
      <c r="K493" s="397">
        <f t="shared" si="40"/>
        <v>0</v>
      </c>
      <c r="L493" s="397">
        <f t="shared" si="40"/>
        <v>0</v>
      </c>
    </row>
    <row r="494" spans="1:12" s="354" customFormat="1" ht="12.75" hidden="1" x14ac:dyDescent="0.25">
      <c r="A494" s="348">
        <f>IF(ADSI!$G$12="",ADSI!$H$16,ADSI!$H$12)</f>
        <v>6</v>
      </c>
      <c r="B494" s="348" t="str">
        <f ca="1">IF(ADSI!$G$12="",ADSI!$H$16,ADSI!$H$14)</f>
        <v/>
      </c>
      <c r="C494" s="396">
        <f>A23</f>
        <v>433</v>
      </c>
      <c r="D494" s="348">
        <f>ADSI!$K$12</f>
        <v>2021</v>
      </c>
      <c r="E494" s="397">
        <f t="shared" ref="E494:L494" si="41">E23</f>
        <v>32</v>
      </c>
      <c r="F494" s="397">
        <f t="shared" si="41"/>
        <v>21</v>
      </c>
      <c r="G494" s="397">
        <f t="shared" si="41"/>
        <v>0</v>
      </c>
      <c r="H494" s="397">
        <f t="shared" si="41"/>
        <v>53</v>
      </c>
      <c r="I494" s="397">
        <f t="shared" si="41"/>
        <v>24</v>
      </c>
      <c r="J494" s="397">
        <f t="shared" si="41"/>
        <v>10</v>
      </c>
      <c r="K494" s="397">
        <f t="shared" si="41"/>
        <v>0</v>
      </c>
      <c r="L494" s="397">
        <f t="shared" si="41"/>
        <v>34</v>
      </c>
    </row>
    <row r="495" spans="1:12" s="354" customFormat="1" ht="12.75" hidden="1" x14ac:dyDescent="0.25">
      <c r="A495" s="348">
        <f>IF(ADSI!$G$12="",ADSI!$H$16,ADSI!$H$12)</f>
        <v>6</v>
      </c>
      <c r="B495" s="348" t="str">
        <f ca="1">IF(ADSI!$G$12="",ADSI!$H$16,ADSI!$H$14)</f>
        <v/>
      </c>
      <c r="C495" s="396">
        <f t="shared" si="35"/>
        <v>434</v>
      </c>
      <c r="D495" s="348">
        <f>ADSI!$K$12</f>
        <v>2021</v>
      </c>
      <c r="E495" s="397">
        <f t="shared" ref="E495:L495" si="42">E24</f>
        <v>0</v>
      </c>
      <c r="F495" s="397">
        <f t="shared" si="42"/>
        <v>0</v>
      </c>
      <c r="G495" s="397">
        <f t="shared" si="42"/>
        <v>0</v>
      </c>
      <c r="H495" s="397">
        <f t="shared" si="42"/>
        <v>0</v>
      </c>
      <c r="I495" s="397">
        <f t="shared" si="42"/>
        <v>0</v>
      </c>
      <c r="J495" s="397">
        <f t="shared" si="42"/>
        <v>0</v>
      </c>
      <c r="K495" s="397">
        <f t="shared" si="42"/>
        <v>0</v>
      </c>
      <c r="L495" s="397">
        <f t="shared" si="42"/>
        <v>0</v>
      </c>
    </row>
    <row r="496" spans="1:12" s="354" customFormat="1" ht="12.75" hidden="1" x14ac:dyDescent="0.25">
      <c r="A496" s="348">
        <f>IF(ADSI!$G$12="",ADSI!$H$16,ADSI!$H$12)</f>
        <v>6</v>
      </c>
      <c r="B496" s="348" t="str">
        <f ca="1">IF(ADSI!$G$12="",ADSI!$H$16,ADSI!$H$14)</f>
        <v/>
      </c>
      <c r="C496" s="396">
        <f t="shared" si="35"/>
        <v>435</v>
      </c>
      <c r="D496" s="348">
        <f>ADSI!$K$12</f>
        <v>2021</v>
      </c>
      <c r="E496" s="397">
        <f t="shared" ref="E496:L496" si="43">E25</f>
        <v>43</v>
      </c>
      <c r="F496" s="397">
        <f t="shared" si="43"/>
        <v>21</v>
      </c>
      <c r="G496" s="397">
        <f t="shared" si="43"/>
        <v>0</v>
      </c>
      <c r="H496" s="397">
        <f t="shared" si="43"/>
        <v>64</v>
      </c>
      <c r="I496" s="397">
        <f t="shared" si="43"/>
        <v>30</v>
      </c>
      <c r="J496" s="397">
        <f t="shared" si="43"/>
        <v>10</v>
      </c>
      <c r="K496" s="397">
        <f t="shared" si="43"/>
        <v>0</v>
      </c>
      <c r="L496" s="397">
        <f t="shared" si="43"/>
        <v>40</v>
      </c>
    </row>
    <row r="497" spans="1:12" hidden="1" x14ac:dyDescent="0.25">
      <c r="A497" s="348">
        <f>IF(ADSI!$G$12="",ADSI!$H$16,ADSI!$H$12)</f>
        <v>6</v>
      </c>
      <c r="B497" s="348" t="str">
        <f ca="1">IF(ADSI!$G$12="",ADSI!$H$16,ADSI!$H$14)</f>
        <v/>
      </c>
      <c r="C497" s="396">
        <f t="shared" si="35"/>
        <v>450</v>
      </c>
      <c r="D497" s="348">
        <f>ADSI!$K$12</f>
        <v>2021</v>
      </c>
      <c r="E497" s="397">
        <f t="shared" ref="E497:L497" si="44">E26</f>
        <v>696</v>
      </c>
      <c r="F497" s="397">
        <f t="shared" si="44"/>
        <v>160</v>
      </c>
      <c r="G497" s="397">
        <f t="shared" si="44"/>
        <v>0</v>
      </c>
      <c r="H497" s="397">
        <f t="shared" si="44"/>
        <v>856</v>
      </c>
      <c r="I497" s="397">
        <f t="shared" si="44"/>
        <v>193</v>
      </c>
      <c r="J497" s="397">
        <f t="shared" si="44"/>
        <v>33</v>
      </c>
      <c r="K497" s="397">
        <f t="shared" si="44"/>
        <v>0</v>
      </c>
      <c r="L497" s="397">
        <f t="shared" si="44"/>
        <v>226</v>
      </c>
    </row>
    <row r="498" spans="1:12" x14ac:dyDescent="0.25">
      <c r="C498" s="356"/>
    </row>
    <row r="500" spans="1:12" hidden="1" x14ac:dyDescent="0.25">
      <c r="A500" s="192" t="s">
        <v>450</v>
      </c>
      <c r="B500" s="192" t="s">
        <v>451</v>
      </c>
      <c r="C500" s="192" t="s">
        <v>452</v>
      </c>
      <c r="D500" s="192" t="s">
        <v>453</v>
      </c>
      <c r="E500" s="192" t="s">
        <v>485</v>
      </c>
      <c r="F500" s="192" t="s">
        <v>486</v>
      </c>
      <c r="G500" s="192" t="s">
        <v>487</v>
      </c>
      <c r="H500" s="192" t="s">
        <v>488</v>
      </c>
      <c r="I500" s="192" t="s">
        <v>481</v>
      </c>
      <c r="J500" s="192" t="s">
        <v>482</v>
      </c>
      <c r="K500" s="192" t="s">
        <v>483</v>
      </c>
      <c r="L500" s="192" t="s">
        <v>484</v>
      </c>
    </row>
    <row r="501" spans="1:12" hidden="1" x14ac:dyDescent="0.25">
      <c r="A501" s="348">
        <f>IF(ADSI!$G$12="",ADSI!$H$16,ADSI!$H$12)</f>
        <v>6</v>
      </c>
      <c r="B501" s="348" t="str">
        <f ca="1">IF(ADSI!$G$12="",ADSI!$H$16,ADSI!$H$14)</f>
        <v/>
      </c>
      <c r="C501" s="396">
        <f>A10</f>
        <v>400</v>
      </c>
      <c r="D501" s="348">
        <f>ADSI!$K$12</f>
        <v>2021</v>
      </c>
      <c r="E501" s="397">
        <f>E10</f>
        <v>16</v>
      </c>
      <c r="F501" s="397">
        <f t="shared" ref="F501:L501" si="45">F10</f>
        <v>3</v>
      </c>
      <c r="G501" s="397">
        <f t="shared" si="45"/>
        <v>0</v>
      </c>
      <c r="H501" s="397">
        <f t="shared" si="45"/>
        <v>19</v>
      </c>
      <c r="I501" s="397">
        <f t="shared" si="45"/>
        <v>5</v>
      </c>
      <c r="J501" s="397">
        <f t="shared" si="45"/>
        <v>1</v>
      </c>
      <c r="K501" s="397">
        <f t="shared" si="45"/>
        <v>0</v>
      </c>
      <c r="L501" s="397">
        <f t="shared" si="45"/>
        <v>6</v>
      </c>
    </row>
    <row r="502" spans="1:12" hidden="1" x14ac:dyDescent="0.25">
      <c r="A502" s="348">
        <f>IF(ADSI!$G$12="",ADSI!$H$16,ADSI!$H$12)</f>
        <v>6</v>
      </c>
      <c r="B502" s="348" t="str">
        <f ca="1">IF(ADSI!$G$12="",ADSI!$H$16,ADSI!$H$14)</f>
        <v/>
      </c>
      <c r="C502" s="396">
        <f t="shared" ref="C502:C517" si="46">A11</f>
        <v>405</v>
      </c>
      <c r="D502" s="348">
        <f>ADSI!$K$12</f>
        <v>2021</v>
      </c>
      <c r="E502" s="397">
        <f t="shared" ref="E502:L517" si="47">E11</f>
        <v>20</v>
      </c>
      <c r="F502" s="397">
        <f t="shared" si="47"/>
        <v>10</v>
      </c>
      <c r="G502" s="397">
        <f t="shared" si="47"/>
        <v>0</v>
      </c>
      <c r="H502" s="397">
        <f t="shared" si="47"/>
        <v>30</v>
      </c>
      <c r="I502" s="397">
        <f t="shared" si="47"/>
        <v>0</v>
      </c>
      <c r="J502" s="397">
        <f t="shared" si="47"/>
        <v>0</v>
      </c>
      <c r="K502" s="397">
        <f t="shared" si="47"/>
        <v>0</v>
      </c>
      <c r="L502" s="397">
        <f t="shared" si="47"/>
        <v>0</v>
      </c>
    </row>
    <row r="503" spans="1:12" hidden="1" x14ac:dyDescent="0.25">
      <c r="A503" s="348">
        <f>IF(ADSI!$G$12="",ADSI!$H$16,ADSI!$H$12)</f>
        <v>6</v>
      </c>
      <c r="B503" s="348" t="str">
        <f ca="1">IF(ADSI!$G$12="",ADSI!$H$16,ADSI!$H$14)</f>
        <v/>
      </c>
      <c r="C503" s="396">
        <f t="shared" si="46"/>
        <v>409</v>
      </c>
      <c r="D503" s="348">
        <f>ADSI!$K$12</f>
        <v>2021</v>
      </c>
      <c r="E503" s="397">
        <f t="shared" si="47"/>
        <v>129</v>
      </c>
      <c r="F503" s="397">
        <f t="shared" si="47"/>
        <v>35</v>
      </c>
      <c r="G503" s="397">
        <f t="shared" si="47"/>
        <v>0</v>
      </c>
      <c r="H503" s="397">
        <f t="shared" si="47"/>
        <v>164</v>
      </c>
      <c r="I503" s="397">
        <f t="shared" si="47"/>
        <v>26</v>
      </c>
      <c r="J503" s="397">
        <f t="shared" si="47"/>
        <v>3</v>
      </c>
      <c r="K503" s="397">
        <f t="shared" si="47"/>
        <v>0</v>
      </c>
      <c r="L503" s="397">
        <f t="shared" si="47"/>
        <v>29</v>
      </c>
    </row>
    <row r="504" spans="1:12" hidden="1" x14ac:dyDescent="0.25">
      <c r="A504" s="348">
        <f>IF(ADSI!$G$12="",ADSI!$H$16,ADSI!$H$12)</f>
        <v>6</v>
      </c>
      <c r="B504" s="348" t="str">
        <f ca="1">IF(ADSI!$G$12="",ADSI!$H$16,ADSI!$H$14)</f>
        <v/>
      </c>
      <c r="C504" s="396">
        <f t="shared" si="46"/>
        <v>420</v>
      </c>
      <c r="D504" s="348">
        <f>ADSI!$K$12</f>
        <v>2021</v>
      </c>
      <c r="E504" s="397">
        <f t="shared" si="47"/>
        <v>0</v>
      </c>
      <c r="F504" s="397">
        <f t="shared" si="47"/>
        <v>0</v>
      </c>
      <c r="G504" s="397">
        <f t="shared" si="47"/>
        <v>0</v>
      </c>
      <c r="H504" s="397">
        <f t="shared" si="47"/>
        <v>0</v>
      </c>
      <c r="I504" s="397">
        <f t="shared" si="47"/>
        <v>0</v>
      </c>
      <c r="J504" s="397">
        <f t="shared" si="47"/>
        <v>0</v>
      </c>
      <c r="K504" s="397">
        <f t="shared" si="47"/>
        <v>0</v>
      </c>
      <c r="L504" s="397">
        <f t="shared" si="47"/>
        <v>0</v>
      </c>
    </row>
    <row r="505" spans="1:12" hidden="1" x14ac:dyDescent="0.25">
      <c r="A505" s="348">
        <f>IF(ADSI!$G$12="",ADSI!$H$16,ADSI!$H$12)</f>
        <v>6</v>
      </c>
      <c r="B505" s="348" t="str">
        <f ca="1">IF(ADSI!$G$12="",ADSI!$H$16,ADSI!$H$14)</f>
        <v/>
      </c>
      <c r="C505" s="396">
        <f t="shared" si="46"/>
        <v>421</v>
      </c>
      <c r="D505" s="348">
        <f>ADSI!$K$12</f>
        <v>2021</v>
      </c>
      <c r="E505" s="397">
        <f t="shared" si="47"/>
        <v>2</v>
      </c>
      <c r="F505" s="397">
        <f t="shared" si="47"/>
        <v>1</v>
      </c>
      <c r="G505" s="397">
        <f t="shared" si="47"/>
        <v>0</v>
      </c>
      <c r="H505" s="397">
        <f t="shared" si="47"/>
        <v>3</v>
      </c>
      <c r="I505" s="397">
        <f t="shared" si="47"/>
        <v>0</v>
      </c>
      <c r="J505" s="397">
        <f t="shared" si="47"/>
        <v>0</v>
      </c>
      <c r="K505" s="397">
        <f t="shared" si="47"/>
        <v>0</v>
      </c>
      <c r="L505" s="397">
        <f t="shared" si="47"/>
        <v>0</v>
      </c>
    </row>
    <row r="506" spans="1:12" hidden="1" x14ac:dyDescent="0.25">
      <c r="A506" s="348">
        <f>IF(ADSI!$G$12="",ADSI!$H$16,ADSI!$H$12)</f>
        <v>6</v>
      </c>
      <c r="B506" s="348" t="str">
        <f ca="1">IF(ADSI!$G$12="",ADSI!$H$16,ADSI!$H$14)</f>
        <v/>
      </c>
      <c r="C506" s="396">
        <f t="shared" si="46"/>
        <v>422</v>
      </c>
      <c r="D506" s="348">
        <f>ADSI!$K$12</f>
        <v>2021</v>
      </c>
      <c r="E506" s="397">
        <f t="shared" si="47"/>
        <v>0</v>
      </c>
      <c r="F506" s="397">
        <f t="shared" si="47"/>
        <v>1</v>
      </c>
      <c r="G506" s="397">
        <f t="shared" si="47"/>
        <v>0</v>
      </c>
      <c r="H506" s="397">
        <f t="shared" si="47"/>
        <v>1</v>
      </c>
      <c r="I506" s="397">
        <f t="shared" si="47"/>
        <v>0</v>
      </c>
      <c r="J506" s="397">
        <f t="shared" si="47"/>
        <v>0</v>
      </c>
      <c r="K506" s="397">
        <f t="shared" si="47"/>
        <v>0</v>
      </c>
      <c r="L506" s="397">
        <f t="shared" si="47"/>
        <v>0</v>
      </c>
    </row>
    <row r="507" spans="1:12" hidden="1" x14ac:dyDescent="0.25">
      <c r="A507" s="348">
        <f>IF(ADSI!$G$12="",ADSI!$H$16,ADSI!$H$12)</f>
        <v>6</v>
      </c>
      <c r="B507" s="348" t="str">
        <f ca="1">IF(ADSI!$G$12="",ADSI!$H$16,ADSI!$H$14)</f>
        <v/>
      </c>
      <c r="C507" s="396">
        <f t="shared" si="46"/>
        <v>423</v>
      </c>
      <c r="D507" s="348">
        <f>ADSI!$K$12</f>
        <v>2021</v>
      </c>
      <c r="E507" s="397">
        <f t="shared" si="47"/>
        <v>2</v>
      </c>
      <c r="F507" s="397">
        <f t="shared" si="47"/>
        <v>0</v>
      </c>
      <c r="G507" s="397">
        <f t="shared" si="47"/>
        <v>0</v>
      </c>
      <c r="H507" s="397">
        <f t="shared" si="47"/>
        <v>2</v>
      </c>
      <c r="I507" s="397">
        <f t="shared" si="47"/>
        <v>0</v>
      </c>
      <c r="J507" s="397">
        <f t="shared" si="47"/>
        <v>0</v>
      </c>
      <c r="K507" s="397">
        <f t="shared" si="47"/>
        <v>0</v>
      </c>
      <c r="L507" s="397">
        <f t="shared" si="47"/>
        <v>0</v>
      </c>
    </row>
    <row r="508" spans="1:12" hidden="1" x14ac:dyDescent="0.25">
      <c r="A508" s="348">
        <f>IF(ADSI!$G$12="",ADSI!$H$16,ADSI!$H$12)</f>
        <v>6</v>
      </c>
      <c r="B508" s="348" t="str">
        <f ca="1">IF(ADSI!$G$12="",ADSI!$H$16,ADSI!$H$14)</f>
        <v/>
      </c>
      <c r="C508" s="396">
        <f t="shared" si="46"/>
        <v>424</v>
      </c>
      <c r="D508" s="348">
        <f>ADSI!$K$12</f>
        <v>2021</v>
      </c>
      <c r="E508" s="397">
        <f t="shared" si="47"/>
        <v>486</v>
      </c>
      <c r="F508" s="397">
        <f t="shared" si="47"/>
        <v>90</v>
      </c>
      <c r="G508" s="397">
        <f t="shared" si="47"/>
        <v>0</v>
      </c>
      <c r="H508" s="397">
        <f t="shared" si="47"/>
        <v>576</v>
      </c>
      <c r="I508" s="397">
        <f t="shared" si="47"/>
        <v>132</v>
      </c>
      <c r="J508" s="397">
        <f t="shared" si="47"/>
        <v>19</v>
      </c>
      <c r="K508" s="397">
        <f t="shared" si="47"/>
        <v>0</v>
      </c>
      <c r="L508" s="397">
        <f t="shared" si="47"/>
        <v>151</v>
      </c>
    </row>
    <row r="509" spans="1:12" hidden="1" x14ac:dyDescent="0.25">
      <c r="A509" s="348">
        <f>IF(ADSI!$G$12="",ADSI!$H$16,ADSI!$H$12)</f>
        <v>6</v>
      </c>
      <c r="B509" s="348" t="str">
        <f ca="1">IF(ADSI!$G$12="",ADSI!$H$16,ADSI!$H$14)</f>
        <v/>
      </c>
      <c r="C509" s="396">
        <f t="shared" si="46"/>
        <v>428</v>
      </c>
      <c r="D509" s="348">
        <f>ADSI!$K$12</f>
        <v>2021</v>
      </c>
      <c r="E509" s="397">
        <f t="shared" si="47"/>
        <v>0</v>
      </c>
      <c r="F509" s="397">
        <f t="shared" si="47"/>
        <v>0</v>
      </c>
      <c r="G509" s="397">
        <f t="shared" si="47"/>
        <v>0</v>
      </c>
      <c r="H509" s="397">
        <f t="shared" si="47"/>
        <v>0</v>
      </c>
      <c r="I509" s="397">
        <f t="shared" si="47"/>
        <v>0</v>
      </c>
      <c r="J509" s="397">
        <f t="shared" si="47"/>
        <v>0</v>
      </c>
      <c r="K509" s="397">
        <f t="shared" si="47"/>
        <v>0</v>
      </c>
      <c r="L509" s="397">
        <f t="shared" si="47"/>
        <v>0</v>
      </c>
    </row>
    <row r="510" spans="1:12" hidden="1" x14ac:dyDescent="0.25">
      <c r="A510" s="348">
        <f>IF(ADSI!$G$12="",ADSI!$H$16,ADSI!$H$12)</f>
        <v>6</v>
      </c>
      <c r="B510" s="348" t="str">
        <f ca="1">IF(ADSI!$G$12="",ADSI!$H$16,ADSI!$H$14)</f>
        <v/>
      </c>
      <c r="C510" s="396">
        <f t="shared" si="46"/>
        <v>429</v>
      </c>
      <c r="D510" s="348">
        <f>ADSI!$K$12</f>
        <v>2021</v>
      </c>
      <c r="E510" s="397">
        <f t="shared" si="47"/>
        <v>653</v>
      </c>
      <c r="F510" s="397">
        <f t="shared" si="47"/>
        <v>139</v>
      </c>
      <c r="G510" s="397">
        <f t="shared" si="47"/>
        <v>0</v>
      </c>
      <c r="H510" s="397">
        <f t="shared" si="47"/>
        <v>792</v>
      </c>
      <c r="I510" s="397">
        <f t="shared" si="47"/>
        <v>163</v>
      </c>
      <c r="J510" s="397">
        <f t="shared" si="47"/>
        <v>23</v>
      </c>
      <c r="K510" s="397">
        <f t="shared" si="47"/>
        <v>0</v>
      </c>
      <c r="L510" s="397">
        <f t="shared" si="47"/>
        <v>186</v>
      </c>
    </row>
    <row r="511" spans="1:12" hidden="1" x14ac:dyDescent="0.25">
      <c r="A511" s="348">
        <f>IF(ADSI!$G$12="",ADSI!$H$16,ADSI!$H$12)</f>
        <v>6</v>
      </c>
      <c r="B511" s="348" t="str">
        <f ca="1">IF(ADSI!$G$12="",ADSI!$H$16,ADSI!$H$14)</f>
        <v/>
      </c>
      <c r="C511" s="396">
        <f t="shared" si="46"/>
        <v>430</v>
      </c>
      <c r="D511" s="348">
        <f>ADSI!$K$12</f>
        <v>2021</v>
      </c>
      <c r="E511" s="397">
        <f t="shared" si="47"/>
        <v>11</v>
      </c>
      <c r="F511" s="397">
        <f t="shared" si="47"/>
        <v>0</v>
      </c>
      <c r="G511" s="397">
        <f t="shared" si="47"/>
        <v>0</v>
      </c>
      <c r="H511" s="397">
        <f t="shared" si="47"/>
        <v>11</v>
      </c>
      <c r="I511" s="397">
        <f t="shared" si="47"/>
        <v>6</v>
      </c>
      <c r="J511" s="397">
        <f t="shared" si="47"/>
        <v>0</v>
      </c>
      <c r="K511" s="397">
        <f t="shared" si="47"/>
        <v>0</v>
      </c>
      <c r="L511" s="397">
        <f t="shared" si="47"/>
        <v>6</v>
      </c>
    </row>
    <row r="512" spans="1:12" hidden="1" x14ac:dyDescent="0.25">
      <c r="A512" s="348">
        <f>IF(ADSI!$G$12="",ADSI!$H$16,ADSI!$H$12)</f>
        <v>6</v>
      </c>
      <c r="B512" s="348" t="str">
        <f ca="1">IF(ADSI!$G$12="",ADSI!$H$16,ADSI!$H$14)</f>
        <v/>
      </c>
      <c r="C512" s="396">
        <f t="shared" si="46"/>
        <v>431</v>
      </c>
      <c r="D512" s="348">
        <f>ADSI!$K$12</f>
        <v>2021</v>
      </c>
      <c r="E512" s="397">
        <f t="shared" si="47"/>
        <v>0</v>
      </c>
      <c r="F512" s="397">
        <f t="shared" si="47"/>
        <v>0</v>
      </c>
      <c r="G512" s="397">
        <f t="shared" si="47"/>
        <v>0</v>
      </c>
      <c r="H512" s="397">
        <f t="shared" si="47"/>
        <v>0</v>
      </c>
      <c r="I512" s="397">
        <f t="shared" si="47"/>
        <v>0</v>
      </c>
      <c r="J512" s="397">
        <f t="shared" si="47"/>
        <v>0</v>
      </c>
      <c r="K512" s="397">
        <f t="shared" si="47"/>
        <v>0</v>
      </c>
      <c r="L512" s="397">
        <f t="shared" si="47"/>
        <v>0</v>
      </c>
    </row>
    <row r="513" spans="1:12" hidden="1" x14ac:dyDescent="0.25">
      <c r="A513" s="348">
        <f>IF(ADSI!$G$12="",ADSI!$H$16,ADSI!$H$12)</f>
        <v>6</v>
      </c>
      <c r="B513" s="348" t="str">
        <f ca="1">IF(ADSI!$G$12="",ADSI!$H$16,ADSI!$H$14)</f>
        <v/>
      </c>
      <c r="C513" s="396">
        <f t="shared" si="46"/>
        <v>432</v>
      </c>
      <c r="D513" s="348">
        <f>ADSI!$K$12</f>
        <v>2021</v>
      </c>
      <c r="E513" s="397">
        <f t="shared" si="47"/>
        <v>0</v>
      </c>
      <c r="F513" s="397">
        <f t="shared" si="47"/>
        <v>0</v>
      </c>
      <c r="G513" s="397">
        <f t="shared" si="47"/>
        <v>0</v>
      </c>
      <c r="H513" s="397">
        <f t="shared" si="47"/>
        <v>0</v>
      </c>
      <c r="I513" s="397">
        <f t="shared" si="47"/>
        <v>0</v>
      </c>
      <c r="J513" s="397">
        <f t="shared" si="47"/>
        <v>0</v>
      </c>
      <c r="K513" s="397">
        <f t="shared" si="47"/>
        <v>0</v>
      </c>
      <c r="L513" s="397">
        <f t="shared" si="47"/>
        <v>0</v>
      </c>
    </row>
    <row r="514" spans="1:12" hidden="1" x14ac:dyDescent="0.25">
      <c r="A514" s="348">
        <f>IF(ADSI!$G$12="",ADSI!$H$16,ADSI!$H$12)</f>
        <v>6</v>
      </c>
      <c r="B514" s="348" t="str">
        <f ca="1">IF(ADSI!$G$12="",ADSI!$H$16,ADSI!$H$14)</f>
        <v/>
      </c>
      <c r="C514" s="396">
        <f t="shared" si="46"/>
        <v>433</v>
      </c>
      <c r="D514" s="348">
        <f>ADSI!$K$12</f>
        <v>2021</v>
      </c>
      <c r="E514" s="397">
        <f t="shared" si="47"/>
        <v>32</v>
      </c>
      <c r="F514" s="397">
        <f t="shared" si="47"/>
        <v>21</v>
      </c>
      <c r="G514" s="397">
        <f t="shared" si="47"/>
        <v>0</v>
      </c>
      <c r="H514" s="397">
        <f t="shared" si="47"/>
        <v>53</v>
      </c>
      <c r="I514" s="397">
        <f t="shared" si="47"/>
        <v>24</v>
      </c>
      <c r="J514" s="397">
        <f t="shared" si="47"/>
        <v>10</v>
      </c>
      <c r="K514" s="397">
        <f t="shared" si="47"/>
        <v>0</v>
      </c>
      <c r="L514" s="397">
        <f t="shared" si="47"/>
        <v>34</v>
      </c>
    </row>
    <row r="515" spans="1:12" hidden="1" x14ac:dyDescent="0.25">
      <c r="A515" s="348">
        <f>IF(ADSI!$G$12="",ADSI!$H$16,ADSI!$H$12)</f>
        <v>6</v>
      </c>
      <c r="B515" s="348" t="str">
        <f ca="1">IF(ADSI!$G$12="",ADSI!$H$16,ADSI!$H$14)</f>
        <v/>
      </c>
      <c r="C515" s="396">
        <f t="shared" si="46"/>
        <v>434</v>
      </c>
      <c r="D515" s="348">
        <f>ADSI!$K$12</f>
        <v>2021</v>
      </c>
      <c r="E515" s="397">
        <f t="shared" si="47"/>
        <v>0</v>
      </c>
      <c r="F515" s="397">
        <f t="shared" si="47"/>
        <v>0</v>
      </c>
      <c r="G515" s="397">
        <f t="shared" si="47"/>
        <v>0</v>
      </c>
      <c r="H515" s="397">
        <f t="shared" si="47"/>
        <v>0</v>
      </c>
      <c r="I515" s="397">
        <f t="shared" si="47"/>
        <v>0</v>
      </c>
      <c r="J515" s="397">
        <f t="shared" si="47"/>
        <v>0</v>
      </c>
      <c r="K515" s="397">
        <f t="shared" si="47"/>
        <v>0</v>
      </c>
      <c r="L515" s="397">
        <f t="shared" si="47"/>
        <v>0</v>
      </c>
    </row>
    <row r="516" spans="1:12" hidden="1" x14ac:dyDescent="0.25">
      <c r="A516" s="348">
        <f>IF(ADSI!$G$12="",ADSI!$H$16,ADSI!$H$12)</f>
        <v>6</v>
      </c>
      <c r="B516" s="348" t="str">
        <f ca="1">IF(ADSI!$G$12="",ADSI!$H$16,ADSI!$H$14)</f>
        <v/>
      </c>
      <c r="C516" s="396">
        <f t="shared" si="46"/>
        <v>435</v>
      </c>
      <c r="D516" s="348">
        <f>ADSI!$K$12</f>
        <v>2021</v>
      </c>
      <c r="E516" s="397">
        <f t="shared" si="47"/>
        <v>43</v>
      </c>
      <c r="F516" s="397">
        <f t="shared" si="47"/>
        <v>21</v>
      </c>
      <c r="G516" s="397">
        <f t="shared" si="47"/>
        <v>0</v>
      </c>
      <c r="H516" s="397">
        <f t="shared" si="47"/>
        <v>64</v>
      </c>
      <c r="I516" s="397">
        <f t="shared" si="47"/>
        <v>30</v>
      </c>
      <c r="J516" s="397">
        <f t="shared" si="47"/>
        <v>10</v>
      </c>
      <c r="K516" s="397">
        <f t="shared" si="47"/>
        <v>0</v>
      </c>
      <c r="L516" s="397">
        <f t="shared" si="47"/>
        <v>40</v>
      </c>
    </row>
    <row r="517" spans="1:12" hidden="1" x14ac:dyDescent="0.25">
      <c r="A517" s="348">
        <f>IF(ADSI!$G$12="",ADSI!$H$16,ADSI!$H$12)</f>
        <v>6</v>
      </c>
      <c r="B517" s="348" t="str">
        <f ca="1">IF(ADSI!$G$12="",ADSI!$H$16,ADSI!$H$14)</f>
        <v/>
      </c>
      <c r="C517" s="396">
        <f t="shared" si="46"/>
        <v>450</v>
      </c>
      <c r="D517" s="348">
        <f>ADSI!$K$12</f>
        <v>2021</v>
      </c>
      <c r="E517" s="397">
        <f t="shared" si="47"/>
        <v>696</v>
      </c>
      <c r="F517" s="397">
        <f t="shared" si="47"/>
        <v>160</v>
      </c>
      <c r="G517" s="397">
        <f t="shared" si="47"/>
        <v>0</v>
      </c>
      <c r="H517" s="397">
        <f t="shared" si="47"/>
        <v>856</v>
      </c>
      <c r="I517" s="397">
        <f t="shared" si="47"/>
        <v>193</v>
      </c>
      <c r="J517" s="397">
        <f t="shared" si="47"/>
        <v>33</v>
      </c>
      <c r="K517" s="397">
        <f t="shared" si="47"/>
        <v>0</v>
      </c>
      <c r="L517" s="397">
        <f t="shared" si="47"/>
        <v>226</v>
      </c>
    </row>
  </sheetData>
  <sheetProtection password="C614" sheet="1" objects="1" scenarios="1" selectLockedCells="1"/>
  <mergeCells count="56">
    <mergeCell ref="H1:L3"/>
    <mergeCell ref="I7:L7"/>
    <mergeCell ref="C5:D8"/>
    <mergeCell ref="C9:D9"/>
    <mergeCell ref="E7:H7"/>
    <mergeCell ref="E5:L6"/>
    <mergeCell ref="AK210:AM210"/>
    <mergeCell ref="AK212:AM212"/>
    <mergeCell ref="AK206:AM207"/>
    <mergeCell ref="AK208:AM208"/>
    <mergeCell ref="AK209:AM209"/>
    <mergeCell ref="AK211:AM211"/>
    <mergeCell ref="AR186:AU186"/>
    <mergeCell ref="AL197:AM197"/>
    <mergeCell ref="AL205:AM205"/>
    <mergeCell ref="AL204:AM204"/>
    <mergeCell ref="AL203:AM203"/>
    <mergeCell ref="AL202:AM202"/>
    <mergeCell ref="AL201:AM201"/>
    <mergeCell ref="AL200:AM200"/>
    <mergeCell ref="AL199:AM199"/>
    <mergeCell ref="AL198:AM198"/>
    <mergeCell ref="AL193:AL195"/>
    <mergeCell ref="AL188:AM188"/>
    <mergeCell ref="AR185:AU185"/>
    <mergeCell ref="C18:D18"/>
    <mergeCell ref="C14:C16"/>
    <mergeCell ref="C17:D17"/>
    <mergeCell ref="C19:D19"/>
    <mergeCell ref="C21:D21"/>
    <mergeCell ref="C23:D23"/>
    <mergeCell ref="C24:D24"/>
    <mergeCell ref="C20:D20"/>
    <mergeCell ref="C22:D22"/>
    <mergeCell ref="C25:D25"/>
    <mergeCell ref="C26:D26"/>
    <mergeCell ref="AK184:AK187"/>
    <mergeCell ref="AL184:AM187"/>
    <mergeCell ref="AN184:AU184"/>
    <mergeCell ref="AN186:AQ186"/>
    <mergeCell ref="AN185:AQ185"/>
    <mergeCell ref="A31:D31"/>
    <mergeCell ref="A33:D33"/>
    <mergeCell ref="A32:D32"/>
    <mergeCell ref="A29:D29"/>
    <mergeCell ref="A30:D30"/>
    <mergeCell ref="I27:L27"/>
    <mergeCell ref="E27:H27"/>
    <mergeCell ref="A5:A8"/>
    <mergeCell ref="B14:B16"/>
    <mergeCell ref="B5:B8"/>
    <mergeCell ref="A27:D28"/>
    <mergeCell ref="C10:D10"/>
    <mergeCell ref="C11:D11"/>
    <mergeCell ref="C12:D12"/>
    <mergeCell ref="C13:D13"/>
  </mergeCells>
  <conditionalFormatting sqref="E31:L33">
    <cfRule type="cellIs" dxfId="121" priority="10" operator="equal">
      <formula>"ABVAR"</formula>
    </cfRule>
    <cfRule type="cellIs" dxfId="120" priority="11" operator="equal">
      <formula>FALSE</formula>
    </cfRule>
  </conditionalFormatting>
  <conditionalFormatting sqref="E31:L31 E33:L33">
    <cfRule type="cellIs" dxfId="119" priority="7" operator="equal">
      <formula>"ABVAR"</formula>
    </cfRule>
  </conditionalFormatting>
  <conditionalFormatting sqref="E32:L32">
    <cfRule type="cellIs" dxfId="118" priority="4" operator="equal">
      <formula>"RE-CHECK"</formula>
    </cfRule>
  </conditionalFormatting>
  <conditionalFormatting sqref="E30:L30">
    <cfRule type="cellIs" dxfId="117" priority="3" operator="equal">
      <formula>FALSE</formula>
    </cfRule>
  </conditionalFormatting>
  <dataValidations count="1">
    <dataValidation type="whole" allowBlank="1" showInputMessage="1" showErrorMessage="1" sqref="I20:K24 E15:G16 E20:G24 I15:K16 I18:K18 E18:G18">
      <formula1>0</formula1>
      <formula2>999999999</formula2>
    </dataValidation>
  </dataValidations>
  <pageMargins left="0.39370078740157483" right="0" top="0.19685039370078741" bottom="0.39370078740157483" header="0.19685039370078741" footer="0.19685039370078741"/>
  <pageSetup paperSize="5" scale="83" orientation="landscape" r:id="rId1"/>
  <headerFooter>
    <oddFooter>&amp;L&amp;9ADSI - &amp;A&amp;C&amp;9&amp;D &amp;T&amp;R&amp;9&amp;P of &amp;N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BL508"/>
  <sheetViews>
    <sheetView showGridLines="0" workbookViewId="0">
      <pane xSplit="3" ySplit="7" topLeftCell="D8" activePane="bottomRight" state="frozen"/>
      <selection activeCell="D9" sqref="D9"/>
      <selection pane="topRight" activeCell="D9" sqref="D9"/>
      <selection pane="bottomLeft" activeCell="D9" sqref="D9"/>
      <selection pane="bottomRight" activeCell="D8" sqref="D8"/>
    </sheetView>
  </sheetViews>
  <sheetFormatPr defaultRowHeight="15" x14ac:dyDescent="0.25"/>
  <cols>
    <col min="1" max="2" width="6.7109375" style="59" customWidth="1"/>
    <col min="3" max="3" width="21.42578125" style="59" bestFit="1" customWidth="1"/>
    <col min="4" max="5" width="15.7109375" style="59" customWidth="1"/>
    <col min="6" max="8" width="13.7109375" style="59" customWidth="1"/>
    <col min="9" max="9" width="15.7109375" style="59" customWidth="1"/>
    <col min="10" max="12" width="13.7109375" style="59" customWidth="1"/>
    <col min="13" max="13" width="15.7109375" style="59" customWidth="1"/>
    <col min="14" max="14" width="8.7109375" style="341" customWidth="1"/>
    <col min="15" max="52" width="9.140625" style="59"/>
    <col min="53" max="53" width="5.42578125" style="59" customWidth="1"/>
    <col min="54" max="54" width="28.42578125" style="59" customWidth="1"/>
    <col min="55" max="56" width="9.85546875" style="59" customWidth="1"/>
    <col min="57" max="59" width="9.140625" style="59"/>
    <col min="60" max="60" width="13.140625" style="59" customWidth="1"/>
    <col min="61" max="63" width="9.140625" style="59"/>
    <col min="64" max="64" width="13.5703125" style="59" customWidth="1"/>
    <col min="65" max="16384" width="9.140625" style="59"/>
  </cols>
  <sheetData>
    <row r="1" spans="1:14" ht="15.75" x14ac:dyDescent="0.25">
      <c r="A1" s="285" t="str">
        <f>ADSI!$B$1</f>
        <v>Goa, , ADSI-2021</v>
      </c>
    </row>
    <row r="2" spans="1:14" ht="15.75" x14ac:dyDescent="0.25">
      <c r="A2" s="286" t="s">
        <v>657</v>
      </c>
      <c r="C2" s="287">
        <f>COUNTIF(D14:M14,FALSE)+COUNTIF(E8:E12,FALSE)</f>
        <v>0</v>
      </c>
    </row>
    <row r="3" spans="1:14" ht="15.75" x14ac:dyDescent="0.25">
      <c r="A3" s="296" t="s">
        <v>70</v>
      </c>
      <c r="C3" s="61"/>
      <c r="D3" s="61"/>
      <c r="E3" s="299"/>
      <c r="F3" s="61"/>
      <c r="G3" s="61"/>
      <c r="H3" s="61"/>
      <c r="I3" s="61"/>
      <c r="J3" s="61"/>
      <c r="K3" s="61"/>
      <c r="L3" s="35"/>
    </row>
    <row r="4" spans="1:14" x14ac:dyDescent="0.25">
      <c r="A4" s="296" t="s">
        <v>614</v>
      </c>
      <c r="C4" s="61"/>
      <c r="D4" s="61"/>
      <c r="E4" s="299"/>
      <c r="F4" s="61"/>
      <c r="G4" s="61"/>
      <c r="H4" s="61"/>
      <c r="I4" s="61"/>
      <c r="J4" s="61"/>
      <c r="K4" s="61"/>
    </row>
    <row r="5" spans="1:14" x14ac:dyDescent="0.25">
      <c r="A5" s="636" t="s">
        <v>249</v>
      </c>
      <c r="B5" s="636" t="s">
        <v>0</v>
      </c>
      <c r="C5" s="696" t="s">
        <v>74</v>
      </c>
      <c r="D5" s="646" t="s">
        <v>35</v>
      </c>
      <c r="E5" s="695" t="s">
        <v>589</v>
      </c>
      <c r="F5" s="698" t="s">
        <v>36</v>
      </c>
      <c r="G5" s="698"/>
      <c r="H5" s="698"/>
      <c r="I5" s="698"/>
      <c r="J5" s="646" t="s">
        <v>37</v>
      </c>
      <c r="K5" s="646"/>
      <c r="L5" s="646"/>
      <c r="M5" s="646"/>
    </row>
    <row r="6" spans="1:14" ht="45" x14ac:dyDescent="0.25">
      <c r="A6" s="637"/>
      <c r="B6" s="637"/>
      <c r="C6" s="697"/>
      <c r="D6" s="646"/>
      <c r="E6" s="695"/>
      <c r="F6" s="217" t="s">
        <v>38</v>
      </c>
      <c r="G6" s="217" t="s">
        <v>39</v>
      </c>
      <c r="H6" s="217" t="s">
        <v>240</v>
      </c>
      <c r="I6" s="217" t="s">
        <v>234</v>
      </c>
      <c r="J6" s="55" t="s">
        <v>200</v>
      </c>
      <c r="K6" s="55" t="s">
        <v>201</v>
      </c>
      <c r="L6" s="55" t="s">
        <v>240</v>
      </c>
      <c r="M6" s="55" t="s">
        <v>235</v>
      </c>
    </row>
    <row r="7" spans="1:14" ht="20.100000000000001" customHeight="1" x14ac:dyDescent="0.25">
      <c r="A7" s="8"/>
      <c r="B7" s="8" t="s">
        <v>181</v>
      </c>
      <c r="C7" s="219" t="s">
        <v>182</v>
      </c>
      <c r="D7" s="8" t="s">
        <v>183</v>
      </c>
      <c r="E7" s="320"/>
      <c r="F7" s="218" t="s">
        <v>184</v>
      </c>
      <c r="G7" s="218" t="s">
        <v>185</v>
      </c>
      <c r="H7" s="218" t="s">
        <v>186</v>
      </c>
      <c r="I7" s="219" t="s">
        <v>187</v>
      </c>
      <c r="J7" s="8" t="s">
        <v>188</v>
      </c>
      <c r="K7" s="8" t="s">
        <v>189</v>
      </c>
      <c r="L7" s="8" t="s">
        <v>190</v>
      </c>
      <c r="M7" s="8" t="s">
        <v>191</v>
      </c>
    </row>
    <row r="8" spans="1:14" ht="20.100000000000001" customHeight="1" x14ac:dyDescent="0.25">
      <c r="A8" s="56">
        <v>476</v>
      </c>
      <c r="B8" s="118">
        <v>1</v>
      </c>
      <c r="C8" s="12" t="s">
        <v>75</v>
      </c>
      <c r="D8" s="265">
        <v>1069</v>
      </c>
      <c r="E8" s="322" t="str">
        <f>IF(AND(OR(I8&gt;0,M8&gt;0),D8=0),FALSE,"")</f>
        <v/>
      </c>
      <c r="F8" s="235">
        <v>228</v>
      </c>
      <c r="G8" s="235">
        <v>44</v>
      </c>
      <c r="H8" s="235">
        <v>0</v>
      </c>
      <c r="I8" s="468">
        <f>SUM(F8:H8)</f>
        <v>272</v>
      </c>
      <c r="J8" s="234">
        <v>82</v>
      </c>
      <c r="K8" s="234">
        <v>11</v>
      </c>
      <c r="L8" s="234">
        <v>0</v>
      </c>
      <c r="M8" s="468">
        <f>SUM(J8:L8)</f>
        <v>93</v>
      </c>
      <c r="N8" s="340"/>
    </row>
    <row r="9" spans="1:14" ht="20.100000000000001" customHeight="1" x14ac:dyDescent="0.25">
      <c r="A9" s="56">
        <v>477</v>
      </c>
      <c r="B9" s="118">
        <v>2</v>
      </c>
      <c r="C9" s="12" t="s">
        <v>76</v>
      </c>
      <c r="D9" s="265">
        <v>366</v>
      </c>
      <c r="E9" s="322" t="str">
        <f t="shared" ref="E9:E10" si="0">IF(AND(OR(I9&gt;0,M9&gt;0),D9=0),FALSE,"")</f>
        <v/>
      </c>
      <c r="F9" s="235">
        <v>82</v>
      </c>
      <c r="G9" s="235">
        <v>28</v>
      </c>
      <c r="H9" s="235">
        <v>0</v>
      </c>
      <c r="I9" s="468">
        <f t="shared" ref="I9:I11" si="1">SUM(F9:H9)</f>
        <v>110</v>
      </c>
      <c r="J9" s="234">
        <v>27</v>
      </c>
      <c r="K9" s="235">
        <v>5</v>
      </c>
      <c r="L9" s="234">
        <v>0</v>
      </c>
      <c r="M9" s="468">
        <f t="shared" ref="M9:M11" si="2">SUM(J9:L9)</f>
        <v>32</v>
      </c>
      <c r="N9" s="340"/>
    </row>
    <row r="10" spans="1:14" ht="20.100000000000001" customHeight="1" x14ac:dyDescent="0.25">
      <c r="A10" s="118">
        <v>478</v>
      </c>
      <c r="B10" s="118">
        <v>3</v>
      </c>
      <c r="C10" s="12" t="s">
        <v>77</v>
      </c>
      <c r="D10" s="265">
        <v>0</v>
      </c>
      <c r="E10" s="322" t="str">
        <f t="shared" si="0"/>
        <v/>
      </c>
      <c r="F10" s="235">
        <v>0</v>
      </c>
      <c r="G10" s="235">
        <v>0</v>
      </c>
      <c r="H10" s="235">
        <v>0</v>
      </c>
      <c r="I10" s="468">
        <f t="shared" si="1"/>
        <v>0</v>
      </c>
      <c r="J10" s="235">
        <v>0</v>
      </c>
      <c r="K10" s="235">
        <v>0</v>
      </c>
      <c r="L10" s="235">
        <v>0</v>
      </c>
      <c r="M10" s="468">
        <f t="shared" si="2"/>
        <v>0</v>
      </c>
      <c r="N10" s="340"/>
    </row>
    <row r="11" spans="1:14" ht="20.100000000000001" customHeight="1" x14ac:dyDescent="0.25">
      <c r="A11" s="118">
        <v>479</v>
      </c>
      <c r="B11" s="118">
        <v>4</v>
      </c>
      <c r="C11" s="12" t="s">
        <v>263</v>
      </c>
      <c r="D11" s="265">
        <v>1415</v>
      </c>
      <c r="E11" s="322" t="str">
        <f>IF(AND(OR(I11&gt;0,M11&gt;0),D11=0),FALSE,"")</f>
        <v/>
      </c>
      <c r="F11" s="235">
        <v>386</v>
      </c>
      <c r="G11" s="235">
        <v>88</v>
      </c>
      <c r="H11" s="235">
        <v>0</v>
      </c>
      <c r="I11" s="468">
        <f t="shared" si="1"/>
        <v>474</v>
      </c>
      <c r="J11" s="234">
        <v>84</v>
      </c>
      <c r="K11" s="234">
        <v>17</v>
      </c>
      <c r="L11" s="234">
        <v>0</v>
      </c>
      <c r="M11" s="468">
        <f t="shared" si="2"/>
        <v>101</v>
      </c>
      <c r="N11" s="340"/>
    </row>
    <row r="12" spans="1:14" ht="20.100000000000001" customHeight="1" x14ac:dyDescent="0.25">
      <c r="A12" s="118">
        <v>490</v>
      </c>
      <c r="B12" s="446">
        <v>5</v>
      </c>
      <c r="C12" s="440" t="s">
        <v>580</v>
      </c>
      <c r="D12" s="441">
        <f>SUM(D8:D11)</f>
        <v>2850</v>
      </c>
      <c r="E12" s="452" t="str">
        <f>IF(AND(OR(I12&gt;0,M12&gt;0),D12=0),FALSE,"")</f>
        <v/>
      </c>
      <c r="F12" s="441">
        <f t="shared" ref="F12:M12" si="3">SUM(F8:F11)</f>
        <v>696</v>
      </c>
      <c r="G12" s="441">
        <f t="shared" si="3"/>
        <v>160</v>
      </c>
      <c r="H12" s="441">
        <f t="shared" si="3"/>
        <v>0</v>
      </c>
      <c r="I12" s="441">
        <f t="shared" si="3"/>
        <v>856</v>
      </c>
      <c r="J12" s="441">
        <f t="shared" si="3"/>
        <v>193</v>
      </c>
      <c r="K12" s="441">
        <f t="shared" si="3"/>
        <v>33</v>
      </c>
      <c r="L12" s="441">
        <f t="shared" si="3"/>
        <v>0</v>
      </c>
      <c r="M12" s="441">
        <f t="shared" si="3"/>
        <v>226</v>
      </c>
      <c r="N12" s="340"/>
    </row>
    <row r="13" spans="1:14" ht="32.1" customHeight="1" x14ac:dyDescent="0.25">
      <c r="A13" s="658" t="s">
        <v>1491</v>
      </c>
      <c r="B13" s="658"/>
      <c r="C13" s="658"/>
      <c r="D13" s="398">
        <f>'P-II'!D43</f>
        <v>2850</v>
      </c>
      <c r="E13" s="398"/>
      <c r="F13" s="398">
        <f>'P-II'!F43</f>
        <v>696</v>
      </c>
      <c r="G13" s="398">
        <f>'P-II'!G43</f>
        <v>160</v>
      </c>
      <c r="H13" s="398">
        <f>'P-II'!H43</f>
        <v>0</v>
      </c>
      <c r="I13" s="398">
        <f>'P-II'!I43</f>
        <v>856</v>
      </c>
      <c r="J13" s="398">
        <f>'P-II'!J43</f>
        <v>193</v>
      </c>
      <c r="K13" s="398">
        <f>'P-II'!K43</f>
        <v>33</v>
      </c>
      <c r="L13" s="398">
        <f>'P-II'!L43</f>
        <v>0</v>
      </c>
      <c r="M13" s="398">
        <f>'P-II'!M43</f>
        <v>226</v>
      </c>
    </row>
    <row r="14" spans="1:14" ht="32.1" customHeight="1" x14ac:dyDescent="0.25">
      <c r="A14" s="695" t="s">
        <v>1492</v>
      </c>
      <c r="B14" s="695"/>
      <c r="C14" s="695"/>
      <c r="D14" s="399" t="str">
        <f>IF(D12='P-II'!D43,"",FALSE)</f>
        <v/>
      </c>
      <c r="E14" s="399"/>
      <c r="F14" s="399" t="str">
        <f>IF(F12='P-II'!F43,"",FALSE)</f>
        <v/>
      </c>
      <c r="G14" s="399" t="str">
        <f>IF(G12='P-II'!G43,"",FALSE)</f>
        <v/>
      </c>
      <c r="H14" s="399" t="str">
        <f>IF(H12='P-II'!H43,"",FALSE)</f>
        <v/>
      </c>
      <c r="I14" s="399" t="str">
        <f>IF(I12='P-II'!I43,"",FALSE)</f>
        <v/>
      </c>
      <c r="J14" s="399" t="str">
        <f>IF(J12='P-II'!J43,"",FALSE)</f>
        <v/>
      </c>
      <c r="K14" s="399" t="str">
        <f>IF(K12='P-II'!K43,"",FALSE)</f>
        <v/>
      </c>
      <c r="L14" s="399" t="str">
        <f>IF(L12='P-II'!L43,"",FALSE)</f>
        <v/>
      </c>
      <c r="M14" s="399" t="str">
        <f>IF(M12='P-II'!M43,"",FALSE)</f>
        <v/>
      </c>
    </row>
    <row r="200" spans="53:64" x14ac:dyDescent="0.25">
      <c r="BA200" s="141" t="str">
        <f>A1</f>
        <v>Goa, , ADSI-2021</v>
      </c>
      <c r="BB200" s="141"/>
    </row>
    <row r="201" spans="53:64" x14ac:dyDescent="0.25">
      <c r="BA201" s="141" t="str">
        <f>A2</f>
        <v>Errors</v>
      </c>
      <c r="BB201" s="309">
        <f>C2</f>
        <v>0</v>
      </c>
    </row>
    <row r="202" spans="53:64" x14ac:dyDescent="0.25">
      <c r="BA202" s="141" t="str">
        <f>A3</f>
        <v>Proforma–VII</v>
      </c>
      <c r="BB202" s="132"/>
      <c r="BC202" s="132"/>
      <c r="BD202" s="132"/>
      <c r="BE202" s="132"/>
      <c r="BF202" s="132"/>
      <c r="BG202" s="132"/>
      <c r="BH202" s="132"/>
      <c r="BI202" s="132"/>
      <c r="BJ202" s="132"/>
      <c r="BK202" s="133"/>
    </row>
    <row r="203" spans="53:64" x14ac:dyDescent="0.25">
      <c r="BA203" s="141" t="str">
        <f>A4</f>
        <v>Road Accidents Classified According to classification of Road</v>
      </c>
      <c r="BB203" s="132"/>
      <c r="BC203" s="132"/>
      <c r="BD203" s="132"/>
      <c r="BE203" s="132"/>
      <c r="BF203" s="132"/>
      <c r="BG203" s="132"/>
      <c r="BH203" s="132"/>
      <c r="BI203" s="132"/>
      <c r="BJ203" s="132"/>
    </row>
    <row r="204" spans="53:64" x14ac:dyDescent="0.25">
      <c r="BA204" s="602" t="str">
        <f>B5</f>
        <v>Sl. No.</v>
      </c>
      <c r="BB204" s="602" t="str">
        <f t="shared" ref="BB204:BB211" si="4">C5</f>
        <v>Classification of Roads</v>
      </c>
      <c r="BC204" s="602" t="str">
        <f t="shared" ref="BC204:BC213" si="5">D5</f>
        <v>No. of Cases</v>
      </c>
      <c r="BD204" s="602" t="str">
        <f>E5</f>
        <v>VALIDATION WITH NUMBER OF CASES</v>
      </c>
      <c r="BE204" s="619" t="str">
        <f t="shared" ref="BE204:BE213" si="6">F5</f>
        <v>No. of Persons Injured</v>
      </c>
      <c r="BF204" s="620"/>
      <c r="BG204" s="620"/>
      <c r="BH204" s="621"/>
      <c r="BI204" s="619" t="str">
        <f t="shared" ref="BI204:BI213" si="7">J5</f>
        <v>No. of Persons Died</v>
      </c>
      <c r="BJ204" s="620"/>
      <c r="BK204" s="620"/>
      <c r="BL204" s="621"/>
    </row>
    <row r="205" spans="53:64" ht="25.5" x14ac:dyDescent="0.25">
      <c r="BA205" s="604"/>
      <c r="BB205" s="604"/>
      <c r="BC205" s="604"/>
      <c r="BD205" s="603"/>
      <c r="BE205" s="152" t="str">
        <f t="shared" si="6"/>
        <v>Male</v>
      </c>
      <c r="BF205" s="152" t="str">
        <f t="shared" ref="BF205:BF213" si="8">G6</f>
        <v>Female</v>
      </c>
      <c r="BG205" s="152" t="str">
        <f t="shared" ref="BG205:BG213" si="9">H6</f>
        <v>Transgender</v>
      </c>
      <c r="BH205" s="152" t="str">
        <f t="shared" ref="BH205:BH213" si="10">I6</f>
        <v xml:space="preserve"> Total
[sum of (4) to (6)]</v>
      </c>
      <c r="BI205" s="152" t="str">
        <f t="shared" si="7"/>
        <v xml:space="preserve"> Male</v>
      </c>
      <c r="BJ205" s="152" t="str">
        <f t="shared" ref="BJ205:BJ213" si="11">K6</f>
        <v xml:space="preserve"> Female</v>
      </c>
      <c r="BK205" s="152" t="str">
        <f t="shared" ref="BK205:BK213" si="12">L6</f>
        <v>Transgender</v>
      </c>
      <c r="BL205" s="152" t="str">
        <f t="shared" ref="BL205:BL213" si="13">M6</f>
        <v>Total
[sum of (8) to (10)]</v>
      </c>
    </row>
    <row r="206" spans="53:64" x14ac:dyDescent="0.25">
      <c r="BA206" s="137" t="str">
        <f t="shared" ref="BA206:BA211" si="14">B7</f>
        <v>(1)</v>
      </c>
      <c r="BB206" s="137" t="str">
        <f t="shared" si="4"/>
        <v>(2)</v>
      </c>
      <c r="BC206" s="137" t="str">
        <f t="shared" si="5"/>
        <v>(3)</v>
      </c>
      <c r="BD206" s="604"/>
      <c r="BE206" s="137" t="str">
        <f t="shared" si="6"/>
        <v>(4)</v>
      </c>
      <c r="BF206" s="137" t="str">
        <f t="shared" si="8"/>
        <v>(5)</v>
      </c>
      <c r="BG206" s="137" t="str">
        <f t="shared" si="9"/>
        <v>(6)</v>
      </c>
      <c r="BH206" s="137" t="str">
        <f t="shared" si="10"/>
        <v>(7)</v>
      </c>
      <c r="BI206" s="137" t="str">
        <f t="shared" si="7"/>
        <v>(8)</v>
      </c>
      <c r="BJ206" s="137" t="str">
        <f t="shared" si="11"/>
        <v>(9)</v>
      </c>
      <c r="BK206" s="137" t="str">
        <f t="shared" si="12"/>
        <v>(10)</v>
      </c>
      <c r="BL206" s="137" t="str">
        <f t="shared" si="13"/>
        <v>(11)</v>
      </c>
    </row>
    <row r="207" spans="53:64" x14ac:dyDescent="0.25">
      <c r="BA207" s="275">
        <f t="shared" si="14"/>
        <v>1</v>
      </c>
      <c r="BB207" s="136" t="str">
        <f t="shared" si="4"/>
        <v>National Highways</v>
      </c>
      <c r="BC207" s="136">
        <f t="shared" si="5"/>
        <v>1069</v>
      </c>
      <c r="BD207" s="283" t="str">
        <f>E8</f>
        <v/>
      </c>
      <c r="BE207" s="136">
        <f t="shared" si="6"/>
        <v>228</v>
      </c>
      <c r="BF207" s="136">
        <f t="shared" si="8"/>
        <v>44</v>
      </c>
      <c r="BG207" s="136">
        <f t="shared" si="9"/>
        <v>0</v>
      </c>
      <c r="BH207" s="136">
        <f t="shared" si="10"/>
        <v>272</v>
      </c>
      <c r="BI207" s="136">
        <f t="shared" si="7"/>
        <v>82</v>
      </c>
      <c r="BJ207" s="136">
        <f t="shared" si="11"/>
        <v>11</v>
      </c>
      <c r="BK207" s="136">
        <f t="shared" si="12"/>
        <v>0</v>
      </c>
      <c r="BL207" s="136">
        <f t="shared" si="13"/>
        <v>93</v>
      </c>
    </row>
    <row r="208" spans="53:64" x14ac:dyDescent="0.25">
      <c r="BA208" s="275">
        <f t="shared" si="14"/>
        <v>2</v>
      </c>
      <c r="BB208" s="136" t="str">
        <f t="shared" si="4"/>
        <v>State Highways</v>
      </c>
      <c r="BC208" s="136">
        <f t="shared" si="5"/>
        <v>366</v>
      </c>
      <c r="BD208" s="283" t="str">
        <f t="shared" ref="BD208:BD211" si="15">E9</f>
        <v/>
      </c>
      <c r="BE208" s="136">
        <f t="shared" si="6"/>
        <v>82</v>
      </c>
      <c r="BF208" s="136">
        <f t="shared" si="8"/>
        <v>28</v>
      </c>
      <c r="BG208" s="136">
        <f t="shared" si="9"/>
        <v>0</v>
      </c>
      <c r="BH208" s="136">
        <f t="shared" si="10"/>
        <v>110</v>
      </c>
      <c r="BI208" s="136">
        <f t="shared" si="7"/>
        <v>27</v>
      </c>
      <c r="BJ208" s="136">
        <f t="shared" si="11"/>
        <v>5</v>
      </c>
      <c r="BK208" s="136">
        <f t="shared" si="12"/>
        <v>0</v>
      </c>
      <c r="BL208" s="136">
        <f t="shared" si="13"/>
        <v>32</v>
      </c>
    </row>
    <row r="209" spans="53:64" x14ac:dyDescent="0.25">
      <c r="BA209" s="275">
        <f t="shared" si="14"/>
        <v>3</v>
      </c>
      <c r="BB209" s="136" t="str">
        <f t="shared" si="4"/>
        <v>Expressways</v>
      </c>
      <c r="BC209" s="136">
        <f t="shared" si="5"/>
        <v>0</v>
      </c>
      <c r="BD209" s="283" t="str">
        <f t="shared" si="15"/>
        <v/>
      </c>
      <c r="BE209" s="136">
        <f t="shared" si="6"/>
        <v>0</v>
      </c>
      <c r="BF209" s="136">
        <f t="shared" si="8"/>
        <v>0</v>
      </c>
      <c r="BG209" s="136">
        <f t="shared" si="9"/>
        <v>0</v>
      </c>
      <c r="BH209" s="136">
        <f t="shared" si="10"/>
        <v>0</v>
      </c>
      <c r="BI209" s="136">
        <f t="shared" si="7"/>
        <v>0</v>
      </c>
      <c r="BJ209" s="136">
        <f t="shared" si="11"/>
        <v>0</v>
      </c>
      <c r="BK209" s="136">
        <f t="shared" si="12"/>
        <v>0</v>
      </c>
      <c r="BL209" s="136">
        <f t="shared" si="13"/>
        <v>0</v>
      </c>
    </row>
    <row r="210" spans="53:64" x14ac:dyDescent="0.25">
      <c r="BA210" s="275">
        <f t="shared" si="14"/>
        <v>4</v>
      </c>
      <c r="BB210" s="136" t="str">
        <f t="shared" si="4"/>
        <v>Other Roads</v>
      </c>
      <c r="BC210" s="136">
        <f t="shared" si="5"/>
        <v>1415</v>
      </c>
      <c r="BD210" s="283" t="str">
        <f t="shared" si="15"/>
        <v/>
      </c>
      <c r="BE210" s="136">
        <f t="shared" si="6"/>
        <v>386</v>
      </c>
      <c r="BF210" s="136">
        <f t="shared" si="8"/>
        <v>88</v>
      </c>
      <c r="BG210" s="136">
        <f t="shared" si="9"/>
        <v>0</v>
      </c>
      <c r="BH210" s="136">
        <f t="shared" si="10"/>
        <v>474</v>
      </c>
      <c r="BI210" s="136">
        <f t="shared" si="7"/>
        <v>84</v>
      </c>
      <c r="BJ210" s="136">
        <f t="shared" si="11"/>
        <v>17</v>
      </c>
      <c r="BK210" s="136">
        <f t="shared" si="12"/>
        <v>0</v>
      </c>
      <c r="BL210" s="136">
        <f t="shared" si="13"/>
        <v>101</v>
      </c>
    </row>
    <row r="211" spans="53:64" x14ac:dyDescent="0.25">
      <c r="BA211" s="275">
        <f t="shared" si="14"/>
        <v>5</v>
      </c>
      <c r="BB211" s="136" t="str">
        <f t="shared" si="4"/>
        <v>Total (sum of Sl. 1 to 4)</v>
      </c>
      <c r="BC211" s="136">
        <f t="shared" si="5"/>
        <v>2850</v>
      </c>
      <c r="BD211" s="283" t="str">
        <f t="shared" si="15"/>
        <v/>
      </c>
      <c r="BE211" s="136">
        <f t="shared" si="6"/>
        <v>696</v>
      </c>
      <c r="BF211" s="136">
        <f t="shared" si="8"/>
        <v>160</v>
      </c>
      <c r="BG211" s="136">
        <f t="shared" si="9"/>
        <v>0</v>
      </c>
      <c r="BH211" s="136">
        <f t="shared" si="10"/>
        <v>856</v>
      </c>
      <c r="BI211" s="136">
        <f t="shared" si="7"/>
        <v>193</v>
      </c>
      <c r="BJ211" s="136">
        <f t="shared" si="11"/>
        <v>33</v>
      </c>
      <c r="BK211" s="136">
        <f t="shared" si="12"/>
        <v>0</v>
      </c>
      <c r="BL211" s="136">
        <f t="shared" si="13"/>
        <v>226</v>
      </c>
    </row>
    <row r="212" spans="53:64" ht="27" customHeight="1" x14ac:dyDescent="0.25">
      <c r="BA212" s="678" t="str">
        <f>A13</f>
        <v xml:space="preserve"> PROFORMA–II VALUES [Sl.– 12.1 (Road Accidents Total)]</v>
      </c>
      <c r="BB212" s="679"/>
      <c r="BC212" s="136">
        <f t="shared" si="5"/>
        <v>2850</v>
      </c>
      <c r="BD212" s="136"/>
      <c r="BE212" s="136">
        <f t="shared" si="6"/>
        <v>696</v>
      </c>
      <c r="BF212" s="136">
        <f t="shared" si="8"/>
        <v>160</v>
      </c>
      <c r="BG212" s="136">
        <f t="shared" si="9"/>
        <v>0</v>
      </c>
      <c r="BH212" s="136">
        <f t="shared" si="10"/>
        <v>856</v>
      </c>
      <c r="BI212" s="136">
        <f t="shared" si="7"/>
        <v>193</v>
      </c>
      <c r="BJ212" s="136">
        <f t="shared" si="11"/>
        <v>33</v>
      </c>
      <c r="BK212" s="136">
        <f t="shared" si="12"/>
        <v>0</v>
      </c>
      <c r="BL212" s="136">
        <f t="shared" si="13"/>
        <v>226</v>
      </c>
    </row>
    <row r="213" spans="53:64" ht="27.75" customHeight="1" x14ac:dyDescent="0.25">
      <c r="BA213" s="678" t="str">
        <f>A14</f>
        <v>VALIDATION  WITH PROFORMA–II [Sl.– 12.1 (Road Accidents Total)]</v>
      </c>
      <c r="BB213" s="679"/>
      <c r="BC213" s="136" t="str">
        <f t="shared" si="5"/>
        <v/>
      </c>
      <c r="BD213" s="136"/>
      <c r="BE213" s="136" t="str">
        <f t="shared" si="6"/>
        <v/>
      </c>
      <c r="BF213" s="136" t="str">
        <f t="shared" si="8"/>
        <v/>
      </c>
      <c r="BG213" s="136" t="str">
        <f t="shared" si="9"/>
        <v/>
      </c>
      <c r="BH213" s="136" t="str">
        <f t="shared" si="10"/>
        <v/>
      </c>
      <c r="BI213" s="136" t="str">
        <f t="shared" si="7"/>
        <v/>
      </c>
      <c r="BJ213" s="136" t="str">
        <f t="shared" si="11"/>
        <v/>
      </c>
      <c r="BK213" s="136" t="str">
        <f t="shared" si="12"/>
        <v/>
      </c>
      <c r="BL213" s="136" t="str">
        <f t="shared" si="13"/>
        <v/>
      </c>
    </row>
    <row r="214" spans="53:64" x14ac:dyDescent="0.25">
      <c r="BA214" s="132"/>
      <c r="BB214" s="132"/>
      <c r="BC214" s="132"/>
      <c r="BD214" s="132"/>
      <c r="BE214" s="132"/>
      <c r="BF214" s="132"/>
      <c r="BG214" s="132"/>
      <c r="BH214" s="132"/>
      <c r="BI214" s="132"/>
      <c r="BJ214" s="132"/>
      <c r="BK214" s="132"/>
      <c r="BL214" s="132"/>
    </row>
    <row r="215" spans="53:64" x14ac:dyDescent="0.25">
      <c r="BA215" s="132"/>
      <c r="BB215" s="132"/>
      <c r="BC215" s="132"/>
      <c r="BD215" s="132"/>
      <c r="BE215" s="132"/>
      <c r="BF215" s="132"/>
      <c r="BG215" s="132"/>
      <c r="BH215" s="132"/>
      <c r="BI215" s="132"/>
      <c r="BJ215" s="132"/>
      <c r="BK215" s="132"/>
      <c r="BL215" s="132"/>
    </row>
    <row r="500" spans="1:14" x14ac:dyDescent="0.25">
      <c r="A500" s="359" t="s">
        <v>450</v>
      </c>
      <c r="B500" s="359" t="s">
        <v>451</v>
      </c>
      <c r="C500" s="359" t="s">
        <v>452</v>
      </c>
      <c r="D500" s="359" t="s">
        <v>453</v>
      </c>
      <c r="E500" s="359" t="s">
        <v>472</v>
      </c>
      <c r="F500" s="359" t="s">
        <v>473</v>
      </c>
      <c r="G500" s="359" t="s">
        <v>474</v>
      </c>
      <c r="H500" s="359" t="s">
        <v>475</v>
      </c>
      <c r="I500" s="359" t="s">
        <v>476</v>
      </c>
      <c r="J500" s="359" t="s">
        <v>477</v>
      </c>
      <c r="K500" s="359" t="s">
        <v>478</v>
      </c>
      <c r="L500" s="359" t="s">
        <v>479</v>
      </c>
      <c r="M500" s="359" t="s">
        <v>480</v>
      </c>
      <c r="N500" s="358"/>
    </row>
    <row r="501" spans="1:14" x14ac:dyDescent="0.25">
      <c r="A501" s="348">
        <f>IF(ADSI!$G$12="",ADSI!$H$16,ADSI!$H$12)</f>
        <v>6</v>
      </c>
      <c r="B501" s="348" t="str">
        <f ca="1">IF(ADSI!$G$12="",ADSI!$H$16,ADSI!$H$14)</f>
        <v/>
      </c>
      <c r="C501" s="395">
        <f>A8</f>
        <v>476</v>
      </c>
      <c r="D501" s="348">
        <f>ADSI!$K$12</f>
        <v>2021</v>
      </c>
      <c r="E501" s="360">
        <f>D8</f>
        <v>1069</v>
      </c>
      <c r="F501" s="360">
        <f>F8</f>
        <v>228</v>
      </c>
      <c r="G501" s="360">
        <f t="shared" ref="G501:M501" si="16">G8</f>
        <v>44</v>
      </c>
      <c r="H501" s="360">
        <f t="shared" si="16"/>
        <v>0</v>
      </c>
      <c r="I501" s="360">
        <f t="shared" si="16"/>
        <v>272</v>
      </c>
      <c r="J501" s="360">
        <f t="shared" si="16"/>
        <v>82</v>
      </c>
      <c r="K501" s="360">
        <f t="shared" si="16"/>
        <v>11</v>
      </c>
      <c r="L501" s="360">
        <f t="shared" si="16"/>
        <v>0</v>
      </c>
      <c r="M501" s="360">
        <f t="shared" si="16"/>
        <v>93</v>
      </c>
      <c r="N501" s="358"/>
    </row>
    <row r="502" spans="1:14" x14ac:dyDescent="0.25">
      <c r="A502" s="348">
        <f>IF(ADSI!$G$12="",ADSI!$H$16,ADSI!$H$12)</f>
        <v>6</v>
      </c>
      <c r="B502" s="348" t="str">
        <f ca="1">IF(ADSI!$G$12="",ADSI!$H$16,ADSI!$H$14)</f>
        <v/>
      </c>
      <c r="C502" s="395">
        <f t="shared" ref="C502:C505" si="17">A9</f>
        <v>477</v>
      </c>
      <c r="D502" s="348">
        <f>ADSI!$K$12</f>
        <v>2021</v>
      </c>
      <c r="E502" s="360">
        <f t="shared" ref="E502:E505" si="18">D9</f>
        <v>366</v>
      </c>
      <c r="F502" s="360">
        <f t="shared" ref="F502:M502" si="19">F9</f>
        <v>82</v>
      </c>
      <c r="G502" s="360">
        <f t="shared" si="19"/>
        <v>28</v>
      </c>
      <c r="H502" s="360">
        <f t="shared" si="19"/>
        <v>0</v>
      </c>
      <c r="I502" s="360">
        <f t="shared" si="19"/>
        <v>110</v>
      </c>
      <c r="J502" s="360">
        <f t="shared" si="19"/>
        <v>27</v>
      </c>
      <c r="K502" s="360">
        <f t="shared" si="19"/>
        <v>5</v>
      </c>
      <c r="L502" s="360">
        <f t="shared" si="19"/>
        <v>0</v>
      </c>
      <c r="M502" s="360">
        <f t="shared" si="19"/>
        <v>32</v>
      </c>
      <c r="N502" s="358"/>
    </row>
    <row r="503" spans="1:14" x14ac:dyDescent="0.25">
      <c r="A503" s="348">
        <f>IF(ADSI!$G$12="",ADSI!$H$16,ADSI!$H$12)</f>
        <v>6</v>
      </c>
      <c r="B503" s="348" t="str">
        <f ca="1">IF(ADSI!$G$12="",ADSI!$H$16,ADSI!$H$14)</f>
        <v/>
      </c>
      <c r="C503" s="395">
        <f t="shared" si="17"/>
        <v>478</v>
      </c>
      <c r="D503" s="348">
        <f>ADSI!$K$12</f>
        <v>2021</v>
      </c>
      <c r="E503" s="360">
        <f t="shared" si="18"/>
        <v>0</v>
      </c>
      <c r="F503" s="360">
        <f t="shared" ref="F503:M503" si="20">F10</f>
        <v>0</v>
      </c>
      <c r="G503" s="360">
        <f t="shared" si="20"/>
        <v>0</v>
      </c>
      <c r="H503" s="360">
        <f t="shared" si="20"/>
        <v>0</v>
      </c>
      <c r="I503" s="360">
        <f t="shared" si="20"/>
        <v>0</v>
      </c>
      <c r="J503" s="360">
        <f t="shared" si="20"/>
        <v>0</v>
      </c>
      <c r="K503" s="360">
        <f t="shared" si="20"/>
        <v>0</v>
      </c>
      <c r="L503" s="360">
        <f t="shared" si="20"/>
        <v>0</v>
      </c>
      <c r="M503" s="360">
        <f t="shared" si="20"/>
        <v>0</v>
      </c>
      <c r="N503" s="358"/>
    </row>
    <row r="504" spans="1:14" x14ac:dyDescent="0.25">
      <c r="A504" s="348">
        <f>IF(ADSI!$G$12="",ADSI!$H$16,ADSI!$H$12)</f>
        <v>6</v>
      </c>
      <c r="B504" s="348" t="str">
        <f ca="1">IF(ADSI!$G$12="",ADSI!$H$16,ADSI!$H$14)</f>
        <v/>
      </c>
      <c r="C504" s="395">
        <f t="shared" si="17"/>
        <v>479</v>
      </c>
      <c r="D504" s="348">
        <f>ADSI!$K$12</f>
        <v>2021</v>
      </c>
      <c r="E504" s="360">
        <f t="shared" si="18"/>
        <v>1415</v>
      </c>
      <c r="F504" s="360">
        <f t="shared" ref="F504:M504" si="21">F11</f>
        <v>386</v>
      </c>
      <c r="G504" s="360">
        <f t="shared" si="21"/>
        <v>88</v>
      </c>
      <c r="H504" s="360">
        <f t="shared" si="21"/>
        <v>0</v>
      </c>
      <c r="I504" s="360">
        <f t="shared" si="21"/>
        <v>474</v>
      </c>
      <c r="J504" s="360">
        <f t="shared" si="21"/>
        <v>84</v>
      </c>
      <c r="K504" s="360">
        <f t="shared" si="21"/>
        <v>17</v>
      </c>
      <c r="L504" s="360">
        <f t="shared" si="21"/>
        <v>0</v>
      </c>
      <c r="M504" s="360">
        <f t="shared" si="21"/>
        <v>101</v>
      </c>
      <c r="N504" s="358"/>
    </row>
    <row r="505" spans="1:14" x14ac:dyDescent="0.25">
      <c r="A505" s="348">
        <f>IF(ADSI!$G$12="",ADSI!$H$16,ADSI!$H$12)</f>
        <v>6</v>
      </c>
      <c r="B505" s="348" t="str">
        <f ca="1">IF(ADSI!$G$12="",ADSI!$H$16,ADSI!$H$14)</f>
        <v/>
      </c>
      <c r="C505" s="395">
        <f t="shared" si="17"/>
        <v>490</v>
      </c>
      <c r="D505" s="348">
        <f>ADSI!$K$12</f>
        <v>2021</v>
      </c>
      <c r="E505" s="360">
        <f t="shared" si="18"/>
        <v>2850</v>
      </c>
      <c r="F505" s="360">
        <f t="shared" ref="F505:M505" si="22">F12</f>
        <v>696</v>
      </c>
      <c r="G505" s="360">
        <f t="shared" si="22"/>
        <v>160</v>
      </c>
      <c r="H505" s="360">
        <f t="shared" si="22"/>
        <v>0</v>
      </c>
      <c r="I505" s="360">
        <f t="shared" si="22"/>
        <v>856</v>
      </c>
      <c r="J505" s="360">
        <f t="shared" si="22"/>
        <v>193</v>
      </c>
      <c r="K505" s="360">
        <f t="shared" si="22"/>
        <v>33</v>
      </c>
      <c r="L505" s="360">
        <f t="shared" si="22"/>
        <v>0</v>
      </c>
      <c r="M505" s="360">
        <f t="shared" si="22"/>
        <v>226</v>
      </c>
      <c r="N505" s="358"/>
    </row>
    <row r="506" spans="1:14" x14ac:dyDescent="0.25">
      <c r="A506" s="352"/>
      <c r="B506" s="352"/>
      <c r="C506" s="352"/>
      <c r="D506" s="352"/>
      <c r="E506" s="352"/>
      <c r="F506" s="352"/>
      <c r="G506" s="352"/>
      <c r="H506" s="352"/>
      <c r="I506" s="352"/>
      <c r="J506" s="352"/>
      <c r="K506" s="352"/>
      <c r="L506" s="352"/>
      <c r="M506" s="352"/>
      <c r="N506" s="358"/>
    </row>
    <row r="507" spans="1:14" x14ac:dyDescent="0.25">
      <c r="A507" s="352"/>
      <c r="B507" s="352"/>
      <c r="C507" s="352"/>
      <c r="D507" s="352"/>
      <c r="E507" s="352"/>
      <c r="F507" s="352"/>
      <c r="G507" s="352"/>
      <c r="H507" s="352"/>
      <c r="I507" s="352"/>
      <c r="J507" s="352"/>
      <c r="K507" s="352"/>
      <c r="L507" s="352"/>
      <c r="M507" s="352"/>
      <c r="N507" s="358"/>
    </row>
    <row r="508" spans="1:14" x14ac:dyDescent="0.25">
      <c r="A508" s="352"/>
      <c r="B508" s="352"/>
      <c r="C508" s="352"/>
      <c r="D508" s="352"/>
      <c r="E508" s="352"/>
      <c r="F508" s="352"/>
      <c r="G508" s="352"/>
      <c r="H508" s="352"/>
      <c r="I508" s="352"/>
      <c r="J508" s="352"/>
      <c r="K508" s="352"/>
      <c r="L508" s="352"/>
      <c r="M508" s="352"/>
      <c r="N508" s="358"/>
    </row>
  </sheetData>
  <sheetProtection password="C614" sheet="1" objects="1" scenarios="1" selectLockedCells="1"/>
  <mergeCells count="17">
    <mergeCell ref="A13:C13"/>
    <mergeCell ref="J5:M5"/>
    <mergeCell ref="A14:C14"/>
    <mergeCell ref="B5:B6"/>
    <mergeCell ref="C5:C6"/>
    <mergeCell ref="D5:D6"/>
    <mergeCell ref="F5:I5"/>
    <mergeCell ref="A5:A6"/>
    <mergeCell ref="E5:E6"/>
    <mergeCell ref="BA212:BB212"/>
    <mergeCell ref="BA213:BB213"/>
    <mergeCell ref="BI204:BL204"/>
    <mergeCell ref="BE204:BH204"/>
    <mergeCell ref="BC204:BC205"/>
    <mergeCell ref="BB204:BB205"/>
    <mergeCell ref="BA204:BA205"/>
    <mergeCell ref="BD204:BD206"/>
  </mergeCells>
  <conditionalFormatting sqref="D14 F14:M14">
    <cfRule type="cellIs" dxfId="116" priority="2" operator="equal">
      <formula>FALSE</formula>
    </cfRule>
  </conditionalFormatting>
  <conditionalFormatting sqref="E8:E12">
    <cfRule type="cellIs" dxfId="115" priority="1" operator="equal">
      <formula>FALSE</formula>
    </cfRule>
  </conditionalFormatting>
  <dataValidations count="1">
    <dataValidation type="whole" allowBlank="1" showInputMessage="1" showErrorMessage="1" sqref="F8:H11 D8:D11 J8:L11">
      <formula1>0</formula1>
      <formula2>999999999</formula2>
    </dataValidation>
  </dataValidations>
  <pageMargins left="1.1811023622047245" right="0.70866141732283472" top="1.1811023622047245" bottom="0.74803149606299213" header="0.31496062992125984" footer="0.19685039370078741"/>
  <pageSetup paperSize="5" orientation="landscape" r:id="rId1"/>
  <headerFooter>
    <oddFooter>&amp;L&amp;9ADSI - &amp;A&amp;C&amp;9&amp;D &amp;T&amp;R&amp;9Page &amp;P of &amp;N</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N518"/>
  <sheetViews>
    <sheetView showGridLines="0" workbookViewId="0">
      <pane xSplit="3" ySplit="8" topLeftCell="D9" activePane="bottomRight" state="frozen"/>
      <selection activeCell="D9" sqref="D9"/>
      <selection pane="topRight" activeCell="D9" sqref="D9"/>
      <selection pane="bottomLeft" activeCell="D9" sqref="D9"/>
      <selection pane="bottomRight" activeCell="D9" sqref="D9"/>
    </sheetView>
  </sheetViews>
  <sheetFormatPr defaultRowHeight="15" x14ac:dyDescent="0.25"/>
  <cols>
    <col min="1" max="2" width="6.7109375" style="1" customWidth="1"/>
    <col min="3" max="3" width="39.85546875" style="1" customWidth="1"/>
    <col min="4" max="4" width="13.7109375" style="1" customWidth="1"/>
    <col min="5" max="5" width="14.7109375" style="1" customWidth="1"/>
    <col min="6" max="7" width="12.7109375" style="1" customWidth="1"/>
    <col min="8" max="8" width="11.7109375" style="1" customWidth="1"/>
    <col min="9" max="9" width="13.7109375" style="1" customWidth="1"/>
    <col min="10" max="11" width="12.7109375" style="1" customWidth="1"/>
    <col min="12" max="12" width="11.7109375" style="1" customWidth="1"/>
    <col min="13" max="13" width="13.7109375" style="1" customWidth="1"/>
    <col min="14" max="14" width="8.7109375" style="1" customWidth="1"/>
    <col min="15" max="52" width="9.140625" style="1"/>
    <col min="53" max="53" width="5.5703125" style="1" customWidth="1"/>
    <col min="54" max="54" width="26.5703125" style="1" bestFit="1" customWidth="1"/>
    <col min="55" max="16384" width="9.140625" style="1"/>
  </cols>
  <sheetData>
    <row r="1" spans="1:14" ht="15.75" x14ac:dyDescent="0.25">
      <c r="A1" s="285" t="str">
        <f>ADSI!$B$1</f>
        <v>Goa, , ADSI-2021</v>
      </c>
    </row>
    <row r="2" spans="1:14" ht="15.75" x14ac:dyDescent="0.25">
      <c r="A2" s="286" t="s">
        <v>657</v>
      </c>
      <c r="C2" s="287">
        <f>COUNTIF(D27:M27,FALSE)+COUNTIF(E9:E15,FALSE)+COUNTIF(E17:E25,FALSE)</f>
        <v>0</v>
      </c>
      <c r="E2" s="537" t="s">
        <v>1668</v>
      </c>
      <c r="F2" s="464">
        <f>COUNTIF(D28:M30,"ABVAR")+COUNTIF(D28:M30,"RE-CHECK")</f>
        <v>9</v>
      </c>
      <c r="G2" s="536" t="s">
        <v>1654</v>
      </c>
    </row>
    <row r="3" spans="1:14" s="6" customFormat="1" ht="15.75" x14ac:dyDescent="0.25">
      <c r="A3" s="296" t="s">
        <v>73</v>
      </c>
      <c r="C3" s="57"/>
      <c r="D3" s="57"/>
      <c r="E3" s="71"/>
      <c r="F3" s="57"/>
      <c r="G3" s="57"/>
      <c r="H3" s="57"/>
      <c r="I3" s="57"/>
      <c r="J3" s="57"/>
      <c r="K3" s="57"/>
      <c r="L3" s="35"/>
    </row>
    <row r="4" spans="1:14" s="6" customFormat="1" ht="15.75" x14ac:dyDescent="0.25">
      <c r="A4" s="296" t="s">
        <v>266</v>
      </c>
      <c r="C4" s="57"/>
      <c r="D4" s="57"/>
      <c r="E4" s="71"/>
      <c r="F4" s="57"/>
      <c r="G4" s="57"/>
      <c r="H4" s="57"/>
      <c r="I4" s="57"/>
      <c r="J4" s="57"/>
      <c r="K4" s="57"/>
    </row>
    <row r="5" spans="1:14" x14ac:dyDescent="0.25">
      <c r="A5" s="263" t="s">
        <v>249</v>
      </c>
      <c r="B5" s="646" t="s">
        <v>0</v>
      </c>
      <c r="C5" s="696" t="s">
        <v>267</v>
      </c>
      <c r="D5" s="646" t="s">
        <v>35</v>
      </c>
      <c r="E5" s="695" t="s">
        <v>589</v>
      </c>
      <c r="F5" s="698" t="s">
        <v>36</v>
      </c>
      <c r="G5" s="698"/>
      <c r="H5" s="698"/>
      <c r="I5" s="698"/>
      <c r="J5" s="646" t="s">
        <v>37</v>
      </c>
      <c r="K5" s="646"/>
      <c r="L5" s="646"/>
      <c r="M5" s="646"/>
    </row>
    <row r="6" spans="1:14" ht="45" x14ac:dyDescent="0.25">
      <c r="A6" s="264"/>
      <c r="B6" s="646"/>
      <c r="C6" s="697"/>
      <c r="D6" s="646"/>
      <c r="E6" s="695"/>
      <c r="F6" s="217" t="s">
        <v>38</v>
      </c>
      <c r="G6" s="217" t="s">
        <v>39</v>
      </c>
      <c r="H6" s="217" t="s">
        <v>240</v>
      </c>
      <c r="I6" s="217" t="s">
        <v>233</v>
      </c>
      <c r="J6" s="55" t="s">
        <v>200</v>
      </c>
      <c r="K6" s="55" t="s">
        <v>201</v>
      </c>
      <c r="L6" s="55" t="s">
        <v>240</v>
      </c>
      <c r="M6" s="55" t="s">
        <v>236</v>
      </c>
    </row>
    <row r="7" spans="1:14" ht="20.100000000000001" customHeight="1" x14ac:dyDescent="0.25">
      <c r="A7" s="8"/>
      <c r="B7" s="8" t="s">
        <v>181</v>
      </c>
      <c r="C7" s="219" t="s">
        <v>182</v>
      </c>
      <c r="D7" s="8" t="s">
        <v>183</v>
      </c>
      <c r="E7" s="320"/>
      <c r="F7" s="218" t="s">
        <v>184</v>
      </c>
      <c r="G7" s="218" t="s">
        <v>185</v>
      </c>
      <c r="H7" s="218" t="s">
        <v>186</v>
      </c>
      <c r="I7" s="219" t="s">
        <v>187</v>
      </c>
      <c r="J7" s="8" t="s">
        <v>188</v>
      </c>
      <c r="K7" s="8" t="s">
        <v>189</v>
      </c>
      <c r="L7" s="8" t="s">
        <v>190</v>
      </c>
      <c r="M7" s="8" t="s">
        <v>191</v>
      </c>
    </row>
    <row r="8" spans="1:14" ht="20.100000000000001" customHeight="1" x14ac:dyDescent="0.25">
      <c r="A8" s="704" t="s">
        <v>83</v>
      </c>
      <c r="B8" s="705"/>
      <c r="C8" s="705"/>
      <c r="D8" s="705"/>
      <c r="E8" s="705"/>
      <c r="F8" s="705"/>
      <c r="G8" s="705"/>
      <c r="H8" s="705"/>
      <c r="I8" s="705"/>
      <c r="J8" s="705"/>
      <c r="K8" s="705"/>
      <c r="L8" s="705"/>
      <c r="M8" s="706"/>
    </row>
    <row r="9" spans="1:14" ht="20.100000000000001" customHeight="1" x14ac:dyDescent="0.25">
      <c r="A9" s="56">
        <v>500</v>
      </c>
      <c r="B9" s="118">
        <v>1</v>
      </c>
      <c r="C9" s="12" t="s">
        <v>79</v>
      </c>
      <c r="D9" s="265">
        <v>73</v>
      </c>
      <c r="E9" s="322" t="str">
        <f>IF(AND(OR(I9&gt;0,M9&gt;0),D9=0),FALSE,"")</f>
        <v/>
      </c>
      <c r="F9" s="235">
        <v>30</v>
      </c>
      <c r="G9" s="235">
        <v>4</v>
      </c>
      <c r="H9" s="235">
        <v>0</v>
      </c>
      <c r="I9" s="453">
        <f>SUM(F9:H9)</f>
        <v>34</v>
      </c>
      <c r="J9" s="234">
        <v>8</v>
      </c>
      <c r="K9" s="234">
        <v>3</v>
      </c>
      <c r="L9" s="234">
        <v>0</v>
      </c>
      <c r="M9" s="453">
        <f>SUM(J9:L9)</f>
        <v>11</v>
      </c>
      <c r="N9" s="340"/>
    </row>
    <row r="10" spans="1:14" ht="20.100000000000001" customHeight="1" x14ac:dyDescent="0.25">
      <c r="A10" s="56">
        <v>501</v>
      </c>
      <c r="B10" s="118">
        <v>2</v>
      </c>
      <c r="C10" s="12" t="s">
        <v>82</v>
      </c>
      <c r="D10" s="265">
        <v>1251</v>
      </c>
      <c r="E10" s="322" t="str">
        <f t="shared" ref="E10:E25" si="0">IF(AND(OR(I10&gt;0,M10&gt;0),D10=0),FALSE,"")</f>
        <v/>
      </c>
      <c r="F10" s="235">
        <v>278</v>
      </c>
      <c r="G10" s="235">
        <v>64</v>
      </c>
      <c r="H10" s="235">
        <v>0</v>
      </c>
      <c r="I10" s="453">
        <f t="shared" ref="I10:I14" si="1">SUM(F10:H10)</f>
        <v>342</v>
      </c>
      <c r="J10" s="234">
        <v>89</v>
      </c>
      <c r="K10" s="234">
        <v>14</v>
      </c>
      <c r="L10" s="234">
        <v>0</v>
      </c>
      <c r="M10" s="453">
        <f t="shared" ref="M10:M15" si="2">SUM(J10:L10)</f>
        <v>103</v>
      </c>
      <c r="N10" s="340"/>
    </row>
    <row r="11" spans="1:14" ht="20.100000000000001" customHeight="1" x14ac:dyDescent="0.25">
      <c r="A11" s="118">
        <v>502</v>
      </c>
      <c r="B11" s="118">
        <v>3</v>
      </c>
      <c r="C11" s="12" t="s">
        <v>264</v>
      </c>
      <c r="D11" s="265">
        <v>143</v>
      </c>
      <c r="E11" s="322" t="str">
        <f t="shared" si="0"/>
        <v/>
      </c>
      <c r="F11" s="235">
        <v>38</v>
      </c>
      <c r="G11" s="235">
        <v>7</v>
      </c>
      <c r="H11" s="235">
        <v>0</v>
      </c>
      <c r="I11" s="453">
        <f t="shared" si="1"/>
        <v>45</v>
      </c>
      <c r="J11" s="235">
        <v>8</v>
      </c>
      <c r="K11" s="235">
        <v>2</v>
      </c>
      <c r="L11" s="235">
        <v>0</v>
      </c>
      <c r="M11" s="453">
        <f t="shared" si="2"/>
        <v>10</v>
      </c>
      <c r="N11" s="340"/>
    </row>
    <row r="12" spans="1:14" ht="20.100000000000001" customHeight="1" x14ac:dyDescent="0.25">
      <c r="A12" s="118">
        <v>503</v>
      </c>
      <c r="B12" s="118">
        <v>4</v>
      </c>
      <c r="C12" s="12" t="s">
        <v>265</v>
      </c>
      <c r="D12" s="265">
        <v>45</v>
      </c>
      <c r="E12" s="322" t="str">
        <f t="shared" si="0"/>
        <v/>
      </c>
      <c r="F12" s="235">
        <v>13</v>
      </c>
      <c r="G12" s="235">
        <v>2</v>
      </c>
      <c r="H12" s="235">
        <v>0</v>
      </c>
      <c r="I12" s="453">
        <f t="shared" si="1"/>
        <v>15</v>
      </c>
      <c r="J12" s="234">
        <v>4</v>
      </c>
      <c r="K12" s="234">
        <v>0</v>
      </c>
      <c r="L12" s="234">
        <v>0</v>
      </c>
      <c r="M12" s="453">
        <f t="shared" si="2"/>
        <v>4</v>
      </c>
      <c r="N12" s="340"/>
    </row>
    <row r="13" spans="1:14" ht="20.100000000000001" customHeight="1" x14ac:dyDescent="0.25">
      <c r="A13" s="118">
        <v>504</v>
      </c>
      <c r="B13" s="118">
        <v>5</v>
      </c>
      <c r="C13" s="12" t="s">
        <v>85</v>
      </c>
      <c r="D13" s="265">
        <v>77</v>
      </c>
      <c r="E13" s="322" t="str">
        <f t="shared" si="0"/>
        <v/>
      </c>
      <c r="F13" s="235">
        <v>9</v>
      </c>
      <c r="G13" s="235">
        <v>1</v>
      </c>
      <c r="H13" s="235">
        <v>0</v>
      </c>
      <c r="I13" s="453">
        <f t="shared" si="1"/>
        <v>10</v>
      </c>
      <c r="J13" s="234">
        <v>10</v>
      </c>
      <c r="K13" s="234">
        <v>0</v>
      </c>
      <c r="L13" s="234">
        <v>0</v>
      </c>
      <c r="M13" s="453">
        <f t="shared" si="2"/>
        <v>10</v>
      </c>
      <c r="N13" s="340"/>
    </row>
    <row r="14" spans="1:14" ht="20.100000000000001" customHeight="1" x14ac:dyDescent="0.25">
      <c r="A14" s="118">
        <v>505</v>
      </c>
      <c r="B14" s="118">
        <v>6</v>
      </c>
      <c r="C14" s="10" t="s">
        <v>1575</v>
      </c>
      <c r="D14" s="265">
        <v>462</v>
      </c>
      <c r="E14" s="322" t="str">
        <f t="shared" si="0"/>
        <v/>
      </c>
      <c r="F14" s="235">
        <v>78</v>
      </c>
      <c r="G14" s="235">
        <v>20</v>
      </c>
      <c r="H14" s="235">
        <v>0</v>
      </c>
      <c r="I14" s="453">
        <f t="shared" si="1"/>
        <v>98</v>
      </c>
      <c r="J14" s="234">
        <v>38</v>
      </c>
      <c r="K14" s="234">
        <v>4</v>
      </c>
      <c r="L14" s="234">
        <v>0</v>
      </c>
      <c r="M14" s="453">
        <f t="shared" si="2"/>
        <v>42</v>
      </c>
      <c r="N14" s="340"/>
    </row>
    <row r="15" spans="1:14" ht="20.100000000000001" customHeight="1" x14ac:dyDescent="0.25">
      <c r="A15" s="118">
        <v>515</v>
      </c>
      <c r="B15" s="118">
        <v>7</v>
      </c>
      <c r="C15" s="434" t="s">
        <v>581</v>
      </c>
      <c r="D15" s="445">
        <f>SUM(D9:D14)</f>
        <v>2051</v>
      </c>
      <c r="E15" s="414" t="str">
        <f t="shared" si="0"/>
        <v/>
      </c>
      <c r="F15" s="445">
        <f t="shared" ref="F15:L15" si="3">SUM(F9:F14)</f>
        <v>446</v>
      </c>
      <c r="G15" s="445">
        <f t="shared" si="3"/>
        <v>98</v>
      </c>
      <c r="H15" s="445">
        <f t="shared" si="3"/>
        <v>0</v>
      </c>
      <c r="I15" s="453">
        <f t="shared" si="3"/>
        <v>544</v>
      </c>
      <c r="J15" s="445">
        <f t="shared" si="3"/>
        <v>157</v>
      </c>
      <c r="K15" s="445">
        <f t="shared" si="3"/>
        <v>23</v>
      </c>
      <c r="L15" s="445">
        <f t="shared" si="3"/>
        <v>0</v>
      </c>
      <c r="M15" s="453">
        <f t="shared" si="2"/>
        <v>180</v>
      </c>
      <c r="N15" s="340"/>
    </row>
    <row r="16" spans="1:14" ht="20.100000000000001" customHeight="1" x14ac:dyDescent="0.25">
      <c r="A16" s="705" t="s">
        <v>84</v>
      </c>
      <c r="B16" s="705"/>
      <c r="C16" s="705"/>
      <c r="D16" s="705"/>
      <c r="E16" s="705"/>
      <c r="F16" s="705"/>
      <c r="G16" s="705"/>
      <c r="H16" s="705"/>
      <c r="I16" s="705"/>
      <c r="J16" s="705"/>
      <c r="K16" s="705"/>
      <c r="L16" s="705"/>
      <c r="M16" s="706"/>
      <c r="N16" s="340"/>
    </row>
    <row r="17" spans="1:14" ht="20.100000000000001" customHeight="1" x14ac:dyDescent="0.25">
      <c r="A17" s="56">
        <v>525</v>
      </c>
      <c r="B17" s="118">
        <v>8</v>
      </c>
      <c r="C17" s="12" t="s">
        <v>79</v>
      </c>
      <c r="D17" s="246">
        <v>39</v>
      </c>
      <c r="E17" s="322" t="str">
        <f t="shared" si="0"/>
        <v/>
      </c>
      <c r="F17" s="246">
        <v>15</v>
      </c>
      <c r="G17" s="246">
        <v>6</v>
      </c>
      <c r="H17" s="246">
        <v>0</v>
      </c>
      <c r="I17" s="453">
        <f>SUM(F17:H17)</f>
        <v>21</v>
      </c>
      <c r="J17" s="246">
        <v>0</v>
      </c>
      <c r="K17" s="246">
        <v>1</v>
      </c>
      <c r="L17" s="246">
        <v>0</v>
      </c>
      <c r="M17" s="453">
        <f>SUM(J17:L17)</f>
        <v>1</v>
      </c>
      <c r="N17" s="340"/>
    </row>
    <row r="18" spans="1:14" ht="20.100000000000001" customHeight="1" x14ac:dyDescent="0.25">
      <c r="A18" s="56">
        <v>526</v>
      </c>
      <c r="B18" s="118">
        <v>9</v>
      </c>
      <c r="C18" s="12" t="s">
        <v>82</v>
      </c>
      <c r="D18" s="246">
        <v>527</v>
      </c>
      <c r="E18" s="322" t="str">
        <f t="shared" si="0"/>
        <v/>
      </c>
      <c r="F18" s="246">
        <v>150</v>
      </c>
      <c r="G18" s="246">
        <v>32</v>
      </c>
      <c r="H18" s="246">
        <v>0</v>
      </c>
      <c r="I18" s="453">
        <f t="shared" ref="I18:I25" si="4">SUM(F18:H18)</f>
        <v>182</v>
      </c>
      <c r="J18" s="246">
        <v>19</v>
      </c>
      <c r="K18" s="246">
        <v>6</v>
      </c>
      <c r="L18" s="246">
        <v>0</v>
      </c>
      <c r="M18" s="453">
        <f t="shared" ref="M18:M24" si="5">SUM(J18:L18)</f>
        <v>25</v>
      </c>
      <c r="N18" s="340"/>
    </row>
    <row r="19" spans="1:14" ht="20.100000000000001" customHeight="1" x14ac:dyDescent="0.25">
      <c r="A19" s="118">
        <v>527</v>
      </c>
      <c r="B19" s="118">
        <v>10</v>
      </c>
      <c r="C19" s="12" t="s">
        <v>264</v>
      </c>
      <c r="D19" s="246">
        <v>52</v>
      </c>
      <c r="E19" s="322" t="str">
        <f t="shared" si="0"/>
        <v/>
      </c>
      <c r="F19" s="246">
        <v>14</v>
      </c>
      <c r="G19" s="246">
        <v>4</v>
      </c>
      <c r="H19" s="246">
        <v>0</v>
      </c>
      <c r="I19" s="453">
        <f t="shared" si="4"/>
        <v>18</v>
      </c>
      <c r="J19" s="246">
        <v>5</v>
      </c>
      <c r="K19" s="246">
        <v>1</v>
      </c>
      <c r="L19" s="246">
        <v>0</v>
      </c>
      <c r="M19" s="453">
        <f t="shared" si="5"/>
        <v>6</v>
      </c>
      <c r="N19" s="340"/>
    </row>
    <row r="20" spans="1:14" ht="20.100000000000001" customHeight="1" x14ac:dyDescent="0.25">
      <c r="A20" s="118">
        <v>528</v>
      </c>
      <c r="B20" s="118">
        <v>11</v>
      </c>
      <c r="C20" s="12" t="s">
        <v>265</v>
      </c>
      <c r="D20" s="246">
        <v>69</v>
      </c>
      <c r="E20" s="322" t="str">
        <f t="shared" si="0"/>
        <v/>
      </c>
      <c r="F20" s="246">
        <v>37</v>
      </c>
      <c r="G20" s="246">
        <v>7</v>
      </c>
      <c r="H20" s="246">
        <v>0</v>
      </c>
      <c r="I20" s="453">
        <f t="shared" si="4"/>
        <v>44</v>
      </c>
      <c r="J20" s="246">
        <v>2</v>
      </c>
      <c r="K20" s="246">
        <v>0</v>
      </c>
      <c r="L20" s="246">
        <v>0</v>
      </c>
      <c r="M20" s="453">
        <f t="shared" si="5"/>
        <v>2</v>
      </c>
      <c r="N20" s="340"/>
    </row>
    <row r="21" spans="1:14" ht="20.100000000000001" customHeight="1" x14ac:dyDescent="0.25">
      <c r="A21" s="118">
        <v>529</v>
      </c>
      <c r="B21" s="118">
        <v>12</v>
      </c>
      <c r="C21" s="12" t="s">
        <v>80</v>
      </c>
      <c r="D21" s="246">
        <v>41</v>
      </c>
      <c r="E21" s="322" t="str">
        <f t="shared" si="0"/>
        <v/>
      </c>
      <c r="F21" s="246">
        <v>20</v>
      </c>
      <c r="G21" s="246">
        <v>9</v>
      </c>
      <c r="H21" s="246">
        <v>0</v>
      </c>
      <c r="I21" s="453">
        <f>SUM(F21:H21)</f>
        <v>29</v>
      </c>
      <c r="J21" s="246">
        <v>6</v>
      </c>
      <c r="K21" s="246">
        <v>1</v>
      </c>
      <c r="L21" s="246">
        <v>0</v>
      </c>
      <c r="M21" s="453">
        <f t="shared" si="5"/>
        <v>7</v>
      </c>
      <c r="N21" s="340"/>
    </row>
    <row r="22" spans="1:14" ht="20.100000000000001" customHeight="1" x14ac:dyDescent="0.25">
      <c r="A22" s="118">
        <v>530</v>
      </c>
      <c r="B22" s="118">
        <v>13</v>
      </c>
      <c r="C22" s="12" t="s">
        <v>81</v>
      </c>
      <c r="D22" s="246">
        <v>5</v>
      </c>
      <c r="E22" s="322" t="str">
        <f t="shared" si="0"/>
        <v/>
      </c>
      <c r="F22" s="246">
        <v>0</v>
      </c>
      <c r="G22" s="246">
        <v>0</v>
      </c>
      <c r="H22" s="246">
        <v>0</v>
      </c>
      <c r="I22" s="453">
        <f t="shared" si="4"/>
        <v>0</v>
      </c>
      <c r="J22" s="246">
        <v>0</v>
      </c>
      <c r="K22" s="246">
        <v>0</v>
      </c>
      <c r="L22" s="246">
        <v>0</v>
      </c>
      <c r="M22" s="453">
        <f t="shared" si="5"/>
        <v>0</v>
      </c>
      <c r="N22" s="340"/>
    </row>
    <row r="23" spans="1:14" ht="20.100000000000001" customHeight="1" x14ac:dyDescent="0.25">
      <c r="A23" s="118">
        <v>531</v>
      </c>
      <c r="B23" s="118">
        <v>14</v>
      </c>
      <c r="C23" s="10" t="s">
        <v>1576</v>
      </c>
      <c r="D23" s="246">
        <v>66</v>
      </c>
      <c r="E23" s="322" t="str">
        <f t="shared" si="0"/>
        <v/>
      </c>
      <c r="F23" s="246">
        <v>14</v>
      </c>
      <c r="G23" s="246">
        <v>4</v>
      </c>
      <c r="H23" s="246">
        <v>0</v>
      </c>
      <c r="I23" s="453">
        <f t="shared" si="4"/>
        <v>18</v>
      </c>
      <c r="J23" s="246">
        <v>4</v>
      </c>
      <c r="K23" s="246">
        <v>1</v>
      </c>
      <c r="L23" s="246">
        <v>0</v>
      </c>
      <c r="M23" s="453">
        <f t="shared" si="5"/>
        <v>5</v>
      </c>
      <c r="N23" s="340"/>
    </row>
    <row r="24" spans="1:14" ht="20.100000000000001" customHeight="1" x14ac:dyDescent="0.25">
      <c r="A24" s="118">
        <v>532</v>
      </c>
      <c r="B24" s="118">
        <v>15</v>
      </c>
      <c r="C24" s="434" t="s">
        <v>1435</v>
      </c>
      <c r="D24" s="445">
        <f>SUM(D17:D23)</f>
        <v>799</v>
      </c>
      <c r="E24" s="414" t="str">
        <f t="shared" si="0"/>
        <v/>
      </c>
      <c r="F24" s="445">
        <f t="shared" ref="F24:L24" si="6">SUM(F17:F23)</f>
        <v>250</v>
      </c>
      <c r="G24" s="445">
        <f t="shared" si="6"/>
        <v>62</v>
      </c>
      <c r="H24" s="445">
        <f t="shared" si="6"/>
        <v>0</v>
      </c>
      <c r="I24" s="453">
        <f t="shared" si="4"/>
        <v>312</v>
      </c>
      <c r="J24" s="445">
        <f t="shared" si="6"/>
        <v>36</v>
      </c>
      <c r="K24" s="445">
        <f t="shared" si="6"/>
        <v>10</v>
      </c>
      <c r="L24" s="445">
        <f t="shared" si="6"/>
        <v>0</v>
      </c>
      <c r="M24" s="453">
        <f t="shared" si="5"/>
        <v>46</v>
      </c>
      <c r="N24" s="340"/>
    </row>
    <row r="25" spans="1:14" ht="20.100000000000001" customHeight="1" x14ac:dyDescent="0.25">
      <c r="A25" s="118">
        <v>545</v>
      </c>
      <c r="B25" s="266">
        <v>16</v>
      </c>
      <c r="C25" s="440" t="s">
        <v>582</v>
      </c>
      <c r="D25" s="441">
        <f>D24+D15</f>
        <v>2850</v>
      </c>
      <c r="E25" s="452" t="str">
        <f t="shared" si="0"/>
        <v/>
      </c>
      <c r="F25" s="441">
        <f t="shared" ref="F25:L25" si="7">F24+F15</f>
        <v>696</v>
      </c>
      <c r="G25" s="441">
        <f t="shared" si="7"/>
        <v>160</v>
      </c>
      <c r="H25" s="441">
        <f t="shared" si="7"/>
        <v>0</v>
      </c>
      <c r="I25" s="447">
        <f t="shared" si="4"/>
        <v>856</v>
      </c>
      <c r="J25" s="441">
        <f t="shared" si="7"/>
        <v>193</v>
      </c>
      <c r="K25" s="441">
        <f t="shared" si="7"/>
        <v>33</v>
      </c>
      <c r="L25" s="441">
        <f t="shared" si="7"/>
        <v>0</v>
      </c>
      <c r="M25" s="447">
        <f>SUM(J25:L25)</f>
        <v>226</v>
      </c>
      <c r="N25" s="340"/>
    </row>
    <row r="26" spans="1:14" ht="32.1" customHeight="1" x14ac:dyDescent="0.25">
      <c r="A26" s="707" t="s">
        <v>1493</v>
      </c>
      <c r="B26" s="707"/>
      <c r="C26" s="708"/>
      <c r="D26" s="400">
        <f>'P-II'!D43</f>
        <v>2850</v>
      </c>
      <c r="E26" s="400"/>
      <c r="F26" s="400">
        <f>'P-II'!F43</f>
        <v>696</v>
      </c>
      <c r="G26" s="400">
        <f>'P-II'!G43</f>
        <v>160</v>
      </c>
      <c r="H26" s="400">
        <f>'P-II'!H43</f>
        <v>0</v>
      </c>
      <c r="I26" s="400">
        <f>'P-II'!I43</f>
        <v>856</v>
      </c>
      <c r="J26" s="400">
        <f>'P-II'!J43</f>
        <v>193</v>
      </c>
      <c r="K26" s="400">
        <f>'P-II'!K43</f>
        <v>33</v>
      </c>
      <c r="L26" s="400">
        <f>'P-II'!L43</f>
        <v>0</v>
      </c>
      <c r="M26" s="400">
        <f>'P-II'!M43</f>
        <v>226</v>
      </c>
    </row>
    <row r="27" spans="1:14" ht="32.1" customHeight="1" x14ac:dyDescent="0.25">
      <c r="A27" s="627" t="s">
        <v>1492</v>
      </c>
      <c r="B27" s="627"/>
      <c r="C27" s="628"/>
      <c r="D27" s="399" t="str">
        <f>IF(D25='P-II'!D43,"",FALSE)</f>
        <v/>
      </c>
      <c r="E27" s="399"/>
      <c r="F27" s="399" t="str">
        <f>IF(F25='P-II'!F43,"",FALSE)</f>
        <v/>
      </c>
      <c r="G27" s="399" t="str">
        <f>IF(G25='P-II'!G43,"",FALSE)</f>
        <v/>
      </c>
      <c r="H27" s="399" t="str">
        <f>IF(H25='P-II'!H43,"",FALSE)</f>
        <v/>
      </c>
      <c r="I27" s="399" t="str">
        <f>IF(I25='P-II'!I43,"",FALSE)</f>
        <v/>
      </c>
      <c r="J27" s="399" t="str">
        <f>IF(J25='P-II'!J43,"",FALSE)</f>
        <v/>
      </c>
      <c r="K27" s="399" t="str">
        <f>IF(K25='P-II'!K43,"",FALSE)</f>
        <v/>
      </c>
      <c r="L27" s="399" t="str">
        <f>IF(L25='P-II'!L43,"",FALSE)</f>
        <v/>
      </c>
      <c r="M27" s="399" t="str">
        <f>IF(M25='P-II'!M43,"",FALSE)</f>
        <v/>
      </c>
    </row>
    <row r="28" spans="1:14" ht="30" customHeight="1" x14ac:dyDescent="0.25">
      <c r="A28" s="595" t="s">
        <v>1577</v>
      </c>
      <c r="B28" s="596"/>
      <c r="C28" s="597"/>
      <c r="D28" s="463" t="str">
        <f>IF(D15&gt;0,IF((D14/D15*100)&gt;10,"ABVAR",""),"")</f>
        <v>ABVAR</v>
      </c>
      <c r="E28" s="463"/>
      <c r="F28" s="463" t="str">
        <f>IF(F15&gt;0,IF((F14/F15*100)&gt;10,"ABVAR",""),"")</f>
        <v>ABVAR</v>
      </c>
      <c r="G28" s="463" t="str">
        <f t="shared" ref="G28:M28" si="8">IF(G15&gt;0,IF((G14/G15*100)&gt;10,"ABVAR",""),"")</f>
        <v>ABVAR</v>
      </c>
      <c r="H28" s="463" t="str">
        <f t="shared" si="8"/>
        <v/>
      </c>
      <c r="I28" s="463" t="str">
        <f t="shared" si="8"/>
        <v>ABVAR</v>
      </c>
      <c r="J28" s="463" t="str">
        <f t="shared" si="8"/>
        <v>ABVAR</v>
      </c>
      <c r="K28" s="463" t="str">
        <f t="shared" si="8"/>
        <v>ABVAR</v>
      </c>
      <c r="L28" s="463" t="str">
        <f t="shared" si="8"/>
        <v/>
      </c>
      <c r="M28" s="463" t="str">
        <f t="shared" si="8"/>
        <v>ABVAR</v>
      </c>
    </row>
    <row r="29" spans="1:14" ht="30" customHeight="1" x14ac:dyDescent="0.25">
      <c r="A29" s="699" t="s">
        <v>1650</v>
      </c>
      <c r="B29" s="700"/>
      <c r="C29" s="701"/>
      <c r="D29" s="463"/>
      <c r="E29" s="463"/>
      <c r="F29" s="463"/>
      <c r="G29" s="463"/>
      <c r="H29" s="463"/>
      <c r="I29" s="463" t="e">
        <f>IF(I22&lt;='P-VI'!#REF!,"","RE-CHECK")</f>
        <v>#REF!</v>
      </c>
      <c r="J29" s="463"/>
      <c r="K29" s="463"/>
      <c r="L29" s="463"/>
      <c r="M29" s="463" t="e">
        <f>IF(M22&lt;='P-VI'!#REF!,"","RE-CHECK")</f>
        <v>#REF!</v>
      </c>
    </row>
    <row r="30" spans="1:14" ht="30" customHeight="1" x14ac:dyDescent="0.25">
      <c r="A30" s="595" t="s">
        <v>1578</v>
      </c>
      <c r="B30" s="596"/>
      <c r="C30" s="597"/>
      <c r="D30" s="463" t="str">
        <f>IF(D24&gt;0,IF((D23/D24*100)&gt;10,"ABVAR",""),"")</f>
        <v/>
      </c>
      <c r="E30" s="463"/>
      <c r="F30" s="463" t="str">
        <f>IF(F24&gt;0,IF((F23/F24*100)&gt;10,"ABVAR",""),"")</f>
        <v/>
      </c>
      <c r="G30" s="463" t="str">
        <f t="shared" ref="G30:M30" si="9">IF(G24&gt;0,IF((G23/G24*100)&gt;10,"ABVAR",""),"")</f>
        <v/>
      </c>
      <c r="H30" s="463" t="str">
        <f t="shared" si="9"/>
        <v/>
      </c>
      <c r="I30" s="463" t="str">
        <f>IF(I24&gt;0,IF((I23/I24*100)&gt;10,"ABVAR",""),"")</f>
        <v/>
      </c>
      <c r="J30" s="463" t="str">
        <f t="shared" si="9"/>
        <v>ABVAR</v>
      </c>
      <c r="K30" s="463" t="str">
        <f t="shared" si="9"/>
        <v/>
      </c>
      <c r="L30" s="463" t="str">
        <f t="shared" si="9"/>
        <v/>
      </c>
      <c r="M30" s="463" t="str">
        <f t="shared" si="9"/>
        <v>ABVAR</v>
      </c>
    </row>
    <row r="200" spans="53:66" x14ac:dyDescent="0.25">
      <c r="BA200" s="141" t="str">
        <f>A1</f>
        <v>Goa, , ADSI-2021</v>
      </c>
      <c r="BB200" s="141"/>
    </row>
    <row r="201" spans="53:66" x14ac:dyDescent="0.25">
      <c r="BA201" s="141" t="str">
        <f>A2</f>
        <v>Errors</v>
      </c>
      <c r="BB201" s="309">
        <f>C2</f>
        <v>0</v>
      </c>
      <c r="BD201" s="472" t="str">
        <f>E2</f>
        <v>Abnormal Variations/Re-check</v>
      </c>
      <c r="BE201" s="141">
        <f>F2</f>
        <v>9</v>
      </c>
    </row>
    <row r="202" spans="53:66" x14ac:dyDescent="0.25">
      <c r="BA202" s="141" t="str">
        <f>A3</f>
        <v>Proforma–VIII</v>
      </c>
      <c r="BB202" s="132"/>
      <c r="BC202" s="132"/>
      <c r="BD202" s="132"/>
      <c r="BE202" s="132"/>
      <c r="BF202" s="132"/>
      <c r="BG202" s="132"/>
      <c r="BH202" s="132"/>
      <c r="BI202" s="132"/>
      <c r="BJ202" s="132"/>
      <c r="BK202" s="132"/>
      <c r="BM202" s="132"/>
      <c r="BN202" s="132"/>
    </row>
    <row r="203" spans="53:66" x14ac:dyDescent="0.25">
      <c r="BA203" s="141" t="str">
        <f>A4</f>
        <v>Road Accidents Classified According to Place of Occurence</v>
      </c>
      <c r="BB203" s="132"/>
      <c r="BC203" s="132"/>
      <c r="BD203" s="132"/>
      <c r="BE203" s="132"/>
      <c r="BF203" s="132"/>
      <c r="BG203" s="132"/>
      <c r="BH203" s="132"/>
      <c r="BI203" s="132"/>
      <c r="BJ203" s="132"/>
      <c r="BM203" s="132"/>
      <c r="BN203" s="132"/>
    </row>
    <row r="204" spans="53:66" ht="15" customHeight="1" x14ac:dyDescent="0.25">
      <c r="BA204" s="602" t="str">
        <f>B5</f>
        <v>Sl. No.</v>
      </c>
      <c r="BB204" s="602" t="str">
        <f>C5</f>
        <v>Place of Occurence</v>
      </c>
      <c r="BC204" s="602" t="str">
        <f>D5</f>
        <v>No. of Cases</v>
      </c>
      <c r="BD204" s="602" t="str">
        <f>E5</f>
        <v>VALIDATION WITH NUMBER OF CASES</v>
      </c>
      <c r="BE204" s="619" t="str">
        <f>F5</f>
        <v>No. of Persons Injured</v>
      </c>
      <c r="BF204" s="620"/>
      <c r="BG204" s="620"/>
      <c r="BH204" s="621"/>
      <c r="BI204" s="619" t="str">
        <f>J5</f>
        <v>No. of Persons Died</v>
      </c>
      <c r="BJ204" s="620"/>
      <c r="BK204" s="620"/>
      <c r="BL204" s="621"/>
      <c r="BM204" s="132"/>
      <c r="BN204" s="132"/>
    </row>
    <row r="205" spans="53:66" ht="38.25" x14ac:dyDescent="0.25">
      <c r="BA205" s="604"/>
      <c r="BB205" s="604"/>
      <c r="BC205" s="604"/>
      <c r="BD205" s="603"/>
      <c r="BE205" s="152" t="str">
        <f t="shared" ref="BE205:BH206" si="10">F6</f>
        <v>Male</v>
      </c>
      <c r="BF205" s="152" t="str">
        <f t="shared" si="10"/>
        <v>Female</v>
      </c>
      <c r="BG205" s="152" t="str">
        <f t="shared" si="10"/>
        <v>Transgender</v>
      </c>
      <c r="BH205" s="152" t="str">
        <f t="shared" si="10"/>
        <v xml:space="preserve"> Total [sum of 
(4) to (6)]</v>
      </c>
      <c r="BI205" s="152" t="str">
        <f>J6</f>
        <v xml:space="preserve"> Male</v>
      </c>
      <c r="BJ205" s="152" t="str">
        <f t="shared" ref="BJ205:BL206" si="11">K6</f>
        <v xml:space="preserve"> Female</v>
      </c>
      <c r="BK205" s="152" t="str">
        <f t="shared" si="11"/>
        <v>Transgender</v>
      </c>
      <c r="BL205" s="152" t="str">
        <f t="shared" si="11"/>
        <v>Total 
[sum of (8) to (10)]</v>
      </c>
      <c r="BM205" s="132"/>
      <c r="BN205" s="132"/>
    </row>
    <row r="206" spans="53:66" x14ac:dyDescent="0.25">
      <c r="BA206" s="137" t="str">
        <f>B7</f>
        <v>(1)</v>
      </c>
      <c r="BB206" s="137" t="str">
        <f>C7</f>
        <v>(2)</v>
      </c>
      <c r="BC206" s="137" t="str">
        <f>D7</f>
        <v>(3)</v>
      </c>
      <c r="BD206" s="603"/>
      <c r="BE206" s="137" t="str">
        <f t="shared" si="10"/>
        <v>(4)</v>
      </c>
      <c r="BF206" s="137" t="str">
        <f t="shared" si="10"/>
        <v>(5)</v>
      </c>
      <c r="BG206" s="137" t="str">
        <f t="shared" si="10"/>
        <v>(6)</v>
      </c>
      <c r="BH206" s="137" t="str">
        <f t="shared" si="10"/>
        <v>(7)</v>
      </c>
      <c r="BI206" s="137" t="str">
        <f>J7</f>
        <v>(8)</v>
      </c>
      <c r="BJ206" s="137" t="str">
        <f t="shared" si="11"/>
        <v>(9)</v>
      </c>
      <c r="BK206" s="137" t="str">
        <f t="shared" si="11"/>
        <v>(10)</v>
      </c>
      <c r="BL206" s="137" t="str">
        <f t="shared" si="11"/>
        <v>(11)</v>
      </c>
      <c r="BM206" s="132"/>
      <c r="BN206" s="132"/>
    </row>
    <row r="207" spans="53:66" x14ac:dyDescent="0.25">
      <c r="BA207" s="703" t="str">
        <f>A8</f>
        <v>Rural Area</v>
      </c>
      <c r="BB207" s="703"/>
      <c r="BC207" s="703"/>
      <c r="BD207" s="604"/>
      <c r="BE207" s="702"/>
      <c r="BF207" s="702"/>
      <c r="BG207" s="702"/>
      <c r="BH207" s="702"/>
      <c r="BI207" s="702"/>
      <c r="BJ207" s="702"/>
      <c r="BK207" s="702"/>
      <c r="BL207" s="702"/>
      <c r="BM207" s="132"/>
      <c r="BN207" s="132"/>
    </row>
    <row r="208" spans="53:66" x14ac:dyDescent="0.25">
      <c r="BA208" s="138">
        <f t="shared" ref="BA208:BL214" si="12">B9</f>
        <v>1</v>
      </c>
      <c r="BB208" s="136" t="str">
        <f t="shared" si="12"/>
        <v>Near School/College/Educational institution</v>
      </c>
      <c r="BC208" s="136">
        <f t="shared" si="12"/>
        <v>73</v>
      </c>
      <c r="BD208" s="283" t="str">
        <f t="shared" si="12"/>
        <v/>
      </c>
      <c r="BE208" s="136">
        <f t="shared" si="12"/>
        <v>30</v>
      </c>
      <c r="BF208" s="136">
        <f t="shared" si="12"/>
        <v>4</v>
      </c>
      <c r="BG208" s="136">
        <f t="shared" si="12"/>
        <v>0</v>
      </c>
      <c r="BH208" s="136">
        <f t="shared" si="12"/>
        <v>34</v>
      </c>
      <c r="BI208" s="136">
        <f t="shared" si="12"/>
        <v>8</v>
      </c>
      <c r="BJ208" s="136">
        <f t="shared" si="12"/>
        <v>3</v>
      </c>
      <c r="BK208" s="136">
        <f t="shared" si="12"/>
        <v>0</v>
      </c>
      <c r="BL208" s="136">
        <f t="shared" si="12"/>
        <v>11</v>
      </c>
      <c r="BM208" s="132"/>
      <c r="BN208" s="132"/>
    </row>
    <row r="209" spans="53:66" x14ac:dyDescent="0.25">
      <c r="BA209" s="138">
        <f t="shared" si="12"/>
        <v>2</v>
      </c>
      <c r="BB209" s="136" t="str">
        <f t="shared" si="12"/>
        <v>Near Residential area</v>
      </c>
      <c r="BC209" s="136">
        <f t="shared" si="12"/>
        <v>1251</v>
      </c>
      <c r="BD209" s="283" t="str">
        <f t="shared" si="12"/>
        <v/>
      </c>
      <c r="BE209" s="136">
        <f t="shared" si="12"/>
        <v>278</v>
      </c>
      <c r="BF209" s="136">
        <f t="shared" si="12"/>
        <v>64</v>
      </c>
      <c r="BG209" s="136">
        <f t="shared" si="12"/>
        <v>0</v>
      </c>
      <c r="BH209" s="136">
        <f t="shared" si="12"/>
        <v>342</v>
      </c>
      <c r="BI209" s="136">
        <f t="shared" si="12"/>
        <v>89</v>
      </c>
      <c r="BJ209" s="136">
        <f t="shared" si="12"/>
        <v>14</v>
      </c>
      <c r="BK209" s="136">
        <f t="shared" si="12"/>
        <v>0</v>
      </c>
      <c r="BL209" s="136">
        <f t="shared" si="12"/>
        <v>103</v>
      </c>
      <c r="BM209" s="132"/>
      <c r="BN209" s="132"/>
    </row>
    <row r="210" spans="53:66" x14ac:dyDescent="0.25">
      <c r="BA210" s="138">
        <f t="shared" si="12"/>
        <v>3</v>
      </c>
      <c r="BB210" s="136" t="str">
        <f t="shared" si="12"/>
        <v>Near religious place</v>
      </c>
      <c r="BC210" s="136">
        <f t="shared" si="12"/>
        <v>143</v>
      </c>
      <c r="BD210" s="283" t="str">
        <f t="shared" si="12"/>
        <v/>
      </c>
      <c r="BE210" s="136">
        <f t="shared" si="12"/>
        <v>38</v>
      </c>
      <c r="BF210" s="136">
        <f t="shared" si="12"/>
        <v>7</v>
      </c>
      <c r="BG210" s="136">
        <f t="shared" si="12"/>
        <v>0</v>
      </c>
      <c r="BH210" s="136">
        <f t="shared" si="12"/>
        <v>45</v>
      </c>
      <c r="BI210" s="136">
        <f t="shared" si="12"/>
        <v>8</v>
      </c>
      <c r="BJ210" s="136">
        <f t="shared" si="12"/>
        <v>2</v>
      </c>
      <c r="BK210" s="136">
        <f t="shared" si="12"/>
        <v>0</v>
      </c>
      <c r="BL210" s="136">
        <f t="shared" si="12"/>
        <v>10</v>
      </c>
      <c r="BM210" s="132"/>
      <c r="BN210" s="132"/>
    </row>
    <row r="211" spans="53:66" x14ac:dyDescent="0.25">
      <c r="BA211" s="138">
        <f t="shared" si="12"/>
        <v>4</v>
      </c>
      <c r="BB211" s="136" t="str">
        <f t="shared" si="12"/>
        <v>Near recreation place/cinema hall</v>
      </c>
      <c r="BC211" s="136">
        <f t="shared" si="12"/>
        <v>45</v>
      </c>
      <c r="BD211" s="283" t="str">
        <f t="shared" si="12"/>
        <v/>
      </c>
      <c r="BE211" s="136">
        <f t="shared" si="12"/>
        <v>13</v>
      </c>
      <c r="BF211" s="136">
        <f t="shared" si="12"/>
        <v>2</v>
      </c>
      <c r="BG211" s="136">
        <f t="shared" si="12"/>
        <v>0</v>
      </c>
      <c r="BH211" s="136">
        <f t="shared" si="12"/>
        <v>15</v>
      </c>
      <c r="BI211" s="136">
        <f t="shared" si="12"/>
        <v>4</v>
      </c>
      <c r="BJ211" s="136">
        <f t="shared" si="12"/>
        <v>0</v>
      </c>
      <c r="BK211" s="136">
        <f t="shared" si="12"/>
        <v>0</v>
      </c>
      <c r="BL211" s="136">
        <f t="shared" si="12"/>
        <v>4</v>
      </c>
    </row>
    <row r="212" spans="53:66" x14ac:dyDescent="0.25">
      <c r="BA212" s="138">
        <f t="shared" si="12"/>
        <v>5</v>
      </c>
      <c r="BB212" s="136" t="str">
        <f t="shared" si="12"/>
        <v>Near Factory</v>
      </c>
      <c r="BC212" s="136">
        <f t="shared" si="12"/>
        <v>77</v>
      </c>
      <c r="BD212" s="283" t="str">
        <f t="shared" si="12"/>
        <v/>
      </c>
      <c r="BE212" s="136">
        <f t="shared" si="12"/>
        <v>9</v>
      </c>
      <c r="BF212" s="136">
        <f t="shared" si="12"/>
        <v>1</v>
      </c>
      <c r="BG212" s="136">
        <f t="shared" si="12"/>
        <v>0</v>
      </c>
      <c r="BH212" s="136">
        <f t="shared" si="12"/>
        <v>10</v>
      </c>
      <c r="BI212" s="136">
        <f t="shared" si="12"/>
        <v>10</v>
      </c>
      <c r="BJ212" s="136">
        <f t="shared" si="12"/>
        <v>0</v>
      </c>
      <c r="BK212" s="136">
        <f t="shared" si="12"/>
        <v>0</v>
      </c>
      <c r="BL212" s="136">
        <f t="shared" si="12"/>
        <v>10</v>
      </c>
    </row>
    <row r="213" spans="53:66" x14ac:dyDescent="0.25">
      <c r="BA213" s="138">
        <f t="shared" si="12"/>
        <v>6</v>
      </c>
      <c r="BB213" s="136" t="str">
        <f t="shared" si="12"/>
        <v>Other Rural Area</v>
      </c>
      <c r="BC213" s="136">
        <f t="shared" si="12"/>
        <v>462</v>
      </c>
      <c r="BD213" s="283" t="str">
        <f t="shared" si="12"/>
        <v/>
      </c>
      <c r="BE213" s="136">
        <f t="shared" si="12"/>
        <v>78</v>
      </c>
      <c r="BF213" s="136">
        <f t="shared" si="12"/>
        <v>20</v>
      </c>
      <c r="BG213" s="136">
        <f t="shared" si="12"/>
        <v>0</v>
      </c>
      <c r="BH213" s="136">
        <f t="shared" si="12"/>
        <v>98</v>
      </c>
      <c r="BI213" s="136">
        <f t="shared" si="12"/>
        <v>38</v>
      </c>
      <c r="BJ213" s="136">
        <f t="shared" si="12"/>
        <v>4</v>
      </c>
      <c r="BK213" s="136">
        <f t="shared" si="12"/>
        <v>0</v>
      </c>
      <c r="BL213" s="136">
        <f t="shared" si="12"/>
        <v>42</v>
      </c>
    </row>
    <row r="214" spans="53:66" x14ac:dyDescent="0.25">
      <c r="BA214" s="138">
        <f t="shared" si="12"/>
        <v>7</v>
      </c>
      <c r="BB214" s="136" t="str">
        <f t="shared" si="12"/>
        <v>Sub-Total (Rural) (sum of Sl. 1 to 6)</v>
      </c>
      <c r="BC214" s="136">
        <f t="shared" si="12"/>
        <v>2051</v>
      </c>
      <c r="BD214" s="283" t="str">
        <f t="shared" si="12"/>
        <v/>
      </c>
      <c r="BE214" s="136">
        <f t="shared" si="12"/>
        <v>446</v>
      </c>
      <c r="BF214" s="136">
        <f t="shared" si="12"/>
        <v>98</v>
      </c>
      <c r="BG214" s="136">
        <f t="shared" si="12"/>
        <v>0</v>
      </c>
      <c r="BH214" s="136">
        <f t="shared" si="12"/>
        <v>544</v>
      </c>
      <c r="BI214" s="136">
        <f t="shared" si="12"/>
        <v>157</v>
      </c>
      <c r="BJ214" s="136">
        <f t="shared" si="12"/>
        <v>23</v>
      </c>
      <c r="BK214" s="136">
        <f t="shared" si="12"/>
        <v>0</v>
      </c>
      <c r="BL214" s="136">
        <f t="shared" si="12"/>
        <v>180</v>
      </c>
    </row>
    <row r="215" spans="53:66" x14ac:dyDescent="0.25">
      <c r="BA215" s="703" t="str">
        <f>A16</f>
        <v>Urban Area</v>
      </c>
      <c r="BB215" s="703"/>
      <c r="BC215" s="703"/>
      <c r="BD215" s="283"/>
      <c r="BE215" s="702"/>
      <c r="BF215" s="702"/>
      <c r="BG215" s="702"/>
      <c r="BH215" s="702"/>
      <c r="BI215" s="702"/>
      <c r="BJ215" s="702"/>
      <c r="BK215" s="702"/>
      <c r="BL215" s="702"/>
    </row>
    <row r="216" spans="53:66" x14ac:dyDescent="0.25">
      <c r="BA216" s="138">
        <f t="shared" ref="BA216:BA224" si="13">B17</f>
        <v>8</v>
      </c>
      <c r="BB216" s="136" t="str">
        <f t="shared" ref="BB216:BB224" si="14">C17</f>
        <v>Near School/College/Educational institution</v>
      </c>
      <c r="BC216" s="136">
        <f t="shared" ref="BC216:BC224" si="15">D17</f>
        <v>39</v>
      </c>
      <c r="BD216" s="283" t="str">
        <f t="shared" ref="BD216:BD224" si="16">E17</f>
        <v/>
      </c>
      <c r="BE216" s="136">
        <f t="shared" ref="BE216:BE224" si="17">F17</f>
        <v>15</v>
      </c>
      <c r="BF216" s="136">
        <f t="shared" ref="BF216:BF224" si="18">G17</f>
        <v>6</v>
      </c>
      <c r="BG216" s="136">
        <f t="shared" ref="BG216:BG224" si="19">H17</f>
        <v>0</v>
      </c>
      <c r="BH216" s="136">
        <f t="shared" ref="BH216:BH224" si="20">I17</f>
        <v>21</v>
      </c>
      <c r="BI216" s="136">
        <f t="shared" ref="BI216:BI224" si="21">J17</f>
        <v>0</v>
      </c>
      <c r="BJ216" s="136">
        <f t="shared" ref="BJ216:BJ224" si="22">K17</f>
        <v>1</v>
      </c>
      <c r="BK216" s="136">
        <f t="shared" ref="BK216:BK224" si="23">L17</f>
        <v>0</v>
      </c>
      <c r="BL216" s="136">
        <f t="shared" ref="BL216:BL224" si="24">M17</f>
        <v>1</v>
      </c>
    </row>
    <row r="217" spans="53:66" x14ac:dyDescent="0.25">
      <c r="BA217" s="138">
        <f t="shared" si="13"/>
        <v>9</v>
      </c>
      <c r="BB217" s="136" t="str">
        <f t="shared" si="14"/>
        <v>Near Residential area</v>
      </c>
      <c r="BC217" s="136">
        <f t="shared" si="15"/>
        <v>527</v>
      </c>
      <c r="BD217" s="283" t="str">
        <f t="shared" si="16"/>
        <v/>
      </c>
      <c r="BE217" s="136">
        <f t="shared" si="17"/>
        <v>150</v>
      </c>
      <c r="BF217" s="136">
        <f t="shared" si="18"/>
        <v>32</v>
      </c>
      <c r="BG217" s="136">
        <f t="shared" si="19"/>
        <v>0</v>
      </c>
      <c r="BH217" s="136">
        <f t="shared" si="20"/>
        <v>182</v>
      </c>
      <c r="BI217" s="136">
        <f t="shared" si="21"/>
        <v>19</v>
      </c>
      <c r="BJ217" s="136">
        <f t="shared" si="22"/>
        <v>6</v>
      </c>
      <c r="BK217" s="136">
        <f t="shared" si="23"/>
        <v>0</v>
      </c>
      <c r="BL217" s="136">
        <f t="shared" si="24"/>
        <v>25</v>
      </c>
    </row>
    <row r="218" spans="53:66" x14ac:dyDescent="0.25">
      <c r="BA218" s="138">
        <f t="shared" si="13"/>
        <v>10</v>
      </c>
      <c r="BB218" s="136" t="str">
        <f t="shared" si="14"/>
        <v>Near religious place</v>
      </c>
      <c r="BC218" s="136">
        <f t="shared" si="15"/>
        <v>52</v>
      </c>
      <c r="BD218" s="283" t="str">
        <f t="shared" si="16"/>
        <v/>
      </c>
      <c r="BE218" s="136">
        <f t="shared" si="17"/>
        <v>14</v>
      </c>
      <c r="BF218" s="136">
        <f t="shared" si="18"/>
        <v>4</v>
      </c>
      <c r="BG218" s="136">
        <f t="shared" si="19"/>
        <v>0</v>
      </c>
      <c r="BH218" s="136">
        <f t="shared" si="20"/>
        <v>18</v>
      </c>
      <c r="BI218" s="136">
        <f t="shared" si="21"/>
        <v>5</v>
      </c>
      <c r="BJ218" s="136">
        <f t="shared" si="22"/>
        <v>1</v>
      </c>
      <c r="BK218" s="136">
        <f t="shared" si="23"/>
        <v>0</v>
      </c>
      <c r="BL218" s="136">
        <f t="shared" si="24"/>
        <v>6</v>
      </c>
    </row>
    <row r="219" spans="53:66" x14ac:dyDescent="0.25">
      <c r="BA219" s="138">
        <f t="shared" si="13"/>
        <v>11</v>
      </c>
      <c r="BB219" s="136" t="str">
        <f t="shared" si="14"/>
        <v>Near recreation place/cinema hall</v>
      </c>
      <c r="BC219" s="136">
        <f t="shared" si="15"/>
        <v>69</v>
      </c>
      <c r="BD219" s="283" t="str">
        <f t="shared" si="16"/>
        <v/>
      </c>
      <c r="BE219" s="136">
        <f t="shared" si="17"/>
        <v>37</v>
      </c>
      <c r="BF219" s="136">
        <f t="shared" si="18"/>
        <v>7</v>
      </c>
      <c r="BG219" s="136">
        <f t="shared" si="19"/>
        <v>0</v>
      </c>
      <c r="BH219" s="136">
        <f t="shared" si="20"/>
        <v>44</v>
      </c>
      <c r="BI219" s="136">
        <f t="shared" si="21"/>
        <v>2</v>
      </c>
      <c r="BJ219" s="136">
        <f t="shared" si="22"/>
        <v>0</v>
      </c>
      <c r="BK219" s="136">
        <f t="shared" si="23"/>
        <v>0</v>
      </c>
      <c r="BL219" s="136">
        <f t="shared" si="24"/>
        <v>2</v>
      </c>
    </row>
    <row r="220" spans="53:66" x14ac:dyDescent="0.25">
      <c r="BA220" s="138">
        <f t="shared" si="13"/>
        <v>12</v>
      </c>
      <c r="BB220" s="136" t="str">
        <f t="shared" si="14"/>
        <v>Near Factory/Industrial area</v>
      </c>
      <c r="BC220" s="136">
        <f t="shared" si="15"/>
        <v>41</v>
      </c>
      <c r="BD220" s="283" t="str">
        <f t="shared" si="16"/>
        <v/>
      </c>
      <c r="BE220" s="136">
        <f t="shared" si="17"/>
        <v>20</v>
      </c>
      <c r="BF220" s="136">
        <f t="shared" si="18"/>
        <v>9</v>
      </c>
      <c r="BG220" s="136">
        <f t="shared" si="19"/>
        <v>0</v>
      </c>
      <c r="BH220" s="136">
        <f t="shared" si="20"/>
        <v>29</v>
      </c>
      <c r="BI220" s="136">
        <f t="shared" si="21"/>
        <v>6</v>
      </c>
      <c r="BJ220" s="136">
        <f t="shared" si="22"/>
        <v>1</v>
      </c>
      <c r="BK220" s="136">
        <f t="shared" si="23"/>
        <v>0</v>
      </c>
      <c r="BL220" s="136">
        <f t="shared" si="24"/>
        <v>7</v>
      </c>
    </row>
    <row r="221" spans="53:66" x14ac:dyDescent="0.25">
      <c r="BA221" s="138">
        <f t="shared" si="13"/>
        <v>13</v>
      </c>
      <c r="BB221" s="136" t="str">
        <f t="shared" si="14"/>
        <v>At Pedestrian crossing</v>
      </c>
      <c r="BC221" s="136">
        <f t="shared" si="15"/>
        <v>5</v>
      </c>
      <c r="BD221" s="283" t="str">
        <f t="shared" si="16"/>
        <v/>
      </c>
      <c r="BE221" s="136">
        <f t="shared" si="17"/>
        <v>0</v>
      </c>
      <c r="BF221" s="136">
        <f t="shared" si="18"/>
        <v>0</v>
      </c>
      <c r="BG221" s="136">
        <f t="shared" si="19"/>
        <v>0</v>
      </c>
      <c r="BH221" s="136">
        <f t="shared" si="20"/>
        <v>0</v>
      </c>
      <c r="BI221" s="136">
        <f t="shared" si="21"/>
        <v>0</v>
      </c>
      <c r="BJ221" s="136">
        <f t="shared" si="22"/>
        <v>0</v>
      </c>
      <c r="BK221" s="136">
        <f t="shared" si="23"/>
        <v>0</v>
      </c>
      <c r="BL221" s="136">
        <f t="shared" si="24"/>
        <v>0</v>
      </c>
    </row>
    <row r="222" spans="53:66" x14ac:dyDescent="0.25">
      <c r="BA222" s="138">
        <f t="shared" si="13"/>
        <v>14</v>
      </c>
      <c r="BB222" s="136" t="str">
        <f t="shared" si="14"/>
        <v>Other Urban Area</v>
      </c>
      <c r="BC222" s="136">
        <f t="shared" si="15"/>
        <v>66</v>
      </c>
      <c r="BD222" s="283" t="str">
        <f t="shared" si="16"/>
        <v/>
      </c>
      <c r="BE222" s="136">
        <f t="shared" si="17"/>
        <v>14</v>
      </c>
      <c r="BF222" s="136">
        <f t="shared" si="18"/>
        <v>4</v>
      </c>
      <c r="BG222" s="136">
        <f t="shared" si="19"/>
        <v>0</v>
      </c>
      <c r="BH222" s="136">
        <f t="shared" si="20"/>
        <v>18</v>
      </c>
      <c r="BI222" s="136">
        <f t="shared" si="21"/>
        <v>4</v>
      </c>
      <c r="BJ222" s="136">
        <f t="shared" si="22"/>
        <v>1</v>
      </c>
      <c r="BK222" s="136">
        <f t="shared" si="23"/>
        <v>0</v>
      </c>
      <c r="BL222" s="136">
        <f t="shared" si="24"/>
        <v>5</v>
      </c>
    </row>
    <row r="223" spans="53:66" x14ac:dyDescent="0.25">
      <c r="BA223" s="138">
        <f t="shared" si="13"/>
        <v>15</v>
      </c>
      <c r="BB223" s="136" t="str">
        <f t="shared" si="14"/>
        <v>Sub-Total (Urban) (sum of Sl. 8 to 14)</v>
      </c>
      <c r="BC223" s="136">
        <f t="shared" si="15"/>
        <v>799</v>
      </c>
      <c r="BD223" s="283" t="str">
        <f t="shared" si="16"/>
        <v/>
      </c>
      <c r="BE223" s="136">
        <f t="shared" si="17"/>
        <v>250</v>
      </c>
      <c r="BF223" s="136">
        <f t="shared" si="18"/>
        <v>62</v>
      </c>
      <c r="BG223" s="136">
        <f t="shared" si="19"/>
        <v>0</v>
      </c>
      <c r="BH223" s="136">
        <f t="shared" si="20"/>
        <v>312</v>
      </c>
      <c r="BI223" s="136">
        <f t="shared" si="21"/>
        <v>36</v>
      </c>
      <c r="BJ223" s="136">
        <f t="shared" si="22"/>
        <v>10</v>
      </c>
      <c r="BK223" s="136">
        <f t="shared" si="23"/>
        <v>0</v>
      </c>
      <c r="BL223" s="136">
        <f t="shared" si="24"/>
        <v>46</v>
      </c>
    </row>
    <row r="224" spans="53:66" x14ac:dyDescent="0.25">
      <c r="BA224" s="138">
        <f t="shared" si="13"/>
        <v>16</v>
      </c>
      <c r="BB224" s="136" t="str">
        <f t="shared" si="14"/>
        <v>Grand Total (sum of Sl. 7 &amp; 15)</v>
      </c>
      <c r="BC224" s="136">
        <f t="shared" si="15"/>
        <v>2850</v>
      </c>
      <c r="BD224" s="283" t="str">
        <f t="shared" si="16"/>
        <v/>
      </c>
      <c r="BE224" s="136">
        <f t="shared" si="17"/>
        <v>696</v>
      </c>
      <c r="BF224" s="136">
        <f t="shared" si="18"/>
        <v>160</v>
      </c>
      <c r="BG224" s="136">
        <f t="shared" si="19"/>
        <v>0</v>
      </c>
      <c r="BH224" s="136">
        <f t="shared" si="20"/>
        <v>856</v>
      </c>
      <c r="BI224" s="136">
        <f t="shared" si="21"/>
        <v>193</v>
      </c>
      <c r="BJ224" s="136">
        <f t="shared" si="22"/>
        <v>33</v>
      </c>
      <c r="BK224" s="136">
        <f t="shared" si="23"/>
        <v>0</v>
      </c>
      <c r="BL224" s="136">
        <f t="shared" si="24"/>
        <v>226</v>
      </c>
    </row>
    <row r="225" spans="53:65" ht="27" customHeight="1" x14ac:dyDescent="0.25">
      <c r="BA225" s="678" t="str">
        <f>A26</f>
        <v>PROFORMA–II VALUES [Sl.– 12.1 (Road Accidents Total)]</v>
      </c>
      <c r="BB225" s="679"/>
      <c r="BC225" s="136">
        <f>D26</f>
        <v>2850</v>
      </c>
      <c r="BD225" s="136"/>
      <c r="BE225" s="136">
        <f t="shared" ref="BE225:BL227" si="25">F26</f>
        <v>696</v>
      </c>
      <c r="BF225" s="136">
        <f t="shared" si="25"/>
        <v>160</v>
      </c>
      <c r="BG225" s="136">
        <f t="shared" si="25"/>
        <v>0</v>
      </c>
      <c r="BH225" s="136">
        <f t="shared" si="25"/>
        <v>856</v>
      </c>
      <c r="BI225" s="136">
        <f t="shared" si="25"/>
        <v>193</v>
      </c>
      <c r="BJ225" s="136">
        <f t="shared" si="25"/>
        <v>33</v>
      </c>
      <c r="BK225" s="136">
        <f t="shared" si="25"/>
        <v>0</v>
      </c>
      <c r="BL225" s="136">
        <f t="shared" si="25"/>
        <v>226</v>
      </c>
    </row>
    <row r="226" spans="53:65" ht="27.75" customHeight="1" x14ac:dyDescent="0.25">
      <c r="BA226" s="678" t="str">
        <f>A27</f>
        <v>VALIDATION  WITH PROFORMA–II [Sl.– 12.1 (Road Accidents Total)]</v>
      </c>
      <c r="BB226" s="679"/>
      <c r="BC226" s="136" t="str">
        <f>D27</f>
        <v/>
      </c>
      <c r="BD226" s="136"/>
      <c r="BE226" s="136" t="str">
        <f t="shared" si="25"/>
        <v/>
      </c>
      <c r="BF226" s="136" t="str">
        <f t="shared" si="25"/>
        <v/>
      </c>
      <c r="BG226" s="136" t="str">
        <f t="shared" si="25"/>
        <v/>
      </c>
      <c r="BH226" s="136" t="str">
        <f t="shared" si="25"/>
        <v/>
      </c>
      <c r="BI226" s="136" t="str">
        <f t="shared" si="25"/>
        <v/>
      </c>
      <c r="BJ226" s="136" t="str">
        <f t="shared" si="25"/>
        <v/>
      </c>
      <c r="BK226" s="136" t="str">
        <f t="shared" si="25"/>
        <v/>
      </c>
      <c r="BL226" s="136" t="str">
        <f t="shared" si="25"/>
        <v/>
      </c>
    </row>
    <row r="227" spans="53:65" ht="24.95" customHeight="1" x14ac:dyDescent="0.25">
      <c r="BA227" s="618" t="str">
        <f>A28</f>
        <v>SL-6 ABNORMAL VARIATION IN "OTHER RURAL AREA" DATA</v>
      </c>
      <c r="BB227" s="618"/>
      <c r="BC227" s="310" t="str">
        <f>D28</f>
        <v>ABVAR</v>
      </c>
      <c r="BD227" s="310"/>
      <c r="BE227" s="310" t="str">
        <f t="shared" si="25"/>
        <v>ABVAR</v>
      </c>
      <c r="BF227" s="310" t="str">
        <f t="shared" si="25"/>
        <v>ABVAR</v>
      </c>
      <c r="BG227" s="310" t="str">
        <f t="shared" si="25"/>
        <v/>
      </c>
      <c r="BH227" s="310" t="str">
        <f t="shared" si="25"/>
        <v>ABVAR</v>
      </c>
      <c r="BI227" s="310" t="str">
        <f t="shared" si="25"/>
        <v>ABVAR</v>
      </c>
      <c r="BJ227" s="310" t="str">
        <f t="shared" si="25"/>
        <v>ABVAR</v>
      </c>
      <c r="BK227" s="310" t="str">
        <f t="shared" si="25"/>
        <v/>
      </c>
      <c r="BL227" s="310" t="str">
        <f t="shared" si="25"/>
        <v>ABVAR</v>
      </c>
      <c r="BM227" s="132"/>
    </row>
    <row r="228" spans="53:65" ht="36" customHeight="1" x14ac:dyDescent="0.25">
      <c r="BA228" s="618" t="str">
        <f>A29</f>
        <v>SL-13 ABNORMAL VARIATION IN "PEDESTRIAN CROSSING" DATA WITH PROFORMA-VI "PEDESTRIAN" DATA</v>
      </c>
      <c r="BB228" s="618"/>
      <c r="BC228" s="310"/>
      <c r="BD228" s="310"/>
      <c r="BE228" s="310"/>
      <c r="BF228" s="310"/>
      <c r="BG228" s="310"/>
      <c r="BH228" s="310" t="e">
        <f t="shared" ref="BH228" si="26">I29</f>
        <v>#REF!</v>
      </c>
      <c r="BI228" s="310"/>
      <c r="BJ228" s="310"/>
      <c r="BK228" s="310"/>
      <c r="BL228" s="310" t="e">
        <f t="shared" ref="BL228" si="27">M29</f>
        <v>#REF!</v>
      </c>
      <c r="BM228" s="132"/>
    </row>
    <row r="229" spans="53:65" ht="24.95" customHeight="1" x14ac:dyDescent="0.25">
      <c r="BA229" s="618" t="str">
        <f>A30</f>
        <v>SL-14 ABNORMAL VARIATION IN "OTHER URBAN AREA" DATA</v>
      </c>
      <c r="BB229" s="618"/>
      <c r="BC229" s="310" t="str">
        <f>D30</f>
        <v/>
      </c>
      <c r="BD229" s="310"/>
      <c r="BE229" s="310" t="str">
        <f t="shared" ref="BE229:BL229" si="28">F30</f>
        <v/>
      </c>
      <c r="BF229" s="310" t="str">
        <f t="shared" si="28"/>
        <v/>
      </c>
      <c r="BG229" s="310" t="str">
        <f t="shared" si="28"/>
        <v/>
      </c>
      <c r="BH229" s="310" t="str">
        <f t="shared" si="28"/>
        <v/>
      </c>
      <c r="BI229" s="310" t="str">
        <f t="shared" si="28"/>
        <v>ABVAR</v>
      </c>
      <c r="BJ229" s="310" t="str">
        <f t="shared" si="28"/>
        <v/>
      </c>
      <c r="BK229" s="310" t="str">
        <f t="shared" si="28"/>
        <v/>
      </c>
      <c r="BL229" s="310" t="str">
        <f t="shared" si="28"/>
        <v>ABVAR</v>
      </c>
      <c r="BM229" s="132"/>
    </row>
    <row r="230" spans="53:65" x14ac:dyDescent="0.25">
      <c r="BA230" s="132"/>
      <c r="BB230" s="132"/>
      <c r="BC230" s="132"/>
      <c r="BD230" s="132"/>
      <c r="BE230" s="132"/>
      <c r="BF230" s="132"/>
      <c r="BG230" s="132"/>
      <c r="BH230" s="132"/>
      <c r="BI230" s="132"/>
      <c r="BJ230" s="132"/>
      <c r="BK230" s="132"/>
      <c r="BL230" s="132"/>
      <c r="BM230" s="132"/>
    </row>
    <row r="500" spans="1:13" s="352" customFormat="1" x14ac:dyDescent="0.25">
      <c r="A500" s="193" t="s">
        <v>450</v>
      </c>
      <c r="B500" s="193" t="s">
        <v>451</v>
      </c>
      <c r="C500" s="193" t="s">
        <v>452</v>
      </c>
      <c r="D500" s="193" t="s">
        <v>453</v>
      </c>
      <c r="E500" s="193" t="s">
        <v>472</v>
      </c>
      <c r="F500" s="193" t="s">
        <v>473</v>
      </c>
      <c r="G500" s="193" t="s">
        <v>474</v>
      </c>
      <c r="H500" s="193" t="s">
        <v>475</v>
      </c>
      <c r="I500" s="193" t="s">
        <v>476</v>
      </c>
      <c r="J500" s="193" t="s">
        <v>477</v>
      </c>
      <c r="K500" s="193" t="s">
        <v>478</v>
      </c>
      <c r="L500" s="193" t="s">
        <v>479</v>
      </c>
      <c r="M500" s="193" t="s">
        <v>480</v>
      </c>
    </row>
    <row r="501" spans="1:13" s="352" customFormat="1" ht="12.75" x14ac:dyDescent="0.2">
      <c r="A501" s="348">
        <f>IF(ADSI!$G$12="",ADSI!$H$16,ADSI!$H$12)</f>
        <v>6</v>
      </c>
      <c r="B501" s="348" t="str">
        <f ca="1">IF(ADSI!$G$12="",ADSI!$H$16,ADSI!$H$14)</f>
        <v/>
      </c>
      <c r="C501" s="395">
        <f>A9</f>
        <v>500</v>
      </c>
      <c r="D501" s="348">
        <f>ADSI!$K$12</f>
        <v>2021</v>
      </c>
      <c r="E501" s="360">
        <f>D9</f>
        <v>73</v>
      </c>
      <c r="F501" s="360">
        <f>F9</f>
        <v>30</v>
      </c>
      <c r="G501" s="360">
        <f t="shared" ref="G501:M501" si="29">G9</f>
        <v>4</v>
      </c>
      <c r="H501" s="360">
        <f t="shared" si="29"/>
        <v>0</v>
      </c>
      <c r="I501" s="360">
        <f t="shared" si="29"/>
        <v>34</v>
      </c>
      <c r="J501" s="360">
        <f t="shared" si="29"/>
        <v>8</v>
      </c>
      <c r="K501" s="360">
        <f t="shared" si="29"/>
        <v>3</v>
      </c>
      <c r="L501" s="360">
        <f t="shared" si="29"/>
        <v>0</v>
      </c>
      <c r="M501" s="360">
        <f t="shared" si="29"/>
        <v>11</v>
      </c>
    </row>
    <row r="502" spans="1:13" s="352" customFormat="1" ht="12.75" x14ac:dyDescent="0.2">
      <c r="A502" s="348">
        <f>IF(ADSI!$G$12="",ADSI!$H$16,ADSI!$H$12)</f>
        <v>6</v>
      </c>
      <c r="B502" s="348" t="str">
        <f ca="1">IF(ADSI!$G$12="",ADSI!$H$16,ADSI!$H$14)</f>
        <v/>
      </c>
      <c r="C502" s="395">
        <f t="shared" ref="C502:C507" si="30">A10</f>
        <v>501</v>
      </c>
      <c r="D502" s="348">
        <f>ADSI!$K$12</f>
        <v>2021</v>
      </c>
      <c r="E502" s="360">
        <f t="shared" ref="E502:E507" si="31">D10</f>
        <v>1251</v>
      </c>
      <c r="F502" s="360">
        <f t="shared" ref="F502:M502" si="32">F10</f>
        <v>278</v>
      </c>
      <c r="G502" s="360">
        <f t="shared" si="32"/>
        <v>64</v>
      </c>
      <c r="H502" s="360">
        <f t="shared" si="32"/>
        <v>0</v>
      </c>
      <c r="I502" s="360">
        <f t="shared" si="32"/>
        <v>342</v>
      </c>
      <c r="J502" s="360">
        <f t="shared" si="32"/>
        <v>89</v>
      </c>
      <c r="K502" s="360">
        <f t="shared" si="32"/>
        <v>14</v>
      </c>
      <c r="L502" s="360">
        <f t="shared" si="32"/>
        <v>0</v>
      </c>
      <c r="M502" s="360">
        <f t="shared" si="32"/>
        <v>103</v>
      </c>
    </row>
    <row r="503" spans="1:13" s="352" customFormat="1" ht="12.75" x14ac:dyDescent="0.2">
      <c r="A503" s="348">
        <f>IF(ADSI!$G$12="",ADSI!$H$16,ADSI!$H$12)</f>
        <v>6</v>
      </c>
      <c r="B503" s="348" t="str">
        <f ca="1">IF(ADSI!$G$12="",ADSI!$H$16,ADSI!$H$14)</f>
        <v/>
      </c>
      <c r="C503" s="395">
        <f t="shared" si="30"/>
        <v>502</v>
      </c>
      <c r="D503" s="348">
        <f>ADSI!$K$12</f>
        <v>2021</v>
      </c>
      <c r="E503" s="360">
        <f t="shared" si="31"/>
        <v>143</v>
      </c>
      <c r="F503" s="360">
        <f t="shared" ref="F503:M503" si="33">F11</f>
        <v>38</v>
      </c>
      <c r="G503" s="360">
        <f t="shared" si="33"/>
        <v>7</v>
      </c>
      <c r="H503" s="360">
        <f t="shared" si="33"/>
        <v>0</v>
      </c>
      <c r="I503" s="360">
        <f t="shared" si="33"/>
        <v>45</v>
      </c>
      <c r="J503" s="360">
        <f t="shared" si="33"/>
        <v>8</v>
      </c>
      <c r="K503" s="360">
        <f t="shared" si="33"/>
        <v>2</v>
      </c>
      <c r="L503" s="360">
        <f t="shared" si="33"/>
        <v>0</v>
      </c>
      <c r="M503" s="360">
        <f t="shared" si="33"/>
        <v>10</v>
      </c>
    </row>
    <row r="504" spans="1:13" s="352" customFormat="1" ht="12.75" x14ac:dyDescent="0.2">
      <c r="A504" s="348">
        <f>IF(ADSI!$G$12="",ADSI!$H$16,ADSI!$H$12)</f>
        <v>6</v>
      </c>
      <c r="B504" s="348" t="str">
        <f ca="1">IF(ADSI!$G$12="",ADSI!$H$16,ADSI!$H$14)</f>
        <v/>
      </c>
      <c r="C504" s="395">
        <f t="shared" si="30"/>
        <v>503</v>
      </c>
      <c r="D504" s="348">
        <f>ADSI!$K$12</f>
        <v>2021</v>
      </c>
      <c r="E504" s="360">
        <f t="shared" si="31"/>
        <v>45</v>
      </c>
      <c r="F504" s="360">
        <f t="shared" ref="F504:M504" si="34">F12</f>
        <v>13</v>
      </c>
      <c r="G504" s="360">
        <f t="shared" si="34"/>
        <v>2</v>
      </c>
      <c r="H504" s="360">
        <f t="shared" si="34"/>
        <v>0</v>
      </c>
      <c r="I504" s="360">
        <f t="shared" si="34"/>
        <v>15</v>
      </c>
      <c r="J504" s="360">
        <f t="shared" si="34"/>
        <v>4</v>
      </c>
      <c r="K504" s="360">
        <f t="shared" si="34"/>
        <v>0</v>
      </c>
      <c r="L504" s="360">
        <f t="shared" si="34"/>
        <v>0</v>
      </c>
      <c r="M504" s="360">
        <f t="shared" si="34"/>
        <v>4</v>
      </c>
    </row>
    <row r="505" spans="1:13" s="352" customFormat="1" ht="12.75" x14ac:dyDescent="0.2">
      <c r="A505" s="348">
        <f>IF(ADSI!$G$12="",ADSI!$H$16,ADSI!$H$12)</f>
        <v>6</v>
      </c>
      <c r="B505" s="348" t="str">
        <f ca="1">IF(ADSI!$G$12="",ADSI!$H$16,ADSI!$H$14)</f>
        <v/>
      </c>
      <c r="C505" s="395">
        <f t="shared" si="30"/>
        <v>504</v>
      </c>
      <c r="D505" s="348">
        <f>ADSI!$K$12</f>
        <v>2021</v>
      </c>
      <c r="E505" s="360">
        <f t="shared" si="31"/>
        <v>77</v>
      </c>
      <c r="F505" s="360">
        <f t="shared" ref="F505:M505" si="35">F13</f>
        <v>9</v>
      </c>
      <c r="G505" s="360">
        <f t="shared" si="35"/>
        <v>1</v>
      </c>
      <c r="H505" s="360">
        <f t="shared" si="35"/>
        <v>0</v>
      </c>
      <c r="I505" s="360">
        <f t="shared" si="35"/>
        <v>10</v>
      </c>
      <c r="J505" s="360">
        <f t="shared" si="35"/>
        <v>10</v>
      </c>
      <c r="K505" s="360">
        <f t="shared" si="35"/>
        <v>0</v>
      </c>
      <c r="L505" s="360">
        <f t="shared" si="35"/>
        <v>0</v>
      </c>
      <c r="M505" s="360">
        <f t="shared" si="35"/>
        <v>10</v>
      </c>
    </row>
    <row r="506" spans="1:13" s="352" customFormat="1" ht="12.75" x14ac:dyDescent="0.2">
      <c r="A506" s="348">
        <f>IF(ADSI!$G$12="",ADSI!$H$16,ADSI!$H$12)</f>
        <v>6</v>
      </c>
      <c r="B506" s="348" t="str">
        <f ca="1">IF(ADSI!$G$12="",ADSI!$H$16,ADSI!$H$14)</f>
        <v/>
      </c>
      <c r="C506" s="395">
        <f t="shared" si="30"/>
        <v>505</v>
      </c>
      <c r="D506" s="348">
        <f>ADSI!$K$12</f>
        <v>2021</v>
      </c>
      <c r="E506" s="360">
        <f t="shared" si="31"/>
        <v>462</v>
      </c>
      <c r="F506" s="360">
        <f t="shared" ref="F506:M506" si="36">F14</f>
        <v>78</v>
      </c>
      <c r="G506" s="360">
        <f t="shared" si="36"/>
        <v>20</v>
      </c>
      <c r="H506" s="360">
        <f t="shared" si="36"/>
        <v>0</v>
      </c>
      <c r="I506" s="360">
        <f t="shared" si="36"/>
        <v>98</v>
      </c>
      <c r="J506" s="360">
        <f t="shared" si="36"/>
        <v>38</v>
      </c>
      <c r="K506" s="360">
        <f t="shared" si="36"/>
        <v>4</v>
      </c>
      <c r="L506" s="360">
        <f t="shared" si="36"/>
        <v>0</v>
      </c>
      <c r="M506" s="360">
        <f t="shared" si="36"/>
        <v>42</v>
      </c>
    </row>
    <row r="507" spans="1:13" s="352" customFormat="1" ht="12.75" x14ac:dyDescent="0.2">
      <c r="A507" s="348">
        <f>IF(ADSI!$G$12="",ADSI!$H$16,ADSI!$H$12)</f>
        <v>6</v>
      </c>
      <c r="B507" s="348" t="str">
        <f ca="1">IF(ADSI!$G$12="",ADSI!$H$16,ADSI!$H$14)</f>
        <v/>
      </c>
      <c r="C507" s="395">
        <f t="shared" si="30"/>
        <v>515</v>
      </c>
      <c r="D507" s="348">
        <f>ADSI!$K$12</f>
        <v>2021</v>
      </c>
      <c r="E507" s="360">
        <f t="shared" si="31"/>
        <v>2051</v>
      </c>
      <c r="F507" s="360">
        <f t="shared" ref="F507:M507" si="37">F15</f>
        <v>446</v>
      </c>
      <c r="G507" s="360">
        <f t="shared" si="37"/>
        <v>98</v>
      </c>
      <c r="H507" s="360">
        <f t="shared" si="37"/>
        <v>0</v>
      </c>
      <c r="I507" s="360">
        <f t="shared" si="37"/>
        <v>544</v>
      </c>
      <c r="J507" s="360">
        <f t="shared" si="37"/>
        <v>157</v>
      </c>
      <c r="K507" s="360">
        <f t="shared" si="37"/>
        <v>23</v>
      </c>
      <c r="L507" s="360">
        <f t="shared" si="37"/>
        <v>0</v>
      </c>
      <c r="M507" s="360">
        <f t="shared" si="37"/>
        <v>180</v>
      </c>
    </row>
    <row r="508" spans="1:13" s="352" customFormat="1" ht="12.75" x14ac:dyDescent="0.2">
      <c r="A508" s="348">
        <f>IF(ADSI!$G$12="",ADSI!$H$16,ADSI!$H$12)</f>
        <v>6</v>
      </c>
      <c r="B508" s="348" t="str">
        <f ca="1">IF(ADSI!$G$12="",ADSI!$H$16,ADSI!$H$14)</f>
        <v/>
      </c>
      <c r="C508" s="395">
        <f>A17</f>
        <v>525</v>
      </c>
      <c r="D508" s="348">
        <f>ADSI!$K$12</f>
        <v>2021</v>
      </c>
      <c r="E508" s="360">
        <f>D17</f>
        <v>39</v>
      </c>
      <c r="F508" s="360">
        <f>F17</f>
        <v>15</v>
      </c>
      <c r="G508" s="360">
        <f t="shared" ref="G508:M508" si="38">G17</f>
        <v>6</v>
      </c>
      <c r="H508" s="360">
        <f t="shared" si="38"/>
        <v>0</v>
      </c>
      <c r="I508" s="360">
        <f t="shared" si="38"/>
        <v>21</v>
      </c>
      <c r="J508" s="360">
        <f t="shared" si="38"/>
        <v>0</v>
      </c>
      <c r="K508" s="360">
        <f t="shared" si="38"/>
        <v>1</v>
      </c>
      <c r="L508" s="360">
        <f t="shared" si="38"/>
        <v>0</v>
      </c>
      <c r="M508" s="360">
        <f t="shared" si="38"/>
        <v>1</v>
      </c>
    </row>
    <row r="509" spans="1:13" s="352" customFormat="1" ht="12.75" x14ac:dyDescent="0.2">
      <c r="A509" s="348">
        <f>IF(ADSI!$G$12="",ADSI!$H$16,ADSI!$H$12)</f>
        <v>6</v>
      </c>
      <c r="B509" s="348" t="str">
        <f ca="1">IF(ADSI!$G$12="",ADSI!$H$16,ADSI!$H$14)</f>
        <v/>
      </c>
      <c r="C509" s="395">
        <f t="shared" ref="C509:C516" si="39">A18</f>
        <v>526</v>
      </c>
      <c r="D509" s="348">
        <f>ADSI!$K$12</f>
        <v>2021</v>
      </c>
      <c r="E509" s="360">
        <f t="shared" ref="E509:E516" si="40">D18</f>
        <v>527</v>
      </c>
      <c r="F509" s="360">
        <f t="shared" ref="F509:M509" si="41">F18</f>
        <v>150</v>
      </c>
      <c r="G509" s="360">
        <f t="shared" si="41"/>
        <v>32</v>
      </c>
      <c r="H509" s="360">
        <f t="shared" si="41"/>
        <v>0</v>
      </c>
      <c r="I509" s="360">
        <f t="shared" si="41"/>
        <v>182</v>
      </c>
      <c r="J509" s="360">
        <f t="shared" si="41"/>
        <v>19</v>
      </c>
      <c r="K509" s="360">
        <f t="shared" si="41"/>
        <v>6</v>
      </c>
      <c r="L509" s="360">
        <f t="shared" si="41"/>
        <v>0</v>
      </c>
      <c r="M509" s="360">
        <f t="shared" si="41"/>
        <v>25</v>
      </c>
    </row>
    <row r="510" spans="1:13" s="352" customFormat="1" ht="12.75" x14ac:dyDescent="0.2">
      <c r="A510" s="348">
        <f>IF(ADSI!$G$12="",ADSI!$H$16,ADSI!$H$12)</f>
        <v>6</v>
      </c>
      <c r="B510" s="348" t="str">
        <f ca="1">IF(ADSI!$G$12="",ADSI!$H$16,ADSI!$H$14)</f>
        <v/>
      </c>
      <c r="C510" s="395">
        <f t="shared" si="39"/>
        <v>527</v>
      </c>
      <c r="D510" s="348">
        <f>ADSI!$K$12</f>
        <v>2021</v>
      </c>
      <c r="E510" s="360">
        <f t="shared" si="40"/>
        <v>52</v>
      </c>
      <c r="F510" s="360">
        <f t="shared" ref="F510:M510" si="42">F19</f>
        <v>14</v>
      </c>
      <c r="G510" s="360">
        <f t="shared" si="42"/>
        <v>4</v>
      </c>
      <c r="H510" s="360">
        <f t="shared" si="42"/>
        <v>0</v>
      </c>
      <c r="I510" s="360">
        <f t="shared" si="42"/>
        <v>18</v>
      </c>
      <c r="J510" s="360">
        <f t="shared" si="42"/>
        <v>5</v>
      </c>
      <c r="K510" s="360">
        <f t="shared" si="42"/>
        <v>1</v>
      </c>
      <c r="L510" s="360">
        <f t="shared" si="42"/>
        <v>0</v>
      </c>
      <c r="M510" s="360">
        <f t="shared" si="42"/>
        <v>6</v>
      </c>
    </row>
    <row r="511" spans="1:13" s="352" customFormat="1" ht="12.75" x14ac:dyDescent="0.2">
      <c r="A511" s="348">
        <f>IF(ADSI!$G$12="",ADSI!$H$16,ADSI!$H$12)</f>
        <v>6</v>
      </c>
      <c r="B511" s="348" t="str">
        <f ca="1">IF(ADSI!$G$12="",ADSI!$H$16,ADSI!$H$14)</f>
        <v/>
      </c>
      <c r="C511" s="395">
        <f t="shared" si="39"/>
        <v>528</v>
      </c>
      <c r="D511" s="348">
        <f>ADSI!$K$12</f>
        <v>2021</v>
      </c>
      <c r="E511" s="360">
        <f t="shared" si="40"/>
        <v>69</v>
      </c>
      <c r="F511" s="360">
        <f t="shared" ref="F511:M511" si="43">F20</f>
        <v>37</v>
      </c>
      <c r="G511" s="360">
        <f t="shared" si="43"/>
        <v>7</v>
      </c>
      <c r="H511" s="360">
        <f t="shared" si="43"/>
        <v>0</v>
      </c>
      <c r="I511" s="360">
        <f t="shared" si="43"/>
        <v>44</v>
      </c>
      <c r="J511" s="360">
        <f t="shared" si="43"/>
        <v>2</v>
      </c>
      <c r="K511" s="360">
        <f t="shared" si="43"/>
        <v>0</v>
      </c>
      <c r="L511" s="360">
        <f t="shared" si="43"/>
        <v>0</v>
      </c>
      <c r="M511" s="360">
        <f t="shared" si="43"/>
        <v>2</v>
      </c>
    </row>
    <row r="512" spans="1:13" s="352" customFormat="1" ht="12.75" x14ac:dyDescent="0.2">
      <c r="A512" s="348">
        <f>IF(ADSI!$G$12="",ADSI!$H$16,ADSI!$H$12)</f>
        <v>6</v>
      </c>
      <c r="B512" s="348" t="str">
        <f ca="1">IF(ADSI!$G$12="",ADSI!$H$16,ADSI!$H$14)</f>
        <v/>
      </c>
      <c r="C512" s="395">
        <f t="shared" si="39"/>
        <v>529</v>
      </c>
      <c r="D512" s="348">
        <f>ADSI!$K$12</f>
        <v>2021</v>
      </c>
      <c r="E512" s="360">
        <f t="shared" si="40"/>
        <v>41</v>
      </c>
      <c r="F512" s="360">
        <f t="shared" ref="F512:M512" si="44">F21</f>
        <v>20</v>
      </c>
      <c r="G512" s="360">
        <f t="shared" si="44"/>
        <v>9</v>
      </c>
      <c r="H512" s="360">
        <f t="shared" si="44"/>
        <v>0</v>
      </c>
      <c r="I512" s="360">
        <f t="shared" si="44"/>
        <v>29</v>
      </c>
      <c r="J512" s="360">
        <f t="shared" si="44"/>
        <v>6</v>
      </c>
      <c r="K512" s="360">
        <f t="shared" si="44"/>
        <v>1</v>
      </c>
      <c r="L512" s="360">
        <f t="shared" si="44"/>
        <v>0</v>
      </c>
      <c r="M512" s="360">
        <f t="shared" si="44"/>
        <v>7</v>
      </c>
    </row>
    <row r="513" spans="1:13" s="352" customFormat="1" ht="12.75" x14ac:dyDescent="0.2">
      <c r="A513" s="348">
        <f>IF(ADSI!$G$12="",ADSI!$H$16,ADSI!$H$12)</f>
        <v>6</v>
      </c>
      <c r="B513" s="348" t="str">
        <f ca="1">IF(ADSI!$G$12="",ADSI!$H$16,ADSI!$H$14)</f>
        <v/>
      </c>
      <c r="C513" s="395">
        <f t="shared" si="39"/>
        <v>530</v>
      </c>
      <c r="D513" s="348">
        <f>ADSI!$K$12</f>
        <v>2021</v>
      </c>
      <c r="E513" s="360">
        <f t="shared" si="40"/>
        <v>5</v>
      </c>
      <c r="F513" s="360">
        <f t="shared" ref="F513:M513" si="45">F22</f>
        <v>0</v>
      </c>
      <c r="G513" s="360">
        <f t="shared" si="45"/>
        <v>0</v>
      </c>
      <c r="H513" s="360">
        <f t="shared" si="45"/>
        <v>0</v>
      </c>
      <c r="I513" s="360">
        <f t="shared" si="45"/>
        <v>0</v>
      </c>
      <c r="J513" s="360">
        <f t="shared" si="45"/>
        <v>0</v>
      </c>
      <c r="K513" s="360">
        <f t="shared" si="45"/>
        <v>0</v>
      </c>
      <c r="L513" s="360">
        <f t="shared" si="45"/>
        <v>0</v>
      </c>
      <c r="M513" s="360">
        <f t="shared" si="45"/>
        <v>0</v>
      </c>
    </row>
    <row r="514" spans="1:13" s="352" customFormat="1" ht="12.75" x14ac:dyDescent="0.2">
      <c r="A514" s="348">
        <f>IF(ADSI!$G$12="",ADSI!$H$16,ADSI!$H$12)</f>
        <v>6</v>
      </c>
      <c r="B514" s="348" t="str">
        <f ca="1">IF(ADSI!$G$12="",ADSI!$H$16,ADSI!$H$14)</f>
        <v/>
      </c>
      <c r="C514" s="395">
        <f t="shared" si="39"/>
        <v>531</v>
      </c>
      <c r="D514" s="348">
        <f>ADSI!$K$12</f>
        <v>2021</v>
      </c>
      <c r="E514" s="360">
        <f t="shared" si="40"/>
        <v>66</v>
      </c>
      <c r="F514" s="360">
        <f t="shared" ref="F514:M514" si="46">F23</f>
        <v>14</v>
      </c>
      <c r="G514" s="360">
        <f t="shared" si="46"/>
        <v>4</v>
      </c>
      <c r="H514" s="360">
        <f t="shared" si="46"/>
        <v>0</v>
      </c>
      <c r="I514" s="360">
        <f t="shared" si="46"/>
        <v>18</v>
      </c>
      <c r="J514" s="360">
        <f t="shared" si="46"/>
        <v>4</v>
      </c>
      <c r="K514" s="360">
        <f t="shared" si="46"/>
        <v>1</v>
      </c>
      <c r="L514" s="360">
        <f t="shared" si="46"/>
        <v>0</v>
      </c>
      <c r="M514" s="360">
        <f t="shared" si="46"/>
        <v>5</v>
      </c>
    </row>
    <row r="515" spans="1:13" s="352" customFormat="1" ht="12.75" x14ac:dyDescent="0.2">
      <c r="A515" s="348">
        <f>IF(ADSI!$G$12="",ADSI!$H$16,ADSI!$H$12)</f>
        <v>6</v>
      </c>
      <c r="B515" s="348" t="str">
        <f ca="1">IF(ADSI!$G$12="",ADSI!$H$16,ADSI!$H$14)</f>
        <v/>
      </c>
      <c r="C515" s="395">
        <f t="shared" si="39"/>
        <v>532</v>
      </c>
      <c r="D515" s="348">
        <f>ADSI!$K$12</f>
        <v>2021</v>
      </c>
      <c r="E515" s="360">
        <f t="shared" si="40"/>
        <v>799</v>
      </c>
      <c r="F515" s="360">
        <f t="shared" ref="F515:M515" si="47">F24</f>
        <v>250</v>
      </c>
      <c r="G515" s="360">
        <f t="shared" si="47"/>
        <v>62</v>
      </c>
      <c r="H515" s="360">
        <f t="shared" si="47"/>
        <v>0</v>
      </c>
      <c r="I515" s="360">
        <f t="shared" si="47"/>
        <v>312</v>
      </c>
      <c r="J515" s="360">
        <f t="shared" si="47"/>
        <v>36</v>
      </c>
      <c r="K515" s="360">
        <f t="shared" si="47"/>
        <v>10</v>
      </c>
      <c r="L515" s="360">
        <f t="shared" si="47"/>
        <v>0</v>
      </c>
      <c r="M515" s="360">
        <f t="shared" si="47"/>
        <v>46</v>
      </c>
    </row>
    <row r="516" spans="1:13" s="352" customFormat="1" ht="12.75" x14ac:dyDescent="0.2">
      <c r="A516" s="348">
        <f>IF(ADSI!$G$12="",ADSI!$H$16,ADSI!$H$12)</f>
        <v>6</v>
      </c>
      <c r="B516" s="348" t="str">
        <f ca="1">IF(ADSI!$G$12="",ADSI!$H$16,ADSI!$H$14)</f>
        <v/>
      </c>
      <c r="C516" s="395">
        <f t="shared" si="39"/>
        <v>545</v>
      </c>
      <c r="D516" s="348">
        <f>ADSI!$K$12</f>
        <v>2021</v>
      </c>
      <c r="E516" s="360">
        <f t="shared" si="40"/>
        <v>2850</v>
      </c>
      <c r="F516" s="360">
        <f t="shared" ref="F516:M516" si="48">F25</f>
        <v>696</v>
      </c>
      <c r="G516" s="360">
        <f t="shared" si="48"/>
        <v>160</v>
      </c>
      <c r="H516" s="360">
        <f t="shared" si="48"/>
        <v>0</v>
      </c>
      <c r="I516" s="360">
        <f t="shared" si="48"/>
        <v>856</v>
      </c>
      <c r="J516" s="360">
        <f t="shared" si="48"/>
        <v>193</v>
      </c>
      <c r="K516" s="360">
        <f t="shared" si="48"/>
        <v>33</v>
      </c>
      <c r="L516" s="360">
        <f t="shared" si="48"/>
        <v>0</v>
      </c>
      <c r="M516" s="360">
        <f t="shared" si="48"/>
        <v>226</v>
      </c>
    </row>
    <row r="517" spans="1:13" s="352" customFormat="1" ht="12.75" x14ac:dyDescent="0.2"/>
    <row r="518" spans="1:13" s="352" customFormat="1" ht="12.75" x14ac:dyDescent="0.2"/>
  </sheetData>
  <sheetProtection password="C614" sheet="1" objects="1" scenarios="1" selectLockedCells="1"/>
  <mergeCells count="28">
    <mergeCell ref="A27:C27"/>
    <mergeCell ref="A8:M8"/>
    <mergeCell ref="A16:M16"/>
    <mergeCell ref="B5:B6"/>
    <mergeCell ref="C5:C6"/>
    <mergeCell ref="D5:D6"/>
    <mergeCell ref="F5:I5"/>
    <mergeCell ref="J5:M5"/>
    <mergeCell ref="A26:C26"/>
    <mergeCell ref="E5:E6"/>
    <mergeCell ref="BE215:BL215"/>
    <mergeCell ref="BE204:BH204"/>
    <mergeCell ref="BI204:BL204"/>
    <mergeCell ref="BA207:BC207"/>
    <mergeCell ref="BE207:BL207"/>
    <mergeCell ref="BD204:BD207"/>
    <mergeCell ref="BA204:BA205"/>
    <mergeCell ref="BB204:BB205"/>
    <mergeCell ref="BC204:BC205"/>
    <mergeCell ref="BA215:BC215"/>
    <mergeCell ref="BA228:BB228"/>
    <mergeCell ref="BA227:BB227"/>
    <mergeCell ref="BA229:BB229"/>
    <mergeCell ref="A28:C28"/>
    <mergeCell ref="A30:C30"/>
    <mergeCell ref="BA225:BB225"/>
    <mergeCell ref="BA226:BB226"/>
    <mergeCell ref="A29:C29"/>
  </mergeCells>
  <conditionalFormatting sqref="D27 F27:M27">
    <cfRule type="cellIs" dxfId="114" priority="16" operator="equal">
      <formula>FALSE</formula>
    </cfRule>
  </conditionalFormatting>
  <conditionalFormatting sqref="E9:E15">
    <cfRule type="cellIs" dxfId="113" priority="15" operator="equal">
      <formula>FALSE</formula>
    </cfRule>
  </conditionalFormatting>
  <conditionalFormatting sqref="E17:E25">
    <cfRule type="cellIs" dxfId="112" priority="14" operator="equal">
      <formula>FALSE</formula>
    </cfRule>
  </conditionalFormatting>
  <conditionalFormatting sqref="D28 F28:M28 F30:M30 D30">
    <cfRule type="cellIs" dxfId="111" priority="12" operator="equal">
      <formula>"ABVAR"</formula>
    </cfRule>
    <cfRule type="cellIs" dxfId="110" priority="13" operator="equal">
      <formula>FALSE</formula>
    </cfRule>
  </conditionalFormatting>
  <conditionalFormatting sqref="F29:H29 D29 J29:L29">
    <cfRule type="cellIs" dxfId="109" priority="10" operator="equal">
      <formula>"ABVAR"</formula>
    </cfRule>
    <cfRule type="cellIs" dxfId="108" priority="11" operator="equal">
      <formula>FALSE</formula>
    </cfRule>
  </conditionalFormatting>
  <conditionalFormatting sqref="E29">
    <cfRule type="cellIs" dxfId="107" priority="8" operator="equal">
      <formula>"ABVAR"</formula>
    </cfRule>
    <cfRule type="cellIs" dxfId="106" priority="9" operator="equal">
      <formula>FALSE</formula>
    </cfRule>
  </conditionalFormatting>
  <conditionalFormatting sqref="I29">
    <cfRule type="cellIs" dxfId="105" priority="3" operator="equal">
      <formula>"RE-CHECK"</formula>
    </cfRule>
    <cfRule type="cellIs" dxfId="104" priority="4" operator="equal">
      <formula>FALSE</formula>
    </cfRule>
  </conditionalFormatting>
  <conditionalFormatting sqref="M29">
    <cfRule type="cellIs" dxfId="103" priority="1" operator="equal">
      <formula>"RE-CHECK"</formula>
    </cfRule>
    <cfRule type="cellIs" dxfId="102" priority="2" operator="equal">
      <formula>FALSE</formula>
    </cfRule>
  </conditionalFormatting>
  <dataValidations count="1">
    <dataValidation type="whole" allowBlank="1" showInputMessage="1" showErrorMessage="1" sqref="F17:H23 F9:H14 J9:L14 D9:D14 D17:D23 J17:L23">
      <formula1>0</formula1>
      <formula2>999999999</formula2>
    </dataValidation>
  </dataValidations>
  <pageMargins left="1.1811023622047245" right="0.70866141732283472" top="0.51181102362204722" bottom="0.35433070866141736" header="0.31496062992125984" footer="0.19685039370078741"/>
  <pageSetup paperSize="5" orientation="landscape" r:id="rId1"/>
  <headerFooter>
    <oddFooter>&amp;L&amp;9ADSI - &amp;A&amp;C&amp;9&amp;D &amp;T&amp;R&amp;9Page &amp;P of &amp;N</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M519"/>
  <sheetViews>
    <sheetView showGridLines="0" workbookViewId="0">
      <pane xSplit="3" ySplit="7" topLeftCell="D8" activePane="bottomRight" state="frozen"/>
      <selection activeCell="D9" sqref="D9"/>
      <selection pane="topRight" activeCell="D9" sqref="D9"/>
      <selection pane="bottomLeft" activeCell="D9" sqref="D9"/>
      <selection pane="bottomRight" activeCell="D8" sqref="D8"/>
    </sheetView>
  </sheetViews>
  <sheetFormatPr defaultRowHeight="15" x14ac:dyDescent="0.25"/>
  <cols>
    <col min="1" max="2" width="6.7109375" style="1" customWidth="1"/>
    <col min="3" max="3" width="44.7109375" style="1" bestFit="1" customWidth="1"/>
    <col min="4" max="7" width="12.7109375" style="1" customWidth="1"/>
    <col min="8" max="8" width="11.7109375" style="1" customWidth="1"/>
    <col min="9" max="11" width="12.7109375" style="1" customWidth="1"/>
    <col min="12" max="12" width="11.7109375" style="1" customWidth="1"/>
    <col min="13" max="13" width="12.7109375" style="1" customWidth="1"/>
    <col min="14" max="14" width="8.7109375" style="1" customWidth="1"/>
    <col min="15" max="52" width="9.140625" style="1"/>
    <col min="53" max="53" width="5.28515625" style="1" customWidth="1"/>
    <col min="54" max="54" width="38" style="1" customWidth="1"/>
    <col min="55" max="16384" width="9.140625" style="1"/>
  </cols>
  <sheetData>
    <row r="1" spans="1:14" ht="15.75" x14ac:dyDescent="0.25">
      <c r="A1" s="285" t="str">
        <f>ADSI!$B$1</f>
        <v>Goa, , ADSI-2021</v>
      </c>
    </row>
    <row r="2" spans="1:14" ht="15.75" x14ac:dyDescent="0.25">
      <c r="A2" s="286" t="s">
        <v>657</v>
      </c>
      <c r="C2" s="287">
        <f>COUNTIF(D25:M26,FALSE)+COUNTIF(E8:E22,FALSE)</f>
        <v>0</v>
      </c>
      <c r="E2" s="465" t="s">
        <v>1570</v>
      </c>
      <c r="F2" s="464">
        <f>COUNTIF(D27:M28,"ABVAR")</f>
        <v>0</v>
      </c>
    </row>
    <row r="3" spans="1:14" ht="15.75" x14ac:dyDescent="0.25">
      <c r="A3" s="289" t="s">
        <v>78</v>
      </c>
      <c r="C3" s="53"/>
      <c r="D3" s="53"/>
      <c r="E3" s="71"/>
      <c r="F3" s="53"/>
      <c r="G3" s="53"/>
      <c r="H3" s="53"/>
      <c r="I3" s="53"/>
      <c r="J3" s="53"/>
      <c r="K3" s="53"/>
      <c r="L3" s="35"/>
    </row>
    <row r="4" spans="1:14" ht="15.75" x14ac:dyDescent="0.25">
      <c r="A4" s="289" t="s">
        <v>660</v>
      </c>
      <c r="C4" s="53"/>
      <c r="D4" s="53"/>
      <c r="E4" s="71"/>
      <c r="F4" s="53"/>
      <c r="G4" s="53"/>
      <c r="H4" s="53"/>
      <c r="I4" s="53"/>
      <c r="J4" s="53"/>
      <c r="K4" s="53"/>
    </row>
    <row r="5" spans="1:14" ht="15" customHeight="1" x14ac:dyDescent="0.25">
      <c r="A5" s="636" t="s">
        <v>249</v>
      </c>
      <c r="B5" s="636" t="s">
        <v>0</v>
      </c>
      <c r="C5" s="634" t="s">
        <v>34</v>
      </c>
      <c r="D5" s="646" t="s">
        <v>35</v>
      </c>
      <c r="E5" s="695" t="s">
        <v>589</v>
      </c>
      <c r="F5" s="698" t="s">
        <v>36</v>
      </c>
      <c r="G5" s="698"/>
      <c r="H5" s="698"/>
      <c r="I5" s="698"/>
      <c r="J5" s="646" t="s">
        <v>37</v>
      </c>
      <c r="K5" s="646"/>
      <c r="L5" s="646"/>
      <c r="M5" s="646"/>
    </row>
    <row r="6" spans="1:14" ht="49.5" customHeight="1" x14ac:dyDescent="0.25">
      <c r="A6" s="637"/>
      <c r="B6" s="637"/>
      <c r="C6" s="635"/>
      <c r="D6" s="646"/>
      <c r="E6" s="695"/>
      <c r="F6" s="217" t="s">
        <v>38</v>
      </c>
      <c r="G6" s="217" t="s">
        <v>39</v>
      </c>
      <c r="H6" s="217" t="s">
        <v>240</v>
      </c>
      <c r="I6" s="217" t="s">
        <v>258</v>
      </c>
      <c r="J6" s="55" t="s">
        <v>200</v>
      </c>
      <c r="K6" s="55" t="s">
        <v>201</v>
      </c>
      <c r="L6" s="55" t="s">
        <v>240</v>
      </c>
      <c r="M6" s="55" t="s">
        <v>255</v>
      </c>
    </row>
    <row r="7" spans="1:14" ht="20.100000000000001" customHeight="1" x14ac:dyDescent="0.25">
      <c r="A7" s="9"/>
      <c r="B7" s="9" t="s">
        <v>181</v>
      </c>
      <c r="C7" s="218" t="s">
        <v>182</v>
      </c>
      <c r="D7" s="8" t="s">
        <v>183</v>
      </c>
      <c r="E7" s="320"/>
      <c r="F7" s="218" t="s">
        <v>184</v>
      </c>
      <c r="G7" s="218" t="s">
        <v>185</v>
      </c>
      <c r="H7" s="218" t="s">
        <v>186</v>
      </c>
      <c r="I7" s="219" t="s">
        <v>187</v>
      </c>
      <c r="J7" s="8" t="s">
        <v>188</v>
      </c>
      <c r="K7" s="8" t="s">
        <v>189</v>
      </c>
      <c r="L7" s="8" t="s">
        <v>190</v>
      </c>
      <c r="M7" s="8" t="s">
        <v>191</v>
      </c>
    </row>
    <row r="8" spans="1:14" ht="20.100000000000001" customHeight="1" x14ac:dyDescent="0.25">
      <c r="A8" s="54">
        <v>550</v>
      </c>
      <c r="B8" s="261">
        <v>1</v>
      </c>
      <c r="C8" s="58" t="s">
        <v>256</v>
      </c>
      <c r="D8" s="267">
        <v>1752</v>
      </c>
      <c r="E8" s="322" t="str">
        <f>IF(AND(OR(I8&gt;0,M8&gt;0),D8=0),FALSE,"")</f>
        <v/>
      </c>
      <c r="F8" s="234">
        <v>417</v>
      </c>
      <c r="G8" s="234">
        <v>103</v>
      </c>
      <c r="H8" s="234">
        <v>0</v>
      </c>
      <c r="I8" s="458">
        <f>SUM(F8:H8)</f>
        <v>520</v>
      </c>
      <c r="J8" s="234">
        <v>117</v>
      </c>
      <c r="K8" s="234">
        <v>17</v>
      </c>
      <c r="L8" s="234">
        <v>0</v>
      </c>
      <c r="M8" s="458">
        <f>SUM(J8:L8)</f>
        <v>134</v>
      </c>
      <c r="N8" s="340"/>
    </row>
    <row r="9" spans="1:14" ht="20.100000000000001" customHeight="1" x14ac:dyDescent="0.25">
      <c r="A9" s="52">
        <v>551</v>
      </c>
      <c r="B9" s="118">
        <v>2</v>
      </c>
      <c r="C9" s="14" t="s">
        <v>259</v>
      </c>
      <c r="D9" s="267">
        <v>957</v>
      </c>
      <c r="E9" s="322" t="str">
        <f t="shared" ref="E9:E22" si="0">IF(AND(OR(I9&gt;0,M9&gt;0),D9=0),FALSE,"")</f>
        <v/>
      </c>
      <c r="F9" s="234">
        <v>258</v>
      </c>
      <c r="G9" s="234">
        <v>55</v>
      </c>
      <c r="H9" s="234">
        <v>0</v>
      </c>
      <c r="I9" s="458">
        <f t="shared" ref="I9:I21" si="1">SUM(F9:H9)</f>
        <v>313</v>
      </c>
      <c r="J9" s="234">
        <v>62</v>
      </c>
      <c r="K9" s="234">
        <v>12</v>
      </c>
      <c r="L9" s="234">
        <v>0</v>
      </c>
      <c r="M9" s="458">
        <f t="shared" ref="M9:M21" si="2">SUM(J9:L9)</f>
        <v>74</v>
      </c>
      <c r="N9" s="340"/>
    </row>
    <row r="10" spans="1:14" ht="20.100000000000001" customHeight="1" x14ac:dyDescent="0.25">
      <c r="A10" s="262">
        <v>552</v>
      </c>
      <c r="B10" s="118">
        <v>3</v>
      </c>
      <c r="C10" s="14" t="s">
        <v>64</v>
      </c>
      <c r="D10" s="267">
        <v>122</v>
      </c>
      <c r="E10" s="322" t="str">
        <f t="shared" si="0"/>
        <v/>
      </c>
      <c r="F10" s="234">
        <v>19</v>
      </c>
      <c r="G10" s="234">
        <v>2</v>
      </c>
      <c r="H10" s="234">
        <v>0</v>
      </c>
      <c r="I10" s="458">
        <f t="shared" si="1"/>
        <v>21</v>
      </c>
      <c r="J10" s="234">
        <v>8</v>
      </c>
      <c r="K10" s="234">
        <v>2</v>
      </c>
      <c r="L10" s="234">
        <v>0</v>
      </c>
      <c r="M10" s="458">
        <f t="shared" si="2"/>
        <v>10</v>
      </c>
      <c r="N10" s="340"/>
    </row>
    <row r="11" spans="1:14" ht="20.100000000000001" customHeight="1" x14ac:dyDescent="0.25">
      <c r="A11" s="118">
        <v>553</v>
      </c>
      <c r="B11" s="118">
        <v>4</v>
      </c>
      <c r="C11" s="14" t="s">
        <v>65</v>
      </c>
      <c r="D11" s="267">
        <v>1</v>
      </c>
      <c r="E11" s="322" t="str">
        <f t="shared" si="0"/>
        <v/>
      </c>
      <c r="F11" s="234">
        <v>0</v>
      </c>
      <c r="G11" s="234">
        <v>0</v>
      </c>
      <c r="H11" s="234">
        <v>0</v>
      </c>
      <c r="I11" s="458">
        <f t="shared" si="1"/>
        <v>0</v>
      </c>
      <c r="J11" s="234">
        <v>1</v>
      </c>
      <c r="K11" s="234">
        <v>0</v>
      </c>
      <c r="L11" s="234">
        <v>0</v>
      </c>
      <c r="M11" s="458">
        <f t="shared" si="2"/>
        <v>1</v>
      </c>
      <c r="N11" s="340"/>
    </row>
    <row r="12" spans="1:14" ht="20.100000000000001" customHeight="1" x14ac:dyDescent="0.25">
      <c r="A12" s="262">
        <v>554</v>
      </c>
      <c r="B12" s="118">
        <v>5</v>
      </c>
      <c r="C12" s="14" t="s">
        <v>66</v>
      </c>
      <c r="D12" s="267">
        <v>5</v>
      </c>
      <c r="E12" s="322" t="str">
        <f t="shared" si="0"/>
        <v/>
      </c>
      <c r="F12" s="234">
        <v>0</v>
      </c>
      <c r="G12" s="234">
        <v>0</v>
      </c>
      <c r="H12" s="234">
        <v>0</v>
      </c>
      <c r="I12" s="458">
        <f t="shared" si="1"/>
        <v>0</v>
      </c>
      <c r="J12" s="234">
        <v>2</v>
      </c>
      <c r="K12" s="234">
        <v>0</v>
      </c>
      <c r="L12" s="234">
        <v>0</v>
      </c>
      <c r="M12" s="458">
        <f t="shared" si="2"/>
        <v>2</v>
      </c>
      <c r="N12" s="340"/>
    </row>
    <row r="13" spans="1:14" ht="20.100000000000001" customHeight="1" x14ac:dyDescent="0.25">
      <c r="A13" s="118">
        <v>555</v>
      </c>
      <c r="B13" s="118">
        <v>6</v>
      </c>
      <c r="C13" s="14" t="s">
        <v>68</v>
      </c>
      <c r="D13" s="267">
        <v>6</v>
      </c>
      <c r="E13" s="322" t="str">
        <f t="shared" si="0"/>
        <v/>
      </c>
      <c r="F13" s="234">
        <v>1</v>
      </c>
      <c r="G13" s="234">
        <v>0</v>
      </c>
      <c r="H13" s="234">
        <v>0</v>
      </c>
      <c r="I13" s="458">
        <f t="shared" si="1"/>
        <v>1</v>
      </c>
      <c r="J13" s="234">
        <v>2</v>
      </c>
      <c r="K13" s="234">
        <v>0</v>
      </c>
      <c r="L13" s="234">
        <v>0</v>
      </c>
      <c r="M13" s="458">
        <f t="shared" si="2"/>
        <v>2</v>
      </c>
      <c r="N13" s="340"/>
    </row>
    <row r="14" spans="1:14" ht="20.100000000000001" customHeight="1" x14ac:dyDescent="0.25">
      <c r="A14" s="262">
        <v>556</v>
      </c>
      <c r="B14" s="118">
        <v>7</v>
      </c>
      <c r="C14" s="456" t="s">
        <v>1494</v>
      </c>
      <c r="D14" s="457">
        <f>SUM(D15:D16)</f>
        <v>0</v>
      </c>
      <c r="E14" s="414" t="str">
        <f t="shared" si="0"/>
        <v/>
      </c>
      <c r="F14" s="457">
        <f t="shared" ref="F14:H14" si="3">SUM(F15:F16)</f>
        <v>0</v>
      </c>
      <c r="G14" s="457">
        <f t="shared" si="3"/>
        <v>0</v>
      </c>
      <c r="H14" s="457">
        <f t="shared" si="3"/>
        <v>0</v>
      </c>
      <c r="I14" s="458">
        <f t="shared" si="1"/>
        <v>0</v>
      </c>
      <c r="J14" s="457">
        <f>SUM(J15:J16)</f>
        <v>0</v>
      </c>
      <c r="K14" s="457">
        <f t="shared" ref="K14:L14" si="4">SUM(K15:K16)</f>
        <v>0</v>
      </c>
      <c r="L14" s="457">
        <f t="shared" si="4"/>
        <v>0</v>
      </c>
      <c r="M14" s="458">
        <f t="shared" si="2"/>
        <v>0</v>
      </c>
      <c r="N14" s="340"/>
    </row>
    <row r="15" spans="1:14" ht="20.100000000000001" customHeight="1" x14ac:dyDescent="0.25">
      <c r="A15" s="118">
        <v>557</v>
      </c>
      <c r="B15" s="268"/>
      <c r="C15" s="153" t="s">
        <v>1495</v>
      </c>
      <c r="D15" s="267">
        <v>0</v>
      </c>
      <c r="E15" s="322" t="str">
        <f t="shared" si="0"/>
        <v/>
      </c>
      <c r="F15" s="234">
        <v>0</v>
      </c>
      <c r="G15" s="234">
        <v>0</v>
      </c>
      <c r="H15" s="234">
        <v>0</v>
      </c>
      <c r="I15" s="458">
        <f t="shared" si="1"/>
        <v>0</v>
      </c>
      <c r="J15" s="234">
        <v>0</v>
      </c>
      <c r="K15" s="234">
        <v>0</v>
      </c>
      <c r="L15" s="234">
        <v>0</v>
      </c>
      <c r="M15" s="458">
        <f t="shared" si="2"/>
        <v>0</v>
      </c>
      <c r="N15" s="340"/>
    </row>
    <row r="16" spans="1:14" ht="20.100000000000001" customHeight="1" x14ac:dyDescent="0.25">
      <c r="A16" s="262">
        <v>558</v>
      </c>
      <c r="B16" s="268"/>
      <c r="C16" s="153" t="s">
        <v>1496</v>
      </c>
      <c r="D16" s="267">
        <v>0</v>
      </c>
      <c r="E16" s="322" t="str">
        <f t="shared" si="0"/>
        <v/>
      </c>
      <c r="F16" s="234">
        <v>0</v>
      </c>
      <c r="G16" s="234">
        <v>0</v>
      </c>
      <c r="H16" s="234">
        <v>0</v>
      </c>
      <c r="I16" s="458">
        <f t="shared" si="1"/>
        <v>0</v>
      </c>
      <c r="J16" s="234">
        <v>0</v>
      </c>
      <c r="K16" s="234">
        <v>0</v>
      </c>
      <c r="L16" s="234">
        <v>0</v>
      </c>
      <c r="M16" s="458">
        <f t="shared" si="2"/>
        <v>0</v>
      </c>
      <c r="N16" s="340"/>
    </row>
    <row r="17" spans="1:14" ht="20.100000000000001" customHeight="1" x14ac:dyDescent="0.25">
      <c r="A17" s="118">
        <v>559</v>
      </c>
      <c r="B17" s="118">
        <v>8</v>
      </c>
      <c r="C17" s="23" t="s">
        <v>238</v>
      </c>
      <c r="D17" s="267">
        <v>0</v>
      </c>
      <c r="E17" s="322" t="str">
        <f t="shared" si="0"/>
        <v/>
      </c>
      <c r="F17" s="267">
        <v>0</v>
      </c>
      <c r="G17" s="267">
        <v>0</v>
      </c>
      <c r="H17" s="267">
        <v>0</v>
      </c>
      <c r="I17" s="458">
        <f t="shared" si="1"/>
        <v>0</v>
      </c>
      <c r="J17" s="234">
        <v>0</v>
      </c>
      <c r="K17" s="234">
        <v>0</v>
      </c>
      <c r="L17" s="234">
        <v>0</v>
      </c>
      <c r="M17" s="458">
        <f t="shared" si="2"/>
        <v>0</v>
      </c>
      <c r="N17" s="340"/>
    </row>
    <row r="18" spans="1:14" ht="20.100000000000001" customHeight="1" x14ac:dyDescent="0.25">
      <c r="A18" s="262">
        <v>560</v>
      </c>
      <c r="B18" s="118">
        <v>9</v>
      </c>
      <c r="C18" s="14" t="s">
        <v>67</v>
      </c>
      <c r="D18" s="267">
        <v>2</v>
      </c>
      <c r="E18" s="322" t="str">
        <f t="shared" si="0"/>
        <v/>
      </c>
      <c r="F18" s="234">
        <v>1</v>
      </c>
      <c r="G18" s="234">
        <v>0</v>
      </c>
      <c r="H18" s="234">
        <v>0</v>
      </c>
      <c r="I18" s="458">
        <f t="shared" si="1"/>
        <v>1</v>
      </c>
      <c r="J18" s="234">
        <v>0</v>
      </c>
      <c r="K18" s="234">
        <v>0</v>
      </c>
      <c r="L18" s="234">
        <v>0</v>
      </c>
      <c r="M18" s="458">
        <f t="shared" si="2"/>
        <v>0</v>
      </c>
      <c r="N18" s="340"/>
    </row>
    <row r="19" spans="1:14" ht="20.100000000000001" customHeight="1" x14ac:dyDescent="0.25">
      <c r="A19" s="278">
        <v>561</v>
      </c>
      <c r="B19" s="279">
        <v>10</v>
      </c>
      <c r="C19" s="280" t="s">
        <v>257</v>
      </c>
      <c r="D19" s="281">
        <v>0</v>
      </c>
      <c r="E19" s="322" t="str">
        <f t="shared" si="0"/>
        <v/>
      </c>
      <c r="F19" s="282">
        <v>0</v>
      </c>
      <c r="G19" s="282">
        <v>0</v>
      </c>
      <c r="H19" s="282">
        <v>0</v>
      </c>
      <c r="I19" s="458">
        <f t="shared" si="1"/>
        <v>0</v>
      </c>
      <c r="J19" s="282">
        <v>0</v>
      </c>
      <c r="K19" s="282">
        <v>0</v>
      </c>
      <c r="L19" s="282">
        <v>0</v>
      </c>
      <c r="M19" s="458">
        <f t="shared" si="2"/>
        <v>0</v>
      </c>
      <c r="N19" s="340"/>
    </row>
    <row r="20" spans="1:14" ht="20.100000000000001" customHeight="1" x14ac:dyDescent="0.25">
      <c r="A20" s="262">
        <v>562</v>
      </c>
      <c r="B20" s="118">
        <v>11</v>
      </c>
      <c r="C20" s="14" t="s">
        <v>49</v>
      </c>
      <c r="D20" s="267">
        <v>0</v>
      </c>
      <c r="E20" s="322" t="str">
        <f t="shared" si="0"/>
        <v/>
      </c>
      <c r="F20" s="234">
        <v>0</v>
      </c>
      <c r="G20" s="234">
        <v>0</v>
      </c>
      <c r="H20" s="234">
        <v>0</v>
      </c>
      <c r="I20" s="458">
        <f t="shared" si="1"/>
        <v>0</v>
      </c>
      <c r="J20" s="234">
        <v>0</v>
      </c>
      <c r="K20" s="234">
        <v>0</v>
      </c>
      <c r="L20" s="234">
        <v>0</v>
      </c>
      <c r="M20" s="458">
        <f t="shared" si="2"/>
        <v>0</v>
      </c>
      <c r="N20" s="340"/>
    </row>
    <row r="21" spans="1:14" ht="20.100000000000001" customHeight="1" x14ac:dyDescent="0.25">
      <c r="A21" s="118">
        <v>563</v>
      </c>
      <c r="B21" s="118">
        <v>12</v>
      </c>
      <c r="C21" s="14" t="s">
        <v>48</v>
      </c>
      <c r="D21" s="267">
        <v>5</v>
      </c>
      <c r="E21" s="322" t="str">
        <f t="shared" si="0"/>
        <v/>
      </c>
      <c r="F21" s="234">
        <v>0</v>
      </c>
      <c r="G21" s="234">
        <v>0</v>
      </c>
      <c r="H21" s="234">
        <v>0</v>
      </c>
      <c r="I21" s="458">
        <f t="shared" si="1"/>
        <v>0</v>
      </c>
      <c r="J21" s="234">
        <v>1</v>
      </c>
      <c r="K21" s="234">
        <v>2</v>
      </c>
      <c r="L21" s="234">
        <v>0</v>
      </c>
      <c r="M21" s="458">
        <f t="shared" si="2"/>
        <v>3</v>
      </c>
      <c r="N21" s="340"/>
    </row>
    <row r="22" spans="1:14" ht="20.100000000000001" customHeight="1" x14ac:dyDescent="0.25">
      <c r="A22" s="262">
        <v>580</v>
      </c>
      <c r="B22" s="266">
        <v>13</v>
      </c>
      <c r="C22" s="454" t="s">
        <v>583</v>
      </c>
      <c r="D22" s="455">
        <f>SUM(D8:D14)+D17+D18+D19+D20+D21</f>
        <v>2850</v>
      </c>
      <c r="E22" s="452" t="str">
        <f t="shared" si="0"/>
        <v/>
      </c>
      <c r="F22" s="455">
        <f t="shared" ref="F22:M22" si="5">SUM(F8:F14)+F17+F18+F19+F20+F21</f>
        <v>696</v>
      </c>
      <c r="G22" s="455">
        <f t="shared" si="5"/>
        <v>160</v>
      </c>
      <c r="H22" s="455">
        <f t="shared" si="5"/>
        <v>0</v>
      </c>
      <c r="I22" s="455">
        <f t="shared" si="5"/>
        <v>856</v>
      </c>
      <c r="J22" s="455">
        <f t="shared" si="5"/>
        <v>193</v>
      </c>
      <c r="K22" s="455">
        <f t="shared" si="5"/>
        <v>33</v>
      </c>
      <c r="L22" s="455">
        <f t="shared" si="5"/>
        <v>0</v>
      </c>
      <c r="M22" s="455">
        <f t="shared" si="5"/>
        <v>226</v>
      </c>
      <c r="N22" s="340"/>
    </row>
    <row r="23" spans="1:14" ht="32.1" customHeight="1" x14ac:dyDescent="0.25">
      <c r="A23" s="323"/>
      <c r="B23" s="324">
        <v>14</v>
      </c>
      <c r="C23" s="325" t="s">
        <v>656</v>
      </c>
      <c r="D23" s="326">
        <f>D22-D19</f>
        <v>2850</v>
      </c>
      <c r="E23" s="326"/>
      <c r="F23" s="326">
        <f t="shared" ref="F23:M23" si="6">F22-F19</f>
        <v>696</v>
      </c>
      <c r="G23" s="326">
        <f t="shared" si="6"/>
        <v>160</v>
      </c>
      <c r="H23" s="326">
        <f t="shared" si="6"/>
        <v>0</v>
      </c>
      <c r="I23" s="326">
        <f t="shared" si="6"/>
        <v>856</v>
      </c>
      <c r="J23" s="326">
        <f t="shared" si="6"/>
        <v>193</v>
      </c>
      <c r="K23" s="326">
        <f t="shared" si="6"/>
        <v>33</v>
      </c>
      <c r="L23" s="326">
        <f t="shared" si="6"/>
        <v>0</v>
      </c>
      <c r="M23" s="326">
        <f t="shared" si="6"/>
        <v>226</v>
      </c>
    </row>
    <row r="24" spans="1:14" ht="32.1" customHeight="1" x14ac:dyDescent="0.25">
      <c r="A24" s="707" t="s">
        <v>1491</v>
      </c>
      <c r="B24" s="707"/>
      <c r="C24" s="708"/>
      <c r="D24" s="284">
        <f>'P-II'!D43</f>
        <v>2850</v>
      </c>
      <c r="E24" s="284"/>
      <c r="F24" s="284">
        <f>'P-II'!F43</f>
        <v>696</v>
      </c>
      <c r="G24" s="284">
        <f>'P-II'!G43</f>
        <v>160</v>
      </c>
      <c r="H24" s="284">
        <f>'P-II'!H43</f>
        <v>0</v>
      </c>
      <c r="I24" s="284">
        <f>'P-II'!I43</f>
        <v>856</v>
      </c>
      <c r="J24" s="284">
        <f>'P-II'!J43</f>
        <v>193</v>
      </c>
      <c r="K24" s="284">
        <f>'P-II'!K43</f>
        <v>33</v>
      </c>
      <c r="L24" s="284">
        <f>'P-II'!L43</f>
        <v>0</v>
      </c>
      <c r="M24" s="284">
        <f>'P-II'!M43</f>
        <v>226</v>
      </c>
    </row>
    <row r="25" spans="1:14" ht="32.1" customHeight="1" x14ac:dyDescent="0.25">
      <c r="A25" s="627" t="s">
        <v>1492</v>
      </c>
      <c r="B25" s="627"/>
      <c r="C25" s="628"/>
      <c r="D25" s="399" t="str">
        <f>IF(D24=D23,"",FALSE)</f>
        <v/>
      </c>
      <c r="E25" s="399"/>
      <c r="F25" s="399" t="str">
        <f t="shared" ref="F25:M25" si="7">IF(F24=F23,"",FALSE)</f>
        <v/>
      </c>
      <c r="G25" s="399" t="str">
        <f t="shared" si="7"/>
        <v/>
      </c>
      <c r="H25" s="399" t="str">
        <f t="shared" si="7"/>
        <v/>
      </c>
      <c r="I25" s="399" t="str">
        <f t="shared" si="7"/>
        <v/>
      </c>
      <c r="J25" s="399" t="str">
        <f t="shared" si="7"/>
        <v/>
      </c>
      <c r="K25" s="399" t="str">
        <f t="shared" si="7"/>
        <v/>
      </c>
      <c r="L25" s="399" t="str">
        <f t="shared" si="7"/>
        <v/>
      </c>
      <c r="M25" s="399" t="str">
        <f t="shared" si="7"/>
        <v/>
      </c>
    </row>
    <row r="26" spans="1:14" ht="32.1" customHeight="1" x14ac:dyDescent="0.25">
      <c r="A26" s="627" t="s">
        <v>1649</v>
      </c>
      <c r="B26" s="627"/>
      <c r="C26" s="628"/>
      <c r="D26" s="399" t="str">
        <f>IF(D19&lt;='P-II'!D46,"",FALSE)</f>
        <v/>
      </c>
      <c r="E26" s="399"/>
      <c r="F26" s="399" t="str">
        <f>IF(F19&lt;='P-II'!F46,"",FALSE)</f>
        <v/>
      </c>
      <c r="G26" s="399" t="str">
        <f>IF(G19&lt;='P-II'!G46,"",FALSE)</f>
        <v/>
      </c>
      <c r="H26" s="399" t="str">
        <f>IF(H19&lt;='P-II'!H46,"",FALSE)</f>
        <v/>
      </c>
      <c r="I26" s="399" t="str">
        <f>IF(I19&lt;='P-II'!I46,"",FALSE)</f>
        <v/>
      </c>
      <c r="J26" s="399" t="str">
        <f>IF(J19&lt;='P-II'!J46,"",FALSE)</f>
        <v/>
      </c>
      <c r="K26" s="399" t="str">
        <f>IF(K19&lt;='P-II'!K46,"",FALSE)</f>
        <v/>
      </c>
      <c r="L26" s="399" t="str">
        <f>IF(L19&lt;='P-II'!L46,"",FALSE)</f>
        <v/>
      </c>
      <c r="M26" s="399" t="str">
        <f>IF(M19&lt;='P-II'!M46,"",FALSE)</f>
        <v/>
      </c>
    </row>
    <row r="27" spans="1:14" ht="20.100000000000001" customHeight="1" x14ac:dyDescent="0.25">
      <c r="A27" s="605" t="s">
        <v>1614</v>
      </c>
      <c r="B27" s="606"/>
      <c r="C27" s="607"/>
      <c r="D27" s="463" t="str">
        <f>IF(D22&gt;0,IF((D20/D22*100)&gt;20,"ABVAR",""),"")</f>
        <v/>
      </c>
      <c r="E27" s="463"/>
      <c r="F27" s="463" t="str">
        <f t="shared" ref="F27:M27" si="8">IF(F22&gt;0,IF((F20/F22*100)&gt;20,"ABVAR",""),"")</f>
        <v/>
      </c>
      <c r="G27" s="463" t="str">
        <f t="shared" si="8"/>
        <v/>
      </c>
      <c r="H27" s="463" t="str">
        <f t="shared" si="8"/>
        <v/>
      </c>
      <c r="I27" s="463" t="str">
        <f t="shared" si="8"/>
        <v/>
      </c>
      <c r="J27" s="463" t="str">
        <f t="shared" si="8"/>
        <v/>
      </c>
      <c r="K27" s="463" t="str">
        <f t="shared" si="8"/>
        <v/>
      </c>
      <c r="L27" s="463" t="str">
        <f t="shared" si="8"/>
        <v/>
      </c>
      <c r="M27" s="463" t="str">
        <f t="shared" si="8"/>
        <v/>
      </c>
    </row>
    <row r="28" spans="1:14" ht="20.100000000000001" customHeight="1" x14ac:dyDescent="0.25">
      <c r="A28" s="605" t="s">
        <v>1579</v>
      </c>
      <c r="B28" s="606"/>
      <c r="C28" s="607"/>
      <c r="D28" s="463" t="str">
        <f>IF(D22&gt;0,IF((D21/D22*100)&gt;20,"ABVAR",""),"")</f>
        <v/>
      </c>
      <c r="E28" s="463"/>
      <c r="F28" s="463" t="str">
        <f t="shared" ref="F28:M28" si="9">IF(F22&gt;0,IF((F21/F22*100)&gt;20,"ABVAR",""),"")</f>
        <v/>
      </c>
      <c r="G28" s="463" t="str">
        <f t="shared" si="9"/>
        <v/>
      </c>
      <c r="H28" s="463" t="str">
        <f t="shared" si="9"/>
        <v/>
      </c>
      <c r="I28" s="463" t="str">
        <f t="shared" si="9"/>
        <v/>
      </c>
      <c r="J28" s="463" t="str">
        <f t="shared" si="9"/>
        <v/>
      </c>
      <c r="K28" s="463" t="str">
        <f t="shared" si="9"/>
        <v/>
      </c>
      <c r="L28" s="463" t="str">
        <f t="shared" si="9"/>
        <v/>
      </c>
      <c r="M28" s="463" t="str">
        <f t="shared" si="9"/>
        <v/>
      </c>
    </row>
    <row r="200" spans="53:65" x14ac:dyDescent="0.25">
      <c r="BA200" s="141" t="str">
        <f>A1</f>
        <v>Goa, , ADSI-2021</v>
      </c>
      <c r="BB200" s="141"/>
      <c r="BD200" s="472" t="str">
        <f>E2</f>
        <v>Abnormal Variations</v>
      </c>
      <c r="BE200" s="141">
        <f>F2</f>
        <v>0</v>
      </c>
    </row>
    <row r="201" spans="53:65" x14ac:dyDescent="0.25">
      <c r="BA201" s="141" t="str">
        <f>A2</f>
        <v>Errors</v>
      </c>
      <c r="BB201" s="309">
        <f>C2</f>
        <v>0</v>
      </c>
    </row>
    <row r="202" spans="53:65" x14ac:dyDescent="0.25">
      <c r="BA202" s="141" t="str">
        <f>A3</f>
        <v>Proforma–IX</v>
      </c>
      <c r="BB202" s="132"/>
      <c r="BC202" s="132"/>
      <c r="BD202" s="132"/>
      <c r="BE202" s="132"/>
      <c r="BF202" s="132"/>
      <c r="BG202" s="132"/>
      <c r="BH202" s="132"/>
      <c r="BI202" s="132"/>
      <c r="BJ202" s="132"/>
      <c r="BK202" s="133"/>
      <c r="BM202" s="132"/>
    </row>
    <row r="203" spans="53:65" x14ac:dyDescent="0.25">
      <c r="BA203" s="141" t="str">
        <f>A4</f>
        <v>Road Accidents Classified According to Causes and Unmanned Railway Crossing Accidents</v>
      </c>
      <c r="BB203" s="132"/>
      <c r="BC203" s="132"/>
      <c r="BD203" s="132"/>
      <c r="BE203" s="132"/>
      <c r="BF203" s="132"/>
      <c r="BG203" s="132"/>
      <c r="BH203" s="132"/>
      <c r="BI203" s="132"/>
      <c r="BJ203" s="132"/>
      <c r="BM203" s="132"/>
    </row>
    <row r="204" spans="53:65" x14ac:dyDescent="0.25">
      <c r="BA204" s="602" t="str">
        <f>B5</f>
        <v>Sl. No.</v>
      </c>
      <c r="BB204" s="602" t="str">
        <f>C5</f>
        <v>Causes</v>
      </c>
      <c r="BC204" s="602" t="str">
        <f>D5</f>
        <v>No. of Cases</v>
      </c>
      <c r="BD204" s="602" t="str">
        <f>E5</f>
        <v>VALIDATION WITH NUMBER OF CASES</v>
      </c>
      <c r="BE204" s="619" t="str">
        <f>F5</f>
        <v>No. of Persons Injured</v>
      </c>
      <c r="BF204" s="620"/>
      <c r="BG204" s="620"/>
      <c r="BH204" s="621"/>
      <c r="BI204" s="619" t="str">
        <f t="shared" ref="BI204:BI221" si="10">J5</f>
        <v>No. of Persons Died</v>
      </c>
      <c r="BJ204" s="620"/>
      <c r="BK204" s="620"/>
      <c r="BL204" s="621"/>
      <c r="BM204" s="132"/>
    </row>
    <row r="205" spans="53:65" ht="25.5" x14ac:dyDescent="0.25">
      <c r="BA205" s="604"/>
      <c r="BB205" s="604"/>
      <c r="BC205" s="604"/>
      <c r="BD205" s="603"/>
      <c r="BE205" s="151" t="str">
        <f t="shared" ref="BE205:BE221" si="11">F6</f>
        <v>Male</v>
      </c>
      <c r="BF205" s="151" t="str">
        <f t="shared" ref="BF205:BF221" si="12">G6</f>
        <v>Female</v>
      </c>
      <c r="BG205" s="151" t="str">
        <f t="shared" ref="BG205:BG221" si="13">H6</f>
        <v>Transgender</v>
      </c>
      <c r="BH205" s="151" t="str">
        <f t="shared" ref="BH205:BH221" si="14">I6</f>
        <v xml:space="preserve"> Total [sum of (4) to (6)]</v>
      </c>
      <c r="BI205" s="151" t="str">
        <f t="shared" si="10"/>
        <v xml:space="preserve"> Male</v>
      </c>
      <c r="BJ205" s="151" t="str">
        <f t="shared" ref="BJ205:BJ221" si="15">K6</f>
        <v xml:space="preserve"> Female</v>
      </c>
      <c r="BK205" s="151" t="str">
        <f t="shared" ref="BK205:BK221" si="16">L6</f>
        <v>Transgender</v>
      </c>
      <c r="BL205" s="151" t="str">
        <f t="shared" ref="BL205:BL221" si="17">M6</f>
        <v>Total [sum of (8) to (10)]</v>
      </c>
      <c r="BM205" s="132"/>
    </row>
    <row r="206" spans="53:65" x14ac:dyDescent="0.25">
      <c r="BA206" s="137" t="str">
        <f t="shared" ref="BA206:BC213" si="18">B7</f>
        <v>(1)</v>
      </c>
      <c r="BB206" s="137" t="str">
        <f t="shared" si="18"/>
        <v>(2)</v>
      </c>
      <c r="BC206" s="137" t="str">
        <f t="shared" si="18"/>
        <v>(3)</v>
      </c>
      <c r="BD206" s="604"/>
      <c r="BE206" s="137" t="str">
        <f t="shared" si="11"/>
        <v>(4)</v>
      </c>
      <c r="BF206" s="137" t="str">
        <f t="shared" si="12"/>
        <v>(5)</v>
      </c>
      <c r="BG206" s="137" t="str">
        <f t="shared" si="13"/>
        <v>(6)</v>
      </c>
      <c r="BH206" s="137" t="str">
        <f t="shared" si="14"/>
        <v>(7)</v>
      </c>
      <c r="BI206" s="137" t="str">
        <f t="shared" si="10"/>
        <v>(8)</v>
      </c>
      <c r="BJ206" s="137" t="str">
        <f t="shared" si="15"/>
        <v>(9)</v>
      </c>
      <c r="BK206" s="137" t="str">
        <f t="shared" si="16"/>
        <v>(10)</v>
      </c>
      <c r="BL206" s="137" t="str">
        <f t="shared" si="17"/>
        <v>(11)</v>
      </c>
      <c r="BM206" s="132"/>
    </row>
    <row r="207" spans="53:65" x14ac:dyDescent="0.25">
      <c r="BA207" s="138">
        <f t="shared" si="18"/>
        <v>1</v>
      </c>
      <c r="BB207" s="136" t="str">
        <f t="shared" si="18"/>
        <v>Dangerous/Over-taking/Careless/etc.</v>
      </c>
      <c r="BC207" s="136">
        <f t="shared" si="18"/>
        <v>1752</v>
      </c>
      <c r="BD207" s="283" t="str">
        <f t="shared" ref="BD207:BD221" si="19">E8</f>
        <v/>
      </c>
      <c r="BE207" s="136">
        <f t="shared" si="11"/>
        <v>417</v>
      </c>
      <c r="BF207" s="136">
        <f t="shared" si="12"/>
        <v>103</v>
      </c>
      <c r="BG207" s="136">
        <f t="shared" si="13"/>
        <v>0</v>
      </c>
      <c r="BH207" s="136">
        <f t="shared" si="14"/>
        <v>520</v>
      </c>
      <c r="BI207" s="136">
        <f t="shared" si="10"/>
        <v>117</v>
      </c>
      <c r="BJ207" s="136">
        <f t="shared" si="15"/>
        <v>17</v>
      </c>
      <c r="BK207" s="136">
        <f t="shared" si="16"/>
        <v>0</v>
      </c>
      <c r="BL207" s="136">
        <f t="shared" si="17"/>
        <v>134</v>
      </c>
      <c r="BM207" s="132"/>
    </row>
    <row r="208" spans="53:65" x14ac:dyDescent="0.25">
      <c r="BA208" s="275">
        <f t="shared" si="18"/>
        <v>2</v>
      </c>
      <c r="BB208" s="136" t="str">
        <f t="shared" si="18"/>
        <v>Over speeding</v>
      </c>
      <c r="BC208" s="136">
        <f t="shared" si="18"/>
        <v>957</v>
      </c>
      <c r="BD208" s="283" t="str">
        <f t="shared" si="19"/>
        <v/>
      </c>
      <c r="BE208" s="136">
        <f t="shared" si="11"/>
        <v>258</v>
      </c>
      <c r="BF208" s="136">
        <f t="shared" si="12"/>
        <v>55</v>
      </c>
      <c r="BG208" s="136">
        <f t="shared" si="13"/>
        <v>0</v>
      </c>
      <c r="BH208" s="136">
        <f t="shared" si="14"/>
        <v>313</v>
      </c>
      <c r="BI208" s="136">
        <f t="shared" si="10"/>
        <v>62</v>
      </c>
      <c r="BJ208" s="136">
        <f t="shared" si="15"/>
        <v>12</v>
      </c>
      <c r="BK208" s="136">
        <f t="shared" si="16"/>
        <v>0</v>
      </c>
      <c r="BL208" s="136">
        <f t="shared" si="17"/>
        <v>74</v>
      </c>
      <c r="BM208" s="132"/>
    </row>
    <row r="209" spans="53:65" x14ac:dyDescent="0.25">
      <c r="BA209" s="275">
        <f t="shared" si="18"/>
        <v>3</v>
      </c>
      <c r="BB209" s="136" t="str">
        <f t="shared" si="18"/>
        <v>Driving under influence of drug/alcohol</v>
      </c>
      <c r="BC209" s="136">
        <f t="shared" si="18"/>
        <v>122</v>
      </c>
      <c r="BD209" s="283" t="str">
        <f t="shared" si="19"/>
        <v/>
      </c>
      <c r="BE209" s="136">
        <f t="shared" si="11"/>
        <v>19</v>
      </c>
      <c r="BF209" s="136">
        <f t="shared" si="12"/>
        <v>2</v>
      </c>
      <c r="BG209" s="136">
        <f t="shared" si="13"/>
        <v>0</v>
      </c>
      <c r="BH209" s="136">
        <f t="shared" si="14"/>
        <v>21</v>
      </c>
      <c r="BI209" s="136">
        <f t="shared" si="10"/>
        <v>8</v>
      </c>
      <c r="BJ209" s="136">
        <f t="shared" si="15"/>
        <v>2</v>
      </c>
      <c r="BK209" s="136">
        <f t="shared" si="16"/>
        <v>0</v>
      </c>
      <c r="BL209" s="136">
        <f t="shared" si="17"/>
        <v>10</v>
      </c>
      <c r="BM209" s="132"/>
    </row>
    <row r="210" spans="53:65" x14ac:dyDescent="0.25">
      <c r="BA210" s="275">
        <f t="shared" si="18"/>
        <v>4</v>
      </c>
      <c r="BB210" s="136" t="str">
        <f t="shared" si="18"/>
        <v>Physical fatigue of Drivers</v>
      </c>
      <c r="BC210" s="136">
        <f t="shared" si="18"/>
        <v>1</v>
      </c>
      <c r="BD210" s="283" t="str">
        <f t="shared" si="19"/>
        <v/>
      </c>
      <c r="BE210" s="136">
        <f t="shared" si="11"/>
        <v>0</v>
      </c>
      <c r="BF210" s="136">
        <f t="shared" si="12"/>
        <v>0</v>
      </c>
      <c r="BG210" s="136">
        <f t="shared" si="13"/>
        <v>0</v>
      </c>
      <c r="BH210" s="136">
        <f t="shared" si="14"/>
        <v>0</v>
      </c>
      <c r="BI210" s="136">
        <f t="shared" si="10"/>
        <v>1</v>
      </c>
      <c r="BJ210" s="136">
        <f t="shared" si="15"/>
        <v>0</v>
      </c>
      <c r="BK210" s="136">
        <f t="shared" si="16"/>
        <v>0</v>
      </c>
      <c r="BL210" s="136">
        <f t="shared" si="17"/>
        <v>1</v>
      </c>
      <c r="BM210" s="132"/>
    </row>
    <row r="211" spans="53:65" x14ac:dyDescent="0.25">
      <c r="BA211" s="275">
        <f t="shared" si="18"/>
        <v>5</v>
      </c>
      <c r="BB211" s="136" t="str">
        <f t="shared" si="18"/>
        <v>Defect in Mechanical condition of Motor Vehicle</v>
      </c>
      <c r="BC211" s="136">
        <f t="shared" si="18"/>
        <v>5</v>
      </c>
      <c r="BD211" s="283" t="str">
        <f t="shared" si="19"/>
        <v/>
      </c>
      <c r="BE211" s="136">
        <f t="shared" si="11"/>
        <v>0</v>
      </c>
      <c r="BF211" s="136">
        <f t="shared" si="12"/>
        <v>0</v>
      </c>
      <c r="BG211" s="136">
        <f t="shared" si="13"/>
        <v>0</v>
      </c>
      <c r="BH211" s="136">
        <f t="shared" si="14"/>
        <v>0</v>
      </c>
      <c r="BI211" s="136">
        <f t="shared" si="10"/>
        <v>2</v>
      </c>
      <c r="BJ211" s="136">
        <f t="shared" si="15"/>
        <v>0</v>
      </c>
      <c r="BK211" s="136">
        <f t="shared" si="16"/>
        <v>0</v>
      </c>
      <c r="BL211" s="136">
        <f t="shared" si="17"/>
        <v>2</v>
      </c>
      <c r="BM211" s="132"/>
    </row>
    <row r="212" spans="53:65" x14ac:dyDescent="0.25">
      <c r="BA212" s="275">
        <f t="shared" si="18"/>
        <v>6</v>
      </c>
      <c r="BB212" s="136" t="str">
        <f t="shared" si="18"/>
        <v>Animal Crossing</v>
      </c>
      <c r="BC212" s="136">
        <f t="shared" si="18"/>
        <v>6</v>
      </c>
      <c r="BD212" s="283" t="str">
        <f t="shared" si="19"/>
        <v/>
      </c>
      <c r="BE212" s="136">
        <f t="shared" si="11"/>
        <v>1</v>
      </c>
      <c r="BF212" s="136">
        <f t="shared" si="12"/>
        <v>0</v>
      </c>
      <c r="BG212" s="136">
        <f t="shared" si="13"/>
        <v>0</v>
      </c>
      <c r="BH212" s="136">
        <f t="shared" si="14"/>
        <v>1</v>
      </c>
      <c r="BI212" s="136">
        <f t="shared" si="10"/>
        <v>2</v>
      </c>
      <c r="BJ212" s="136">
        <f t="shared" si="15"/>
        <v>0</v>
      </c>
      <c r="BK212" s="136">
        <f t="shared" si="16"/>
        <v>0</v>
      </c>
      <c r="BL212" s="136">
        <f t="shared" si="17"/>
        <v>2</v>
      </c>
      <c r="BM212" s="132"/>
    </row>
    <row r="213" spans="53:65" x14ac:dyDescent="0.25">
      <c r="BA213" s="275">
        <f t="shared" si="18"/>
        <v>7</v>
      </c>
      <c r="BB213" s="136" t="str">
        <f t="shared" si="18"/>
        <v>Weather condition (sum of 7.1 &amp; 7.2)</v>
      </c>
      <c r="BC213" s="136">
        <f t="shared" si="18"/>
        <v>0</v>
      </c>
      <c r="BD213" s="283" t="str">
        <f t="shared" si="19"/>
        <v/>
      </c>
      <c r="BE213" s="136">
        <f t="shared" si="11"/>
        <v>0</v>
      </c>
      <c r="BF213" s="136">
        <f t="shared" si="12"/>
        <v>0</v>
      </c>
      <c r="BG213" s="136">
        <f t="shared" si="13"/>
        <v>0</v>
      </c>
      <c r="BH213" s="136">
        <f t="shared" si="14"/>
        <v>0</v>
      </c>
      <c r="BI213" s="136">
        <f t="shared" si="10"/>
        <v>0</v>
      </c>
      <c r="BJ213" s="136">
        <f t="shared" si="15"/>
        <v>0</v>
      </c>
      <c r="BK213" s="136">
        <f t="shared" si="16"/>
        <v>0</v>
      </c>
      <c r="BL213" s="136">
        <f t="shared" si="17"/>
        <v>0</v>
      </c>
      <c r="BM213" s="132"/>
    </row>
    <row r="214" spans="53:65" x14ac:dyDescent="0.25">
      <c r="BA214" s="275"/>
      <c r="BB214" s="154" t="str">
        <f t="shared" ref="BB214:BC221" si="20">C15</f>
        <v>7.1 Poor visibility</v>
      </c>
      <c r="BC214" s="136">
        <f t="shared" si="20"/>
        <v>0</v>
      </c>
      <c r="BD214" s="283" t="str">
        <f t="shared" si="19"/>
        <v/>
      </c>
      <c r="BE214" s="136">
        <f t="shared" si="11"/>
        <v>0</v>
      </c>
      <c r="BF214" s="136">
        <f t="shared" si="12"/>
        <v>0</v>
      </c>
      <c r="BG214" s="136">
        <f t="shared" si="13"/>
        <v>0</v>
      </c>
      <c r="BH214" s="136">
        <f t="shared" si="14"/>
        <v>0</v>
      </c>
      <c r="BI214" s="136">
        <f t="shared" si="10"/>
        <v>0</v>
      </c>
      <c r="BJ214" s="136">
        <f t="shared" si="15"/>
        <v>0</v>
      </c>
      <c r="BK214" s="136">
        <f t="shared" si="16"/>
        <v>0</v>
      </c>
      <c r="BL214" s="136">
        <f t="shared" si="17"/>
        <v>0</v>
      </c>
      <c r="BM214" s="132"/>
    </row>
    <row r="215" spans="53:65" x14ac:dyDescent="0.25">
      <c r="BA215" s="275"/>
      <c r="BB215" s="154" t="str">
        <f t="shared" si="20"/>
        <v>7.2 Others causes of weather condition</v>
      </c>
      <c r="BC215" s="136">
        <f t="shared" si="20"/>
        <v>0</v>
      </c>
      <c r="BD215" s="283" t="str">
        <f t="shared" si="19"/>
        <v/>
      </c>
      <c r="BE215" s="136">
        <f t="shared" si="11"/>
        <v>0</v>
      </c>
      <c r="BF215" s="136">
        <f t="shared" si="12"/>
        <v>0</v>
      </c>
      <c r="BG215" s="136">
        <f t="shared" si="13"/>
        <v>0</v>
      </c>
      <c r="BH215" s="136">
        <f t="shared" si="14"/>
        <v>0</v>
      </c>
      <c r="BI215" s="136">
        <f t="shared" si="10"/>
        <v>0</v>
      </c>
      <c r="BJ215" s="136">
        <f t="shared" si="15"/>
        <v>0</v>
      </c>
      <c r="BK215" s="136">
        <f t="shared" si="16"/>
        <v>0</v>
      </c>
      <c r="BL215" s="136">
        <f t="shared" si="17"/>
        <v>0</v>
      </c>
      <c r="BM215" s="132"/>
    </row>
    <row r="216" spans="53:65" x14ac:dyDescent="0.25">
      <c r="BA216" s="275">
        <f t="shared" ref="BA216:BA221" si="21">B17</f>
        <v>8</v>
      </c>
      <c r="BB216" s="136" t="str">
        <f t="shared" si="20"/>
        <v>Lack of road infrastructure</v>
      </c>
      <c r="BC216" s="136">
        <f t="shared" si="20"/>
        <v>0</v>
      </c>
      <c r="BD216" s="283" t="str">
        <f t="shared" si="19"/>
        <v/>
      </c>
      <c r="BE216" s="136">
        <f t="shared" si="11"/>
        <v>0</v>
      </c>
      <c r="BF216" s="136">
        <f t="shared" si="12"/>
        <v>0</v>
      </c>
      <c r="BG216" s="136">
        <f t="shared" si="13"/>
        <v>0</v>
      </c>
      <c r="BH216" s="136">
        <f t="shared" si="14"/>
        <v>0</v>
      </c>
      <c r="BI216" s="136">
        <f t="shared" si="10"/>
        <v>0</v>
      </c>
      <c r="BJ216" s="136">
        <f t="shared" si="15"/>
        <v>0</v>
      </c>
      <c r="BK216" s="136">
        <f t="shared" si="16"/>
        <v>0</v>
      </c>
      <c r="BL216" s="136">
        <f t="shared" si="17"/>
        <v>0</v>
      </c>
      <c r="BM216" s="132"/>
    </row>
    <row r="217" spans="53:65" x14ac:dyDescent="0.25">
      <c r="BA217" s="275">
        <f t="shared" si="21"/>
        <v>9</v>
      </c>
      <c r="BB217" s="136" t="str">
        <f t="shared" si="20"/>
        <v>Vehicles Parking at road shoulders</v>
      </c>
      <c r="BC217" s="136">
        <f t="shared" si="20"/>
        <v>2</v>
      </c>
      <c r="BD217" s="283" t="str">
        <f t="shared" si="19"/>
        <v/>
      </c>
      <c r="BE217" s="136">
        <f t="shared" si="11"/>
        <v>1</v>
      </c>
      <c r="BF217" s="136">
        <f t="shared" si="12"/>
        <v>0</v>
      </c>
      <c r="BG217" s="136">
        <f t="shared" si="13"/>
        <v>0</v>
      </c>
      <c r="BH217" s="136">
        <f t="shared" si="14"/>
        <v>1</v>
      </c>
      <c r="BI217" s="136">
        <f t="shared" si="10"/>
        <v>0</v>
      </c>
      <c r="BJ217" s="136">
        <f t="shared" si="15"/>
        <v>0</v>
      </c>
      <c r="BK217" s="136">
        <f t="shared" si="16"/>
        <v>0</v>
      </c>
      <c r="BL217" s="136">
        <f t="shared" si="17"/>
        <v>0</v>
      </c>
      <c r="BM217" s="132"/>
    </row>
    <row r="218" spans="53:65" x14ac:dyDescent="0.25">
      <c r="BA218" s="275">
        <f t="shared" si="21"/>
        <v>10</v>
      </c>
      <c r="BB218" s="136" t="str">
        <f t="shared" si="20"/>
        <v>Unmanned Railway Crossing</v>
      </c>
      <c r="BC218" s="136">
        <f t="shared" si="20"/>
        <v>0</v>
      </c>
      <c r="BD218" s="283" t="str">
        <f t="shared" si="19"/>
        <v/>
      </c>
      <c r="BE218" s="136">
        <f t="shared" si="11"/>
        <v>0</v>
      </c>
      <c r="BF218" s="136">
        <f t="shared" si="12"/>
        <v>0</v>
      </c>
      <c r="BG218" s="136">
        <f t="shared" si="13"/>
        <v>0</v>
      </c>
      <c r="BH218" s="136">
        <f t="shared" si="14"/>
        <v>0</v>
      </c>
      <c r="BI218" s="136">
        <f t="shared" si="10"/>
        <v>0</v>
      </c>
      <c r="BJ218" s="136">
        <f t="shared" si="15"/>
        <v>0</v>
      </c>
      <c r="BK218" s="136">
        <f t="shared" si="16"/>
        <v>0</v>
      </c>
      <c r="BL218" s="136">
        <f t="shared" si="17"/>
        <v>0</v>
      </c>
      <c r="BM218" s="132"/>
    </row>
    <row r="219" spans="53:65" x14ac:dyDescent="0.25">
      <c r="BA219" s="275">
        <f t="shared" si="21"/>
        <v>11</v>
      </c>
      <c r="BB219" s="136" t="str">
        <f t="shared" si="20"/>
        <v>Causes not known</v>
      </c>
      <c r="BC219" s="136">
        <f t="shared" si="20"/>
        <v>0</v>
      </c>
      <c r="BD219" s="283" t="str">
        <f t="shared" si="19"/>
        <v/>
      </c>
      <c r="BE219" s="136">
        <f t="shared" si="11"/>
        <v>0</v>
      </c>
      <c r="BF219" s="136">
        <f t="shared" si="12"/>
        <v>0</v>
      </c>
      <c r="BG219" s="136">
        <f t="shared" si="13"/>
        <v>0</v>
      </c>
      <c r="BH219" s="136">
        <f t="shared" si="14"/>
        <v>0</v>
      </c>
      <c r="BI219" s="136">
        <f t="shared" si="10"/>
        <v>0</v>
      </c>
      <c r="BJ219" s="136">
        <f t="shared" si="15"/>
        <v>0</v>
      </c>
      <c r="BK219" s="136">
        <f t="shared" si="16"/>
        <v>0</v>
      </c>
      <c r="BL219" s="136">
        <f t="shared" si="17"/>
        <v>0</v>
      </c>
      <c r="BM219" s="132"/>
    </row>
    <row r="220" spans="53:65" x14ac:dyDescent="0.25">
      <c r="BA220" s="275">
        <f t="shared" si="21"/>
        <v>12</v>
      </c>
      <c r="BB220" s="136" t="str">
        <f t="shared" si="20"/>
        <v>Other Causes</v>
      </c>
      <c r="BC220" s="136">
        <f t="shared" si="20"/>
        <v>5</v>
      </c>
      <c r="BD220" s="283" t="str">
        <f t="shared" si="19"/>
        <v/>
      </c>
      <c r="BE220" s="136">
        <f t="shared" si="11"/>
        <v>0</v>
      </c>
      <c r="BF220" s="136">
        <f t="shared" si="12"/>
        <v>0</v>
      </c>
      <c r="BG220" s="136">
        <f t="shared" si="13"/>
        <v>0</v>
      </c>
      <c r="BH220" s="136">
        <f t="shared" si="14"/>
        <v>0</v>
      </c>
      <c r="BI220" s="136">
        <f t="shared" si="10"/>
        <v>1</v>
      </c>
      <c r="BJ220" s="136">
        <f t="shared" si="15"/>
        <v>2</v>
      </c>
      <c r="BK220" s="136">
        <f t="shared" si="16"/>
        <v>0</v>
      </c>
      <c r="BL220" s="136">
        <f t="shared" si="17"/>
        <v>3</v>
      </c>
      <c r="BM220" s="132"/>
    </row>
    <row r="221" spans="53:65" x14ac:dyDescent="0.25">
      <c r="BA221" s="275">
        <f t="shared" si="21"/>
        <v>13</v>
      </c>
      <c r="BB221" s="136" t="str">
        <f t="shared" si="20"/>
        <v>Total (sum of Sl. 1 to 12)</v>
      </c>
      <c r="BC221" s="136">
        <f t="shared" si="20"/>
        <v>2850</v>
      </c>
      <c r="BD221" s="283" t="str">
        <f t="shared" si="19"/>
        <v/>
      </c>
      <c r="BE221" s="136">
        <f t="shared" si="11"/>
        <v>696</v>
      </c>
      <c r="BF221" s="136">
        <f t="shared" si="12"/>
        <v>160</v>
      </c>
      <c r="BG221" s="136">
        <f t="shared" si="13"/>
        <v>0</v>
      </c>
      <c r="BH221" s="136">
        <f t="shared" si="14"/>
        <v>856</v>
      </c>
      <c r="BI221" s="136">
        <f t="shared" si="10"/>
        <v>193</v>
      </c>
      <c r="BJ221" s="136">
        <f t="shared" si="15"/>
        <v>33</v>
      </c>
      <c r="BK221" s="136">
        <f t="shared" si="16"/>
        <v>0</v>
      </c>
      <c r="BL221" s="136">
        <f t="shared" si="17"/>
        <v>226</v>
      </c>
      <c r="BM221" s="132"/>
    </row>
    <row r="222" spans="53:65" ht="22.5" customHeight="1" x14ac:dyDescent="0.25">
      <c r="BA222" s="678" t="str">
        <f>C23</f>
        <v>ROAD ACCIDENTS TOTAL (EXCLUDING Unmanned Railway Crossing Accidents; Sl.–10)</v>
      </c>
      <c r="BB222" s="679"/>
      <c r="BC222" s="283">
        <f t="shared" ref="BC222:BC227" si="22">D23</f>
        <v>2850</v>
      </c>
      <c r="BD222" s="283"/>
      <c r="BE222" s="283">
        <f t="shared" ref="BE222:BL222" si="23">F23</f>
        <v>696</v>
      </c>
      <c r="BF222" s="283">
        <f t="shared" si="23"/>
        <v>160</v>
      </c>
      <c r="BG222" s="283">
        <f t="shared" si="23"/>
        <v>0</v>
      </c>
      <c r="BH222" s="283">
        <f t="shared" si="23"/>
        <v>856</v>
      </c>
      <c r="BI222" s="283">
        <f t="shared" si="23"/>
        <v>193</v>
      </c>
      <c r="BJ222" s="283">
        <f t="shared" si="23"/>
        <v>33</v>
      </c>
      <c r="BK222" s="283">
        <f t="shared" si="23"/>
        <v>0</v>
      </c>
      <c r="BL222" s="283">
        <f t="shared" si="23"/>
        <v>226</v>
      </c>
      <c r="BM222" s="132"/>
    </row>
    <row r="223" spans="53:65" x14ac:dyDescent="0.25">
      <c r="BA223" s="623" t="str">
        <f>A24</f>
        <v xml:space="preserve"> PROFORMA–II VALUES [Sl.– 12.1 (Road Accidents Total)]</v>
      </c>
      <c r="BB223" s="624"/>
      <c r="BC223" s="136">
        <f t="shared" si="22"/>
        <v>2850</v>
      </c>
      <c r="BD223" s="136"/>
      <c r="BE223" s="136">
        <f t="shared" ref="BE223:BL225" si="24">F24</f>
        <v>696</v>
      </c>
      <c r="BF223" s="136">
        <f t="shared" si="24"/>
        <v>160</v>
      </c>
      <c r="BG223" s="136">
        <f t="shared" si="24"/>
        <v>0</v>
      </c>
      <c r="BH223" s="136">
        <f t="shared" si="24"/>
        <v>856</v>
      </c>
      <c r="BI223" s="136">
        <f t="shared" si="24"/>
        <v>193</v>
      </c>
      <c r="BJ223" s="136">
        <f t="shared" si="24"/>
        <v>33</v>
      </c>
      <c r="BK223" s="136">
        <f t="shared" si="24"/>
        <v>0</v>
      </c>
      <c r="BL223" s="136">
        <f t="shared" si="24"/>
        <v>226</v>
      </c>
      <c r="BM223" s="132"/>
    </row>
    <row r="224" spans="53:65" x14ac:dyDescent="0.25">
      <c r="BA224" s="678" t="str">
        <f>A25</f>
        <v>VALIDATION  WITH PROFORMA–II [Sl.– 12.1 (Road Accidents Total)]</v>
      </c>
      <c r="BB224" s="679"/>
      <c r="BC224" s="136" t="str">
        <f t="shared" si="22"/>
        <v/>
      </c>
      <c r="BD224" s="136"/>
      <c r="BE224" s="136" t="str">
        <f t="shared" si="24"/>
        <v/>
      </c>
      <c r="BF224" s="136" t="str">
        <f t="shared" si="24"/>
        <v/>
      </c>
      <c r="BG224" s="136" t="str">
        <f t="shared" si="24"/>
        <v/>
      </c>
      <c r="BH224" s="136" t="str">
        <f t="shared" si="24"/>
        <v/>
      </c>
      <c r="BI224" s="136" t="str">
        <f t="shared" si="24"/>
        <v/>
      </c>
      <c r="BJ224" s="136" t="str">
        <f t="shared" si="24"/>
        <v/>
      </c>
      <c r="BK224" s="136" t="str">
        <f t="shared" si="24"/>
        <v/>
      </c>
      <c r="BL224" s="136" t="str">
        <f t="shared" si="24"/>
        <v/>
      </c>
      <c r="BM224" s="132"/>
    </row>
    <row r="225" spans="53:65" ht="26.25" customHeight="1" x14ac:dyDescent="0.25">
      <c r="BA225" s="678" t="str">
        <f>A26</f>
        <v>VALIDATION  WITH PROFORMA–II [Sl.– 12.2 (Railway Crossing) with "Unmanned Railway Crossing"]</v>
      </c>
      <c r="BB225" s="679"/>
      <c r="BC225" s="136" t="str">
        <f t="shared" si="22"/>
        <v/>
      </c>
      <c r="BD225" s="136"/>
      <c r="BE225" s="136" t="str">
        <f t="shared" si="24"/>
        <v/>
      </c>
      <c r="BF225" s="136" t="str">
        <f t="shared" si="24"/>
        <v/>
      </c>
      <c r="BG225" s="136" t="str">
        <f t="shared" si="24"/>
        <v/>
      </c>
      <c r="BH225" s="136" t="str">
        <f t="shared" si="24"/>
        <v/>
      </c>
      <c r="BI225" s="136" t="str">
        <f t="shared" si="24"/>
        <v/>
      </c>
      <c r="BJ225" s="136" t="str">
        <f t="shared" si="24"/>
        <v/>
      </c>
      <c r="BK225" s="136" t="str">
        <f t="shared" si="24"/>
        <v/>
      </c>
      <c r="BL225" s="136" t="str">
        <f t="shared" si="24"/>
        <v/>
      </c>
      <c r="BM225" s="132"/>
    </row>
    <row r="226" spans="53:65" x14ac:dyDescent="0.25">
      <c r="BA226" s="622" t="str">
        <f>A27</f>
        <v>SL-11 ABNORMAL VARIATION IN "CAUSES NOT KNOWN" DATA</v>
      </c>
      <c r="BB226" s="622"/>
      <c r="BC226" s="310" t="str">
        <f t="shared" si="22"/>
        <v/>
      </c>
      <c r="BD226" s="310"/>
      <c r="BE226" s="310" t="str">
        <f t="shared" ref="BE226:BE227" si="25">F27</f>
        <v/>
      </c>
      <c r="BF226" s="310" t="str">
        <f t="shared" ref="BF226:BF227" si="26">G27</f>
        <v/>
      </c>
      <c r="BG226" s="310" t="str">
        <f t="shared" ref="BG226:BG227" si="27">H27</f>
        <v/>
      </c>
      <c r="BH226" s="310" t="str">
        <f t="shared" ref="BH226:BH227" si="28">I27</f>
        <v/>
      </c>
      <c r="BI226" s="310" t="str">
        <f t="shared" ref="BI226:BI227" si="29">J27</f>
        <v/>
      </c>
      <c r="BJ226" s="310" t="str">
        <f t="shared" ref="BJ226:BJ227" si="30">K27</f>
        <v/>
      </c>
      <c r="BK226" s="310" t="str">
        <f t="shared" ref="BK226:BK227" si="31">L27</f>
        <v/>
      </c>
      <c r="BL226" s="310" t="str">
        <f t="shared" ref="BL226:BL227" si="32">M27</f>
        <v/>
      </c>
      <c r="BM226" s="132"/>
    </row>
    <row r="227" spans="53:65" x14ac:dyDescent="0.25">
      <c r="BA227" s="622" t="str">
        <f>A28</f>
        <v>SL-12 ABNORMAL VARIATION IN "OTHER CAUSES" DATA</v>
      </c>
      <c r="BB227" s="622"/>
      <c r="BC227" s="310" t="str">
        <f t="shared" si="22"/>
        <v/>
      </c>
      <c r="BD227" s="310"/>
      <c r="BE227" s="310" t="str">
        <f t="shared" si="25"/>
        <v/>
      </c>
      <c r="BF227" s="310" t="str">
        <f t="shared" si="26"/>
        <v/>
      </c>
      <c r="BG227" s="310" t="str">
        <f t="shared" si="27"/>
        <v/>
      </c>
      <c r="BH227" s="310" t="str">
        <f t="shared" si="28"/>
        <v/>
      </c>
      <c r="BI227" s="310" t="str">
        <f t="shared" si="29"/>
        <v/>
      </c>
      <c r="BJ227" s="310" t="str">
        <f t="shared" si="30"/>
        <v/>
      </c>
      <c r="BK227" s="310" t="str">
        <f t="shared" si="31"/>
        <v/>
      </c>
      <c r="BL227" s="310" t="str">
        <f t="shared" si="32"/>
        <v/>
      </c>
      <c r="BM227" s="132"/>
    </row>
    <row r="500" spans="1:13" s="352" customFormat="1" x14ac:dyDescent="0.25">
      <c r="A500" s="194" t="s">
        <v>450</v>
      </c>
      <c r="B500" s="194" t="s">
        <v>451</v>
      </c>
      <c r="C500" s="194" t="s">
        <v>452</v>
      </c>
      <c r="D500" s="194" t="s">
        <v>453</v>
      </c>
      <c r="E500" s="194" t="s">
        <v>472</v>
      </c>
      <c r="F500" s="194" t="s">
        <v>473</v>
      </c>
      <c r="G500" s="194" t="s">
        <v>474</v>
      </c>
      <c r="H500" s="194" t="s">
        <v>475</v>
      </c>
      <c r="I500" s="194" t="s">
        <v>476</v>
      </c>
      <c r="J500" s="194" t="s">
        <v>477</v>
      </c>
      <c r="K500" s="194" t="s">
        <v>478</v>
      </c>
      <c r="L500" s="194" t="s">
        <v>479</v>
      </c>
      <c r="M500" s="194" t="s">
        <v>480</v>
      </c>
    </row>
    <row r="501" spans="1:13" s="352" customFormat="1" ht="12.75" x14ac:dyDescent="0.2">
      <c r="A501" s="348">
        <f>IF(ADSI!$G$12="",ADSI!$H$16,ADSI!$H$12)</f>
        <v>6</v>
      </c>
      <c r="B501" s="348" t="str">
        <f ca="1">IF(ADSI!$G$12="",ADSI!$H$16,ADSI!$H$14)</f>
        <v/>
      </c>
      <c r="C501" s="395">
        <f>A8</f>
        <v>550</v>
      </c>
      <c r="D501" s="348">
        <f>ADSI!$K$12</f>
        <v>2021</v>
      </c>
      <c r="E501" s="360">
        <f>D8</f>
        <v>1752</v>
      </c>
      <c r="F501" s="360">
        <f>F8</f>
        <v>417</v>
      </c>
      <c r="G501" s="360">
        <f t="shared" ref="G501:M501" si="33">G8</f>
        <v>103</v>
      </c>
      <c r="H501" s="360">
        <f t="shared" si="33"/>
        <v>0</v>
      </c>
      <c r="I501" s="360">
        <f t="shared" si="33"/>
        <v>520</v>
      </c>
      <c r="J501" s="360">
        <f t="shared" si="33"/>
        <v>117</v>
      </c>
      <c r="K501" s="360">
        <f t="shared" si="33"/>
        <v>17</v>
      </c>
      <c r="L501" s="360">
        <f t="shared" si="33"/>
        <v>0</v>
      </c>
      <c r="M501" s="360">
        <f t="shared" si="33"/>
        <v>134</v>
      </c>
    </row>
    <row r="502" spans="1:13" s="352" customFormat="1" ht="12.75" x14ac:dyDescent="0.2">
      <c r="A502" s="348">
        <f>IF(ADSI!$G$12="",ADSI!$H$16,ADSI!$H$12)</f>
        <v>6</v>
      </c>
      <c r="B502" s="348" t="str">
        <f ca="1">IF(ADSI!$G$12="",ADSI!$H$16,ADSI!$H$14)</f>
        <v/>
      </c>
      <c r="C502" s="395">
        <f t="shared" ref="C502:C515" si="34">A9</f>
        <v>551</v>
      </c>
      <c r="D502" s="348">
        <f>ADSI!$K$12</f>
        <v>2021</v>
      </c>
      <c r="E502" s="360">
        <f t="shared" ref="E502:E515" si="35">D9</f>
        <v>957</v>
      </c>
      <c r="F502" s="360">
        <f t="shared" ref="F502:M502" si="36">F9</f>
        <v>258</v>
      </c>
      <c r="G502" s="360">
        <f t="shared" si="36"/>
        <v>55</v>
      </c>
      <c r="H502" s="360">
        <f t="shared" si="36"/>
        <v>0</v>
      </c>
      <c r="I502" s="360">
        <f t="shared" si="36"/>
        <v>313</v>
      </c>
      <c r="J502" s="360">
        <f t="shared" si="36"/>
        <v>62</v>
      </c>
      <c r="K502" s="360">
        <f t="shared" si="36"/>
        <v>12</v>
      </c>
      <c r="L502" s="360">
        <f t="shared" si="36"/>
        <v>0</v>
      </c>
      <c r="M502" s="360">
        <f t="shared" si="36"/>
        <v>74</v>
      </c>
    </row>
    <row r="503" spans="1:13" s="352" customFormat="1" ht="12.75" x14ac:dyDescent="0.2">
      <c r="A503" s="348">
        <f>IF(ADSI!$G$12="",ADSI!$H$16,ADSI!$H$12)</f>
        <v>6</v>
      </c>
      <c r="B503" s="348" t="str">
        <f ca="1">IF(ADSI!$G$12="",ADSI!$H$16,ADSI!$H$14)</f>
        <v/>
      </c>
      <c r="C503" s="395">
        <f t="shared" si="34"/>
        <v>552</v>
      </c>
      <c r="D503" s="348">
        <f>ADSI!$K$12</f>
        <v>2021</v>
      </c>
      <c r="E503" s="360">
        <f t="shared" si="35"/>
        <v>122</v>
      </c>
      <c r="F503" s="360">
        <f t="shared" ref="F503:M503" si="37">F10</f>
        <v>19</v>
      </c>
      <c r="G503" s="360">
        <f t="shared" si="37"/>
        <v>2</v>
      </c>
      <c r="H503" s="360">
        <f t="shared" si="37"/>
        <v>0</v>
      </c>
      <c r="I503" s="360">
        <f t="shared" si="37"/>
        <v>21</v>
      </c>
      <c r="J503" s="360">
        <f t="shared" si="37"/>
        <v>8</v>
      </c>
      <c r="K503" s="360">
        <f t="shared" si="37"/>
        <v>2</v>
      </c>
      <c r="L503" s="360">
        <f t="shared" si="37"/>
        <v>0</v>
      </c>
      <c r="M503" s="360">
        <f t="shared" si="37"/>
        <v>10</v>
      </c>
    </row>
    <row r="504" spans="1:13" s="352" customFormat="1" ht="12.75" x14ac:dyDescent="0.2">
      <c r="A504" s="348">
        <f>IF(ADSI!$G$12="",ADSI!$H$16,ADSI!$H$12)</f>
        <v>6</v>
      </c>
      <c r="B504" s="348" t="str">
        <f ca="1">IF(ADSI!$G$12="",ADSI!$H$16,ADSI!$H$14)</f>
        <v/>
      </c>
      <c r="C504" s="395">
        <f t="shared" si="34"/>
        <v>553</v>
      </c>
      <c r="D504" s="348">
        <f>ADSI!$K$12</f>
        <v>2021</v>
      </c>
      <c r="E504" s="360">
        <f t="shared" si="35"/>
        <v>1</v>
      </c>
      <c r="F504" s="360">
        <f t="shared" ref="F504:M504" si="38">F11</f>
        <v>0</v>
      </c>
      <c r="G504" s="360">
        <f t="shared" si="38"/>
        <v>0</v>
      </c>
      <c r="H504" s="360">
        <f t="shared" si="38"/>
        <v>0</v>
      </c>
      <c r="I504" s="360">
        <f t="shared" si="38"/>
        <v>0</v>
      </c>
      <c r="J504" s="360">
        <f t="shared" si="38"/>
        <v>1</v>
      </c>
      <c r="K504" s="360">
        <f t="shared" si="38"/>
        <v>0</v>
      </c>
      <c r="L504" s="360">
        <f t="shared" si="38"/>
        <v>0</v>
      </c>
      <c r="M504" s="360">
        <f t="shared" si="38"/>
        <v>1</v>
      </c>
    </row>
    <row r="505" spans="1:13" s="352" customFormat="1" ht="12.75" x14ac:dyDescent="0.2">
      <c r="A505" s="348">
        <f>IF(ADSI!$G$12="",ADSI!$H$16,ADSI!$H$12)</f>
        <v>6</v>
      </c>
      <c r="B505" s="348" t="str">
        <f ca="1">IF(ADSI!$G$12="",ADSI!$H$16,ADSI!$H$14)</f>
        <v/>
      </c>
      <c r="C505" s="395">
        <f t="shared" si="34"/>
        <v>554</v>
      </c>
      <c r="D505" s="348">
        <f>ADSI!$K$12</f>
        <v>2021</v>
      </c>
      <c r="E505" s="360">
        <f t="shared" si="35"/>
        <v>5</v>
      </c>
      <c r="F505" s="360">
        <f t="shared" ref="F505:M505" si="39">F12</f>
        <v>0</v>
      </c>
      <c r="G505" s="360">
        <f t="shared" si="39"/>
        <v>0</v>
      </c>
      <c r="H505" s="360">
        <f t="shared" si="39"/>
        <v>0</v>
      </c>
      <c r="I505" s="360">
        <f t="shared" si="39"/>
        <v>0</v>
      </c>
      <c r="J505" s="360">
        <f t="shared" si="39"/>
        <v>2</v>
      </c>
      <c r="K505" s="360">
        <f t="shared" si="39"/>
        <v>0</v>
      </c>
      <c r="L505" s="360">
        <f t="shared" si="39"/>
        <v>0</v>
      </c>
      <c r="M505" s="360">
        <f t="shared" si="39"/>
        <v>2</v>
      </c>
    </row>
    <row r="506" spans="1:13" s="352" customFormat="1" ht="12.75" x14ac:dyDescent="0.2">
      <c r="A506" s="348">
        <f>IF(ADSI!$G$12="",ADSI!$H$16,ADSI!$H$12)</f>
        <v>6</v>
      </c>
      <c r="B506" s="348" t="str">
        <f ca="1">IF(ADSI!$G$12="",ADSI!$H$16,ADSI!$H$14)</f>
        <v/>
      </c>
      <c r="C506" s="395">
        <f t="shared" si="34"/>
        <v>555</v>
      </c>
      <c r="D506" s="348">
        <f>ADSI!$K$12</f>
        <v>2021</v>
      </c>
      <c r="E506" s="360">
        <f t="shared" si="35"/>
        <v>6</v>
      </c>
      <c r="F506" s="360">
        <f t="shared" ref="F506:M506" si="40">F13</f>
        <v>1</v>
      </c>
      <c r="G506" s="360">
        <f t="shared" si="40"/>
        <v>0</v>
      </c>
      <c r="H506" s="360">
        <f t="shared" si="40"/>
        <v>0</v>
      </c>
      <c r="I506" s="360">
        <f t="shared" si="40"/>
        <v>1</v>
      </c>
      <c r="J506" s="360">
        <f t="shared" si="40"/>
        <v>2</v>
      </c>
      <c r="K506" s="360">
        <f t="shared" si="40"/>
        <v>0</v>
      </c>
      <c r="L506" s="360">
        <f t="shared" si="40"/>
        <v>0</v>
      </c>
      <c r="M506" s="360">
        <f t="shared" si="40"/>
        <v>2</v>
      </c>
    </row>
    <row r="507" spans="1:13" s="352" customFormat="1" ht="12.75" x14ac:dyDescent="0.2">
      <c r="A507" s="348">
        <f>IF(ADSI!$G$12="",ADSI!$H$16,ADSI!$H$12)</f>
        <v>6</v>
      </c>
      <c r="B507" s="348" t="str">
        <f ca="1">IF(ADSI!$G$12="",ADSI!$H$16,ADSI!$H$14)</f>
        <v/>
      </c>
      <c r="C507" s="395">
        <f t="shared" si="34"/>
        <v>556</v>
      </c>
      <c r="D507" s="348">
        <f>ADSI!$K$12</f>
        <v>2021</v>
      </c>
      <c r="E507" s="360">
        <f t="shared" si="35"/>
        <v>0</v>
      </c>
      <c r="F507" s="360">
        <f t="shared" ref="F507:M507" si="41">F14</f>
        <v>0</v>
      </c>
      <c r="G507" s="360">
        <f t="shared" si="41"/>
        <v>0</v>
      </c>
      <c r="H507" s="360">
        <f t="shared" si="41"/>
        <v>0</v>
      </c>
      <c r="I507" s="360">
        <f t="shared" si="41"/>
        <v>0</v>
      </c>
      <c r="J507" s="360">
        <f t="shared" si="41"/>
        <v>0</v>
      </c>
      <c r="K507" s="360">
        <f t="shared" si="41"/>
        <v>0</v>
      </c>
      <c r="L507" s="360">
        <f t="shared" si="41"/>
        <v>0</v>
      </c>
      <c r="M507" s="360">
        <f t="shared" si="41"/>
        <v>0</v>
      </c>
    </row>
    <row r="508" spans="1:13" s="352" customFormat="1" ht="12.75" x14ac:dyDescent="0.2">
      <c r="A508" s="348">
        <f>IF(ADSI!$G$12="",ADSI!$H$16,ADSI!$H$12)</f>
        <v>6</v>
      </c>
      <c r="B508" s="348" t="str">
        <f ca="1">IF(ADSI!$G$12="",ADSI!$H$16,ADSI!$H$14)</f>
        <v/>
      </c>
      <c r="C508" s="395">
        <f t="shared" si="34"/>
        <v>557</v>
      </c>
      <c r="D508" s="348">
        <f>ADSI!$K$12</f>
        <v>2021</v>
      </c>
      <c r="E508" s="360">
        <f t="shared" si="35"/>
        <v>0</v>
      </c>
      <c r="F508" s="360">
        <f t="shared" ref="F508:M508" si="42">F15</f>
        <v>0</v>
      </c>
      <c r="G508" s="360">
        <f t="shared" si="42"/>
        <v>0</v>
      </c>
      <c r="H508" s="360">
        <f t="shared" si="42"/>
        <v>0</v>
      </c>
      <c r="I508" s="360">
        <f t="shared" si="42"/>
        <v>0</v>
      </c>
      <c r="J508" s="360">
        <f t="shared" si="42"/>
        <v>0</v>
      </c>
      <c r="K508" s="360">
        <f t="shared" si="42"/>
        <v>0</v>
      </c>
      <c r="L508" s="360">
        <f t="shared" si="42"/>
        <v>0</v>
      </c>
      <c r="M508" s="360">
        <f t="shared" si="42"/>
        <v>0</v>
      </c>
    </row>
    <row r="509" spans="1:13" s="352" customFormat="1" ht="12.75" x14ac:dyDescent="0.2">
      <c r="A509" s="348">
        <f>IF(ADSI!$G$12="",ADSI!$H$16,ADSI!$H$12)</f>
        <v>6</v>
      </c>
      <c r="B509" s="348" t="str">
        <f ca="1">IF(ADSI!$G$12="",ADSI!$H$16,ADSI!$H$14)</f>
        <v/>
      </c>
      <c r="C509" s="395">
        <f t="shared" si="34"/>
        <v>558</v>
      </c>
      <c r="D509" s="348">
        <f>ADSI!$K$12</f>
        <v>2021</v>
      </c>
      <c r="E509" s="360">
        <f t="shared" si="35"/>
        <v>0</v>
      </c>
      <c r="F509" s="360">
        <f t="shared" ref="F509:M509" si="43">F16</f>
        <v>0</v>
      </c>
      <c r="G509" s="360">
        <f t="shared" si="43"/>
        <v>0</v>
      </c>
      <c r="H509" s="360">
        <f t="shared" si="43"/>
        <v>0</v>
      </c>
      <c r="I509" s="360">
        <f t="shared" si="43"/>
        <v>0</v>
      </c>
      <c r="J509" s="360">
        <f t="shared" si="43"/>
        <v>0</v>
      </c>
      <c r="K509" s="360">
        <f t="shared" si="43"/>
        <v>0</v>
      </c>
      <c r="L509" s="360">
        <f t="shared" si="43"/>
        <v>0</v>
      </c>
      <c r="M509" s="360">
        <f t="shared" si="43"/>
        <v>0</v>
      </c>
    </row>
    <row r="510" spans="1:13" s="352" customFormat="1" ht="12.75" x14ac:dyDescent="0.2">
      <c r="A510" s="348">
        <f>IF(ADSI!$G$12="",ADSI!$H$16,ADSI!$H$12)</f>
        <v>6</v>
      </c>
      <c r="B510" s="348" t="str">
        <f ca="1">IF(ADSI!$G$12="",ADSI!$H$16,ADSI!$H$14)</f>
        <v/>
      </c>
      <c r="C510" s="395">
        <f t="shared" si="34"/>
        <v>559</v>
      </c>
      <c r="D510" s="348">
        <f>ADSI!$K$12</f>
        <v>2021</v>
      </c>
      <c r="E510" s="360">
        <f t="shared" si="35"/>
        <v>0</v>
      </c>
      <c r="F510" s="360">
        <f t="shared" ref="F510:M510" si="44">F17</f>
        <v>0</v>
      </c>
      <c r="G510" s="360">
        <f t="shared" si="44"/>
        <v>0</v>
      </c>
      <c r="H510" s="360">
        <f t="shared" si="44"/>
        <v>0</v>
      </c>
      <c r="I510" s="360">
        <f t="shared" si="44"/>
        <v>0</v>
      </c>
      <c r="J510" s="360">
        <f t="shared" si="44"/>
        <v>0</v>
      </c>
      <c r="K510" s="360">
        <f t="shared" si="44"/>
        <v>0</v>
      </c>
      <c r="L510" s="360">
        <f t="shared" si="44"/>
        <v>0</v>
      </c>
      <c r="M510" s="360">
        <f t="shared" si="44"/>
        <v>0</v>
      </c>
    </row>
    <row r="511" spans="1:13" s="352" customFormat="1" ht="12.75" x14ac:dyDescent="0.2">
      <c r="A511" s="348">
        <f>IF(ADSI!$G$12="",ADSI!$H$16,ADSI!$H$12)</f>
        <v>6</v>
      </c>
      <c r="B511" s="348" t="str">
        <f ca="1">IF(ADSI!$G$12="",ADSI!$H$16,ADSI!$H$14)</f>
        <v/>
      </c>
      <c r="C511" s="395">
        <f t="shared" si="34"/>
        <v>560</v>
      </c>
      <c r="D511" s="348">
        <f>ADSI!$K$12</f>
        <v>2021</v>
      </c>
      <c r="E511" s="360">
        <f t="shared" si="35"/>
        <v>2</v>
      </c>
      <c r="F511" s="360">
        <f t="shared" ref="F511:M511" si="45">F18</f>
        <v>1</v>
      </c>
      <c r="G511" s="360">
        <f t="shared" si="45"/>
        <v>0</v>
      </c>
      <c r="H511" s="360">
        <f t="shared" si="45"/>
        <v>0</v>
      </c>
      <c r="I511" s="360">
        <f t="shared" si="45"/>
        <v>1</v>
      </c>
      <c r="J511" s="360">
        <f t="shared" si="45"/>
        <v>0</v>
      </c>
      <c r="K511" s="360">
        <f t="shared" si="45"/>
        <v>0</v>
      </c>
      <c r="L511" s="360">
        <f t="shared" si="45"/>
        <v>0</v>
      </c>
      <c r="M511" s="360">
        <f t="shared" si="45"/>
        <v>0</v>
      </c>
    </row>
    <row r="512" spans="1:13" s="352" customFormat="1" ht="12.75" x14ac:dyDescent="0.2">
      <c r="A512" s="348">
        <f>IF(ADSI!$G$12="",ADSI!$H$16,ADSI!$H$12)</f>
        <v>6</v>
      </c>
      <c r="B512" s="348" t="str">
        <f ca="1">IF(ADSI!$G$12="",ADSI!$H$16,ADSI!$H$14)</f>
        <v/>
      </c>
      <c r="C512" s="395">
        <f t="shared" si="34"/>
        <v>561</v>
      </c>
      <c r="D512" s="348">
        <f>ADSI!$K$12</f>
        <v>2021</v>
      </c>
      <c r="E512" s="360">
        <f t="shared" si="35"/>
        <v>0</v>
      </c>
      <c r="F512" s="360">
        <f t="shared" ref="F512:M512" si="46">F19</f>
        <v>0</v>
      </c>
      <c r="G512" s="360">
        <f t="shared" si="46"/>
        <v>0</v>
      </c>
      <c r="H512" s="360">
        <f t="shared" si="46"/>
        <v>0</v>
      </c>
      <c r="I512" s="360">
        <f t="shared" si="46"/>
        <v>0</v>
      </c>
      <c r="J512" s="360">
        <f t="shared" si="46"/>
        <v>0</v>
      </c>
      <c r="K512" s="360">
        <f t="shared" si="46"/>
        <v>0</v>
      </c>
      <c r="L512" s="360">
        <f t="shared" si="46"/>
        <v>0</v>
      </c>
      <c r="M512" s="360">
        <f t="shared" si="46"/>
        <v>0</v>
      </c>
    </row>
    <row r="513" spans="1:13" s="352" customFormat="1" ht="12.75" x14ac:dyDescent="0.2">
      <c r="A513" s="348">
        <f>IF(ADSI!$G$12="",ADSI!$H$16,ADSI!$H$12)</f>
        <v>6</v>
      </c>
      <c r="B513" s="348" t="str">
        <f ca="1">IF(ADSI!$G$12="",ADSI!$H$16,ADSI!$H$14)</f>
        <v/>
      </c>
      <c r="C513" s="395">
        <f t="shared" si="34"/>
        <v>562</v>
      </c>
      <c r="D513" s="348">
        <f>ADSI!$K$12</f>
        <v>2021</v>
      </c>
      <c r="E513" s="360">
        <f t="shared" si="35"/>
        <v>0</v>
      </c>
      <c r="F513" s="360">
        <f t="shared" ref="F513:M513" si="47">F20</f>
        <v>0</v>
      </c>
      <c r="G513" s="360">
        <f t="shared" si="47"/>
        <v>0</v>
      </c>
      <c r="H513" s="360">
        <f t="shared" si="47"/>
        <v>0</v>
      </c>
      <c r="I513" s="360">
        <f t="shared" si="47"/>
        <v>0</v>
      </c>
      <c r="J513" s="360">
        <f t="shared" si="47"/>
        <v>0</v>
      </c>
      <c r="K513" s="360">
        <f t="shared" si="47"/>
        <v>0</v>
      </c>
      <c r="L513" s="360">
        <f t="shared" si="47"/>
        <v>0</v>
      </c>
      <c r="M513" s="360">
        <f t="shared" si="47"/>
        <v>0</v>
      </c>
    </row>
    <row r="514" spans="1:13" s="352" customFormat="1" ht="12.75" x14ac:dyDescent="0.2">
      <c r="A514" s="348">
        <f>IF(ADSI!$G$12="",ADSI!$H$16,ADSI!$H$12)</f>
        <v>6</v>
      </c>
      <c r="B514" s="348" t="str">
        <f ca="1">IF(ADSI!$G$12="",ADSI!$H$16,ADSI!$H$14)</f>
        <v/>
      </c>
      <c r="C514" s="395">
        <f t="shared" si="34"/>
        <v>563</v>
      </c>
      <c r="D514" s="348">
        <f>ADSI!$K$12</f>
        <v>2021</v>
      </c>
      <c r="E514" s="360">
        <f t="shared" si="35"/>
        <v>5</v>
      </c>
      <c r="F514" s="360">
        <f t="shared" ref="F514:M514" si="48">F21</f>
        <v>0</v>
      </c>
      <c r="G514" s="360">
        <f t="shared" si="48"/>
        <v>0</v>
      </c>
      <c r="H514" s="360">
        <f t="shared" si="48"/>
        <v>0</v>
      </c>
      <c r="I514" s="360">
        <f t="shared" si="48"/>
        <v>0</v>
      </c>
      <c r="J514" s="360">
        <f t="shared" si="48"/>
        <v>1</v>
      </c>
      <c r="K514" s="360">
        <f t="shared" si="48"/>
        <v>2</v>
      </c>
      <c r="L514" s="360">
        <f t="shared" si="48"/>
        <v>0</v>
      </c>
      <c r="M514" s="360">
        <f t="shared" si="48"/>
        <v>3</v>
      </c>
    </row>
    <row r="515" spans="1:13" s="352" customFormat="1" ht="12.75" x14ac:dyDescent="0.2">
      <c r="A515" s="348">
        <f>IF(ADSI!$G$12="",ADSI!$H$16,ADSI!$H$12)</f>
        <v>6</v>
      </c>
      <c r="B515" s="348" t="str">
        <f ca="1">IF(ADSI!$G$12="",ADSI!$H$16,ADSI!$H$14)</f>
        <v/>
      </c>
      <c r="C515" s="395">
        <f t="shared" si="34"/>
        <v>580</v>
      </c>
      <c r="D515" s="348">
        <f>ADSI!$K$12</f>
        <v>2021</v>
      </c>
      <c r="E515" s="360">
        <f t="shared" si="35"/>
        <v>2850</v>
      </c>
      <c r="F515" s="360">
        <f t="shared" ref="F515:M515" si="49">F22</f>
        <v>696</v>
      </c>
      <c r="G515" s="360">
        <f t="shared" si="49"/>
        <v>160</v>
      </c>
      <c r="H515" s="360">
        <f t="shared" si="49"/>
        <v>0</v>
      </c>
      <c r="I515" s="360">
        <f t="shared" si="49"/>
        <v>856</v>
      </c>
      <c r="J515" s="360">
        <f t="shared" si="49"/>
        <v>193</v>
      </c>
      <c r="K515" s="360">
        <f t="shared" si="49"/>
        <v>33</v>
      </c>
      <c r="L515" s="360">
        <f t="shared" si="49"/>
        <v>0</v>
      </c>
      <c r="M515" s="360">
        <f t="shared" si="49"/>
        <v>226</v>
      </c>
    </row>
    <row r="516" spans="1:13" s="352" customFormat="1" ht="12.75" x14ac:dyDescent="0.2">
      <c r="C516" s="353"/>
    </row>
    <row r="517" spans="1:13" s="352" customFormat="1" ht="12.75" x14ac:dyDescent="0.2">
      <c r="C517" s="353"/>
    </row>
    <row r="518" spans="1:13" s="352" customFormat="1" ht="12.75" x14ac:dyDescent="0.2"/>
    <row r="519" spans="1:13" s="352" customFormat="1" ht="12.75" x14ac:dyDescent="0.2"/>
  </sheetData>
  <sheetProtection password="C614" sheet="1" objects="1" scenarios="1" selectLockedCells="1"/>
  <mergeCells count="24">
    <mergeCell ref="BC204:BC205"/>
    <mergeCell ref="BA226:BB226"/>
    <mergeCell ref="BA227:BB227"/>
    <mergeCell ref="BE204:BH204"/>
    <mergeCell ref="BI204:BL204"/>
    <mergeCell ref="BA222:BB222"/>
    <mergeCell ref="BD204:BD206"/>
    <mergeCell ref="BA204:BA205"/>
    <mergeCell ref="BB204:BB205"/>
    <mergeCell ref="BA225:BB225"/>
    <mergeCell ref="A24:C24"/>
    <mergeCell ref="A25:C25"/>
    <mergeCell ref="BA223:BB223"/>
    <mergeCell ref="BA224:BB224"/>
    <mergeCell ref="A5:A6"/>
    <mergeCell ref="J5:M5"/>
    <mergeCell ref="B5:B6"/>
    <mergeCell ref="C5:C6"/>
    <mergeCell ref="D5:D6"/>
    <mergeCell ref="F5:I5"/>
    <mergeCell ref="E5:E6"/>
    <mergeCell ref="A28:C28"/>
    <mergeCell ref="A27:C27"/>
    <mergeCell ref="A26:C26"/>
  </mergeCells>
  <conditionalFormatting sqref="D25 F25:M25">
    <cfRule type="cellIs" dxfId="101" priority="10" operator="equal">
      <formula>FALSE</formula>
    </cfRule>
  </conditionalFormatting>
  <conditionalFormatting sqref="E8:E13 E15:E22">
    <cfRule type="cellIs" dxfId="100" priority="9" operator="equal">
      <formula>FALSE</formula>
    </cfRule>
  </conditionalFormatting>
  <conditionalFormatting sqref="E14">
    <cfRule type="cellIs" dxfId="99" priority="8" operator="equal">
      <formula>FALSE</formula>
    </cfRule>
  </conditionalFormatting>
  <conditionalFormatting sqref="D28 F28:M28">
    <cfRule type="cellIs" dxfId="98" priority="6" operator="equal">
      <formula>"ABVAR"</formula>
    </cfRule>
    <cfRule type="cellIs" dxfId="97" priority="7" operator="equal">
      <formula>FALSE</formula>
    </cfRule>
  </conditionalFormatting>
  <conditionalFormatting sqref="D27 F27:M27">
    <cfRule type="cellIs" dxfId="96" priority="4" operator="equal">
      <formula>"ABVAR"</formula>
    </cfRule>
    <cfRule type="cellIs" dxfId="95" priority="5" operator="equal">
      <formula>FALSE</formula>
    </cfRule>
  </conditionalFormatting>
  <conditionalFormatting sqref="D26 F26:M26">
    <cfRule type="cellIs" dxfId="94" priority="1" operator="equal">
      <formula>FALSE</formula>
    </cfRule>
  </conditionalFormatting>
  <dataValidations count="1">
    <dataValidation type="whole" allowBlank="1" showInputMessage="1" showErrorMessage="1" sqref="F15:H21 J8:L13 F8:H13 D8:D13 D15:D21 J15:L21">
      <formula1>0</formula1>
      <formula2>999999999</formula2>
    </dataValidation>
  </dataValidations>
  <pageMargins left="1.1811023622047245" right="0.78740157480314965" top="0.98425196850393704" bottom="0.78740157480314965" header="0.31496062992125984" footer="0.19685039370078741"/>
  <pageSetup paperSize="5" orientation="landscape" r:id="rId1"/>
  <headerFooter>
    <oddFooter>&amp;L&amp;9ADSI - &amp;A&amp;C&amp;9&amp;D &amp;T&amp;R&amp;9Page &amp;P of &amp;N</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R515"/>
  <sheetViews>
    <sheetView showGridLines="0" workbookViewId="0">
      <pane xSplit="3" ySplit="7" topLeftCell="D8" activePane="bottomRight" state="frozen"/>
      <selection activeCell="D9" sqref="D9"/>
      <selection pane="topRight" activeCell="D9" sqref="D9"/>
      <selection pane="bottomLeft" activeCell="D9" sqref="D9"/>
      <selection pane="bottomRight" activeCell="D8" sqref="D8"/>
    </sheetView>
  </sheetViews>
  <sheetFormatPr defaultRowHeight="15" x14ac:dyDescent="0.25"/>
  <cols>
    <col min="1" max="2" width="6.7109375" style="1" customWidth="1"/>
    <col min="3" max="3" width="22.42578125" style="1" bestFit="1" customWidth="1"/>
    <col min="4" max="4" width="15.7109375" style="1" customWidth="1"/>
    <col min="5" max="5" width="12.7109375" style="1" customWidth="1"/>
    <col min="6" max="7" width="15.7109375" style="1" customWidth="1"/>
    <col min="8" max="11" width="12.7109375" style="1" customWidth="1"/>
    <col min="12" max="12" width="13.7109375" style="1" customWidth="1"/>
    <col min="13" max="13" width="12.7109375" style="1" customWidth="1"/>
    <col min="14" max="15" width="13.7109375" style="1" customWidth="1"/>
    <col min="16" max="18" width="15.7109375" style="1" customWidth="1"/>
    <col min="19" max="19" width="8.7109375" style="1" customWidth="1"/>
    <col min="20" max="52" width="9.140625" style="1"/>
    <col min="53" max="53" width="5" style="1" customWidth="1"/>
    <col min="54" max="54" width="16.7109375" style="1" customWidth="1"/>
    <col min="55" max="16384" width="9.140625" style="1"/>
  </cols>
  <sheetData>
    <row r="1" spans="1:19" ht="15.75" x14ac:dyDescent="0.25">
      <c r="A1" s="285" t="str">
        <f>ADSI!$B$1</f>
        <v>Goa, , ADSI-2021</v>
      </c>
    </row>
    <row r="2" spans="1:19" ht="15.75" x14ac:dyDescent="0.25">
      <c r="A2" s="286" t="s">
        <v>657</v>
      </c>
      <c r="C2" s="287">
        <f>COUNTIF(D22:R22,FALSE)+COUNTIF(E8:E20,FALSE)+COUNTIF(I8:I20,FALSE)+COUNTIF(M8:M20,FALSE)</f>
        <v>0</v>
      </c>
    </row>
    <row r="3" spans="1:19" s="6" customFormat="1" ht="15.75" x14ac:dyDescent="0.25">
      <c r="A3" s="296" t="s">
        <v>101</v>
      </c>
      <c r="C3" s="65"/>
      <c r="D3" s="65"/>
      <c r="E3" s="71"/>
      <c r="F3" s="65"/>
      <c r="G3" s="65"/>
      <c r="H3" s="65"/>
      <c r="I3" s="71"/>
      <c r="J3" s="65"/>
      <c r="K3" s="65"/>
      <c r="L3" s="65"/>
      <c r="M3" s="71"/>
      <c r="N3" s="65"/>
      <c r="O3" s="65"/>
      <c r="P3" s="65"/>
      <c r="Q3" s="35"/>
    </row>
    <row r="4" spans="1:19" s="6" customFormat="1" ht="15.75" x14ac:dyDescent="0.25">
      <c r="A4" s="296" t="s">
        <v>673</v>
      </c>
      <c r="C4" s="65"/>
      <c r="D4" s="65"/>
      <c r="E4" s="71"/>
      <c r="F4" s="65"/>
      <c r="G4" s="65"/>
      <c r="H4" s="65"/>
      <c r="I4" s="71"/>
      <c r="J4" s="65"/>
      <c r="K4" s="65"/>
      <c r="L4" s="65"/>
      <c r="M4" s="71"/>
      <c r="N4" s="65"/>
      <c r="O4" s="65"/>
      <c r="P4" s="65"/>
    </row>
    <row r="5" spans="1:19" ht="20.100000000000001" customHeight="1" x14ac:dyDescent="0.25">
      <c r="A5" s="636" t="s">
        <v>249</v>
      </c>
      <c r="B5" s="636" t="s">
        <v>0</v>
      </c>
      <c r="C5" s="696" t="s">
        <v>86</v>
      </c>
      <c r="D5" s="649" t="s">
        <v>46</v>
      </c>
      <c r="E5" s="649"/>
      <c r="F5" s="649"/>
      <c r="G5" s="649"/>
      <c r="H5" s="686" t="s">
        <v>87</v>
      </c>
      <c r="I5" s="686"/>
      <c r="J5" s="686"/>
      <c r="K5" s="686"/>
      <c r="L5" s="710" t="s">
        <v>88</v>
      </c>
      <c r="M5" s="711"/>
      <c r="N5" s="711"/>
      <c r="O5" s="712"/>
      <c r="P5" s="686" t="s">
        <v>17</v>
      </c>
      <c r="Q5" s="686"/>
      <c r="R5" s="686"/>
    </row>
    <row r="6" spans="1:19" ht="60" x14ac:dyDescent="0.25">
      <c r="A6" s="644"/>
      <c r="B6" s="644"/>
      <c r="C6" s="709"/>
      <c r="D6" s="63" t="s">
        <v>35</v>
      </c>
      <c r="E6" s="327" t="s">
        <v>589</v>
      </c>
      <c r="F6" s="62" t="s">
        <v>36</v>
      </c>
      <c r="G6" s="63" t="s">
        <v>37</v>
      </c>
      <c r="H6" s="217" t="s">
        <v>35</v>
      </c>
      <c r="I6" s="327" t="s">
        <v>589</v>
      </c>
      <c r="J6" s="217" t="s">
        <v>36</v>
      </c>
      <c r="K6" s="217" t="s">
        <v>37</v>
      </c>
      <c r="L6" s="63" t="s">
        <v>35</v>
      </c>
      <c r="M6" s="327" t="s">
        <v>589</v>
      </c>
      <c r="N6" s="63" t="s">
        <v>36</v>
      </c>
      <c r="O6" s="63" t="s">
        <v>37</v>
      </c>
      <c r="P6" s="217" t="s">
        <v>674</v>
      </c>
      <c r="Q6" s="217" t="s">
        <v>675</v>
      </c>
      <c r="R6" s="217" t="s">
        <v>676</v>
      </c>
    </row>
    <row r="7" spans="1:19" ht="20.100000000000001" customHeight="1" x14ac:dyDescent="0.25">
      <c r="A7" s="9"/>
      <c r="B7" s="9" t="s">
        <v>181</v>
      </c>
      <c r="C7" s="218" t="s">
        <v>182</v>
      </c>
      <c r="D7" s="8" t="s">
        <v>183</v>
      </c>
      <c r="E7" s="329"/>
      <c r="F7" s="9" t="s">
        <v>184</v>
      </c>
      <c r="G7" s="9" t="s">
        <v>185</v>
      </c>
      <c r="H7" s="218" t="s">
        <v>186</v>
      </c>
      <c r="I7" s="329"/>
      <c r="J7" s="219" t="s">
        <v>187</v>
      </c>
      <c r="K7" s="219" t="s">
        <v>188</v>
      </c>
      <c r="L7" s="8" t="s">
        <v>189</v>
      </c>
      <c r="M7" s="329"/>
      <c r="N7" s="8" t="s">
        <v>190</v>
      </c>
      <c r="O7" s="8" t="s">
        <v>191</v>
      </c>
      <c r="P7" s="219" t="s">
        <v>192</v>
      </c>
      <c r="Q7" s="219" t="s">
        <v>193</v>
      </c>
      <c r="R7" s="219" t="s">
        <v>194</v>
      </c>
    </row>
    <row r="8" spans="1:19" ht="20.100000000000001" customHeight="1" x14ac:dyDescent="0.25">
      <c r="A8" s="54">
        <v>600</v>
      </c>
      <c r="B8" s="261">
        <v>1</v>
      </c>
      <c r="C8" s="67" t="s">
        <v>89</v>
      </c>
      <c r="D8" s="265">
        <v>301</v>
      </c>
      <c r="E8" s="322" t="str">
        <f>IF(AND(OR(F8&gt;0,G8&gt;0),D8=0),FALSE,"")</f>
        <v/>
      </c>
      <c r="F8" s="235">
        <v>105</v>
      </c>
      <c r="G8" s="234">
        <v>25</v>
      </c>
      <c r="H8" s="265">
        <v>0</v>
      </c>
      <c r="I8" s="322" t="str">
        <f>IF(AND(OR(J8&gt;0,K8&gt;0),H8=0),FALSE,"")</f>
        <v/>
      </c>
      <c r="J8" s="235">
        <v>0</v>
      </c>
      <c r="K8" s="246">
        <v>0</v>
      </c>
      <c r="L8" s="265">
        <v>5</v>
      </c>
      <c r="M8" s="322" t="str">
        <f>IF(AND(OR(N8&gt;0,O8&gt;0),L8=0),FALSE,"")</f>
        <v/>
      </c>
      <c r="N8" s="235">
        <v>0</v>
      </c>
      <c r="O8" s="246">
        <v>5</v>
      </c>
      <c r="P8" s="438">
        <f>SUM(D8+H8+L8)</f>
        <v>306</v>
      </c>
      <c r="Q8" s="438">
        <f t="shared" ref="Q8:Q19" si="0">SUM(F8+J8+N8)</f>
        <v>105</v>
      </c>
      <c r="R8" s="438">
        <f t="shared" ref="R8:R19" si="1">SUM(G8+K8+O8)</f>
        <v>30</v>
      </c>
      <c r="S8" s="335"/>
    </row>
    <row r="9" spans="1:19" ht="20.100000000000001" customHeight="1" x14ac:dyDescent="0.25">
      <c r="A9" s="64">
        <v>601</v>
      </c>
      <c r="B9" s="118">
        <v>2</v>
      </c>
      <c r="C9" s="12" t="s">
        <v>90</v>
      </c>
      <c r="D9" s="265">
        <v>235</v>
      </c>
      <c r="E9" s="322" t="str">
        <f t="shared" ref="E9:E20" si="2">IF(AND(OR(F9&gt;0,G9&gt;0),D9=0),FALSE,"")</f>
        <v/>
      </c>
      <c r="F9" s="265">
        <v>75</v>
      </c>
      <c r="G9" s="265">
        <v>12</v>
      </c>
      <c r="H9" s="265">
        <v>0</v>
      </c>
      <c r="I9" s="322" t="str">
        <f t="shared" ref="I9:I20" si="3">IF(AND(OR(J9&gt;0,K9&gt;0),H9=0),FALSE,"")</f>
        <v/>
      </c>
      <c r="J9" s="265">
        <v>0</v>
      </c>
      <c r="K9" s="265">
        <v>0</v>
      </c>
      <c r="L9" s="265">
        <v>1</v>
      </c>
      <c r="M9" s="322" t="str">
        <f t="shared" ref="M9:M20" si="4">IF(AND(OR(N9&gt;0,O9&gt;0),L9=0),FALSE,"")</f>
        <v/>
      </c>
      <c r="N9" s="265">
        <v>0</v>
      </c>
      <c r="O9" s="265">
        <v>1</v>
      </c>
      <c r="P9" s="438">
        <f t="shared" ref="P9:P19" si="5">SUM(D9+H9+L9)</f>
        <v>236</v>
      </c>
      <c r="Q9" s="438">
        <f t="shared" si="0"/>
        <v>75</v>
      </c>
      <c r="R9" s="438">
        <f t="shared" si="1"/>
        <v>13</v>
      </c>
      <c r="S9" s="335"/>
    </row>
    <row r="10" spans="1:19" ht="20.100000000000001" customHeight="1" x14ac:dyDescent="0.25">
      <c r="A10" s="262">
        <v>602</v>
      </c>
      <c r="B10" s="118">
        <v>3</v>
      </c>
      <c r="C10" s="12" t="s">
        <v>91</v>
      </c>
      <c r="D10" s="265">
        <v>285</v>
      </c>
      <c r="E10" s="322" t="str">
        <f t="shared" si="2"/>
        <v/>
      </c>
      <c r="F10" s="235">
        <v>84</v>
      </c>
      <c r="G10" s="234">
        <v>20</v>
      </c>
      <c r="H10" s="265">
        <v>0</v>
      </c>
      <c r="I10" s="322" t="str">
        <f t="shared" si="3"/>
        <v/>
      </c>
      <c r="J10" s="235">
        <v>0</v>
      </c>
      <c r="K10" s="246">
        <v>0</v>
      </c>
      <c r="L10" s="265">
        <v>5</v>
      </c>
      <c r="M10" s="322" t="str">
        <f t="shared" si="4"/>
        <v/>
      </c>
      <c r="N10" s="235">
        <v>0</v>
      </c>
      <c r="O10" s="246">
        <v>5</v>
      </c>
      <c r="P10" s="438">
        <f t="shared" si="5"/>
        <v>290</v>
      </c>
      <c r="Q10" s="438">
        <f t="shared" si="0"/>
        <v>84</v>
      </c>
      <c r="R10" s="438">
        <f t="shared" si="1"/>
        <v>25</v>
      </c>
      <c r="S10" s="335"/>
    </row>
    <row r="11" spans="1:19" ht="20.100000000000001" customHeight="1" x14ac:dyDescent="0.25">
      <c r="A11" s="118">
        <v>603</v>
      </c>
      <c r="B11" s="118">
        <v>4</v>
      </c>
      <c r="C11" s="12" t="s">
        <v>92</v>
      </c>
      <c r="D11" s="265">
        <v>210</v>
      </c>
      <c r="E11" s="322" t="str">
        <f t="shared" si="2"/>
        <v/>
      </c>
      <c r="F11" s="235">
        <v>61</v>
      </c>
      <c r="G11" s="234">
        <v>22</v>
      </c>
      <c r="H11" s="265">
        <v>0</v>
      </c>
      <c r="I11" s="322" t="str">
        <f t="shared" si="3"/>
        <v/>
      </c>
      <c r="J11" s="235">
        <v>0</v>
      </c>
      <c r="K11" s="246">
        <v>0</v>
      </c>
      <c r="L11" s="265">
        <v>6</v>
      </c>
      <c r="M11" s="322" t="str">
        <f t="shared" si="4"/>
        <v/>
      </c>
      <c r="N11" s="235">
        <v>0</v>
      </c>
      <c r="O11" s="246">
        <v>6</v>
      </c>
      <c r="P11" s="438">
        <f t="shared" si="5"/>
        <v>216</v>
      </c>
      <c r="Q11" s="438">
        <f t="shared" si="0"/>
        <v>61</v>
      </c>
      <c r="R11" s="438">
        <f t="shared" si="1"/>
        <v>28</v>
      </c>
      <c r="S11" s="335"/>
    </row>
    <row r="12" spans="1:19" ht="20.100000000000001" customHeight="1" x14ac:dyDescent="0.25">
      <c r="A12" s="262">
        <v>604</v>
      </c>
      <c r="B12" s="118">
        <v>5</v>
      </c>
      <c r="C12" s="12" t="s">
        <v>93</v>
      </c>
      <c r="D12" s="265">
        <v>131</v>
      </c>
      <c r="E12" s="322" t="str">
        <f t="shared" si="2"/>
        <v/>
      </c>
      <c r="F12" s="235">
        <v>35</v>
      </c>
      <c r="G12" s="234">
        <v>10</v>
      </c>
      <c r="H12" s="265">
        <v>0</v>
      </c>
      <c r="I12" s="322" t="str">
        <f t="shared" si="3"/>
        <v/>
      </c>
      <c r="J12" s="235">
        <v>0</v>
      </c>
      <c r="K12" s="246">
        <v>0</v>
      </c>
      <c r="L12" s="265">
        <v>2</v>
      </c>
      <c r="M12" s="322" t="str">
        <f t="shared" si="4"/>
        <v/>
      </c>
      <c r="N12" s="235">
        <v>0</v>
      </c>
      <c r="O12" s="246">
        <v>2</v>
      </c>
      <c r="P12" s="438">
        <f t="shared" si="5"/>
        <v>133</v>
      </c>
      <c r="Q12" s="438">
        <f t="shared" si="0"/>
        <v>35</v>
      </c>
      <c r="R12" s="438">
        <f t="shared" si="1"/>
        <v>12</v>
      </c>
      <c r="S12" s="335"/>
    </row>
    <row r="13" spans="1:19" ht="20.100000000000001" customHeight="1" x14ac:dyDescent="0.25">
      <c r="A13" s="118">
        <v>605</v>
      </c>
      <c r="B13" s="118">
        <v>6</v>
      </c>
      <c r="C13" s="12" t="s">
        <v>94</v>
      </c>
      <c r="D13" s="246">
        <v>169</v>
      </c>
      <c r="E13" s="322" t="str">
        <f t="shared" si="2"/>
        <v/>
      </c>
      <c r="F13" s="246">
        <v>53</v>
      </c>
      <c r="G13" s="234">
        <v>16</v>
      </c>
      <c r="H13" s="246">
        <v>0</v>
      </c>
      <c r="I13" s="322" t="str">
        <f t="shared" si="3"/>
        <v/>
      </c>
      <c r="J13" s="246">
        <v>0</v>
      </c>
      <c r="K13" s="246">
        <v>0</v>
      </c>
      <c r="L13" s="246">
        <v>6</v>
      </c>
      <c r="M13" s="322" t="str">
        <f t="shared" si="4"/>
        <v/>
      </c>
      <c r="N13" s="246">
        <v>0</v>
      </c>
      <c r="O13" s="246">
        <v>6</v>
      </c>
      <c r="P13" s="438">
        <f t="shared" si="5"/>
        <v>175</v>
      </c>
      <c r="Q13" s="438">
        <f t="shared" si="0"/>
        <v>53</v>
      </c>
      <c r="R13" s="438">
        <f t="shared" si="1"/>
        <v>22</v>
      </c>
      <c r="S13" s="335"/>
    </row>
    <row r="14" spans="1:19" ht="20.100000000000001" customHeight="1" x14ac:dyDescent="0.25">
      <c r="A14" s="262">
        <v>606</v>
      </c>
      <c r="B14" s="118">
        <v>7</v>
      </c>
      <c r="C14" s="12" t="s">
        <v>95</v>
      </c>
      <c r="D14" s="246">
        <v>199</v>
      </c>
      <c r="E14" s="322" t="str">
        <f t="shared" si="2"/>
        <v/>
      </c>
      <c r="F14" s="246">
        <v>56</v>
      </c>
      <c r="G14" s="234">
        <v>16</v>
      </c>
      <c r="H14" s="246">
        <v>0</v>
      </c>
      <c r="I14" s="322" t="str">
        <f t="shared" si="3"/>
        <v/>
      </c>
      <c r="J14" s="246">
        <v>0</v>
      </c>
      <c r="K14" s="246">
        <v>0</v>
      </c>
      <c r="L14" s="246">
        <v>7</v>
      </c>
      <c r="M14" s="322" t="str">
        <f t="shared" si="4"/>
        <v/>
      </c>
      <c r="N14" s="246">
        <v>0</v>
      </c>
      <c r="O14" s="246">
        <v>7</v>
      </c>
      <c r="P14" s="438">
        <f t="shared" si="5"/>
        <v>206</v>
      </c>
      <c r="Q14" s="438">
        <f t="shared" si="0"/>
        <v>56</v>
      </c>
      <c r="R14" s="438">
        <f t="shared" si="1"/>
        <v>23</v>
      </c>
      <c r="S14" s="335"/>
    </row>
    <row r="15" spans="1:19" ht="20.100000000000001" customHeight="1" x14ac:dyDescent="0.25">
      <c r="A15" s="118">
        <v>607</v>
      </c>
      <c r="B15" s="118">
        <v>8</v>
      </c>
      <c r="C15" s="12" t="s">
        <v>96</v>
      </c>
      <c r="D15" s="246">
        <v>212</v>
      </c>
      <c r="E15" s="322" t="str">
        <f t="shared" si="2"/>
        <v/>
      </c>
      <c r="F15" s="246">
        <v>59</v>
      </c>
      <c r="G15" s="234">
        <v>18</v>
      </c>
      <c r="H15" s="246">
        <v>0</v>
      </c>
      <c r="I15" s="322" t="str">
        <f t="shared" si="3"/>
        <v/>
      </c>
      <c r="J15" s="246">
        <v>0</v>
      </c>
      <c r="K15" s="246">
        <v>0</v>
      </c>
      <c r="L15" s="246">
        <v>0</v>
      </c>
      <c r="M15" s="322" t="str">
        <f t="shared" si="4"/>
        <v/>
      </c>
      <c r="N15" s="246">
        <v>0</v>
      </c>
      <c r="O15" s="246">
        <v>0</v>
      </c>
      <c r="P15" s="438">
        <f t="shared" si="5"/>
        <v>212</v>
      </c>
      <c r="Q15" s="438">
        <f t="shared" si="0"/>
        <v>59</v>
      </c>
      <c r="R15" s="438">
        <f t="shared" si="1"/>
        <v>18</v>
      </c>
      <c r="S15" s="335"/>
    </row>
    <row r="16" spans="1:19" ht="20.100000000000001" customHeight="1" x14ac:dyDescent="0.25">
      <c r="A16" s="262">
        <v>608</v>
      </c>
      <c r="B16" s="118">
        <v>9</v>
      </c>
      <c r="C16" s="12" t="s">
        <v>97</v>
      </c>
      <c r="D16" s="246">
        <v>227</v>
      </c>
      <c r="E16" s="322" t="str">
        <f t="shared" si="2"/>
        <v/>
      </c>
      <c r="F16" s="246">
        <v>52</v>
      </c>
      <c r="G16" s="234">
        <v>20</v>
      </c>
      <c r="H16" s="246">
        <v>0</v>
      </c>
      <c r="I16" s="322" t="str">
        <f t="shared" si="3"/>
        <v/>
      </c>
      <c r="J16" s="246">
        <v>0</v>
      </c>
      <c r="K16" s="246">
        <v>0</v>
      </c>
      <c r="L16" s="246">
        <v>6</v>
      </c>
      <c r="M16" s="322" t="str">
        <f t="shared" si="4"/>
        <v/>
      </c>
      <c r="N16" s="246">
        <v>0</v>
      </c>
      <c r="O16" s="246">
        <v>6</v>
      </c>
      <c r="P16" s="438">
        <f t="shared" si="5"/>
        <v>233</v>
      </c>
      <c r="Q16" s="438">
        <f t="shared" si="0"/>
        <v>52</v>
      </c>
      <c r="R16" s="438">
        <f t="shared" si="1"/>
        <v>26</v>
      </c>
      <c r="S16" s="335"/>
    </row>
    <row r="17" spans="1:19" ht="20.100000000000001" customHeight="1" x14ac:dyDescent="0.25">
      <c r="A17" s="118">
        <v>609</v>
      </c>
      <c r="B17" s="118">
        <v>10</v>
      </c>
      <c r="C17" s="12" t="s">
        <v>98</v>
      </c>
      <c r="D17" s="246">
        <v>252</v>
      </c>
      <c r="E17" s="322" t="str">
        <f t="shared" si="2"/>
        <v/>
      </c>
      <c r="F17" s="246">
        <v>76</v>
      </c>
      <c r="G17" s="234">
        <v>12</v>
      </c>
      <c r="H17" s="246">
        <v>0</v>
      </c>
      <c r="I17" s="322" t="str">
        <f t="shared" si="3"/>
        <v/>
      </c>
      <c r="J17" s="246">
        <v>0</v>
      </c>
      <c r="K17" s="246">
        <v>0</v>
      </c>
      <c r="L17" s="246">
        <v>3</v>
      </c>
      <c r="M17" s="322" t="str">
        <f t="shared" si="4"/>
        <v/>
      </c>
      <c r="N17" s="246">
        <v>0</v>
      </c>
      <c r="O17" s="246">
        <v>3</v>
      </c>
      <c r="P17" s="438">
        <f t="shared" si="5"/>
        <v>255</v>
      </c>
      <c r="Q17" s="438">
        <f t="shared" si="0"/>
        <v>76</v>
      </c>
      <c r="R17" s="438">
        <f t="shared" si="1"/>
        <v>15</v>
      </c>
      <c r="S17" s="335"/>
    </row>
    <row r="18" spans="1:19" ht="20.100000000000001" customHeight="1" x14ac:dyDescent="0.25">
      <c r="A18" s="262">
        <v>610</v>
      </c>
      <c r="B18" s="118">
        <v>11</v>
      </c>
      <c r="C18" s="12" t="s">
        <v>99</v>
      </c>
      <c r="D18" s="246">
        <v>287</v>
      </c>
      <c r="E18" s="322" t="str">
        <f t="shared" si="2"/>
        <v/>
      </c>
      <c r="F18" s="246">
        <v>100</v>
      </c>
      <c r="G18" s="234">
        <v>24</v>
      </c>
      <c r="H18" s="246">
        <v>0</v>
      </c>
      <c r="I18" s="322" t="str">
        <f t="shared" si="3"/>
        <v/>
      </c>
      <c r="J18" s="246">
        <v>0</v>
      </c>
      <c r="K18" s="246">
        <v>0</v>
      </c>
      <c r="L18" s="246">
        <v>4</v>
      </c>
      <c r="M18" s="322" t="str">
        <f t="shared" si="4"/>
        <v/>
      </c>
      <c r="N18" s="246">
        <v>0</v>
      </c>
      <c r="O18" s="246">
        <v>4</v>
      </c>
      <c r="P18" s="438">
        <f t="shared" si="5"/>
        <v>291</v>
      </c>
      <c r="Q18" s="438">
        <f t="shared" si="0"/>
        <v>100</v>
      </c>
      <c r="R18" s="438">
        <f t="shared" si="1"/>
        <v>28</v>
      </c>
      <c r="S18" s="335"/>
    </row>
    <row r="19" spans="1:19" ht="20.100000000000001" customHeight="1" x14ac:dyDescent="0.25">
      <c r="A19" s="118">
        <v>611</v>
      </c>
      <c r="B19" s="118">
        <v>12</v>
      </c>
      <c r="C19" s="12" t="s">
        <v>100</v>
      </c>
      <c r="D19" s="246">
        <v>342</v>
      </c>
      <c r="E19" s="322" t="str">
        <f t="shared" si="2"/>
        <v/>
      </c>
      <c r="F19" s="246">
        <v>100</v>
      </c>
      <c r="G19" s="234">
        <v>31</v>
      </c>
      <c r="H19" s="246">
        <v>0</v>
      </c>
      <c r="I19" s="322" t="str">
        <f t="shared" si="3"/>
        <v/>
      </c>
      <c r="J19" s="246">
        <v>0</v>
      </c>
      <c r="K19" s="246">
        <v>0</v>
      </c>
      <c r="L19" s="246">
        <v>4</v>
      </c>
      <c r="M19" s="322" t="str">
        <f t="shared" si="4"/>
        <v/>
      </c>
      <c r="N19" s="246">
        <v>0</v>
      </c>
      <c r="O19" s="246">
        <v>4</v>
      </c>
      <c r="P19" s="438">
        <f t="shared" si="5"/>
        <v>346</v>
      </c>
      <c r="Q19" s="438">
        <f t="shared" si="0"/>
        <v>100</v>
      </c>
      <c r="R19" s="438">
        <f t="shared" si="1"/>
        <v>35</v>
      </c>
      <c r="S19" s="335"/>
    </row>
    <row r="20" spans="1:19" ht="20.100000000000001" customHeight="1" x14ac:dyDescent="0.25">
      <c r="A20" s="262">
        <v>612</v>
      </c>
      <c r="B20" s="446">
        <v>13</v>
      </c>
      <c r="C20" s="454" t="s">
        <v>583</v>
      </c>
      <c r="D20" s="455">
        <f>SUM(D8:D19)</f>
        <v>2850</v>
      </c>
      <c r="E20" s="452" t="str">
        <f t="shared" si="2"/>
        <v/>
      </c>
      <c r="F20" s="455">
        <f t="shared" ref="F20:P20" si="6">SUM(F8:F19)</f>
        <v>856</v>
      </c>
      <c r="G20" s="455">
        <f t="shared" si="6"/>
        <v>226</v>
      </c>
      <c r="H20" s="455">
        <f t="shared" si="6"/>
        <v>0</v>
      </c>
      <c r="I20" s="452" t="str">
        <f t="shared" si="3"/>
        <v/>
      </c>
      <c r="J20" s="455">
        <f t="shared" si="6"/>
        <v>0</v>
      </c>
      <c r="K20" s="455">
        <f t="shared" si="6"/>
        <v>0</v>
      </c>
      <c r="L20" s="455">
        <f t="shared" si="6"/>
        <v>49</v>
      </c>
      <c r="M20" s="452" t="str">
        <f t="shared" si="4"/>
        <v/>
      </c>
      <c r="N20" s="455">
        <f t="shared" si="6"/>
        <v>0</v>
      </c>
      <c r="O20" s="455">
        <f t="shared" si="6"/>
        <v>49</v>
      </c>
      <c r="P20" s="455">
        <f t="shared" si="6"/>
        <v>2899</v>
      </c>
      <c r="Q20" s="455">
        <f>SUM(Q8:Q19)</f>
        <v>856</v>
      </c>
      <c r="R20" s="455">
        <f t="shared" ref="R20" si="7">SUM(R8:R19)</f>
        <v>275</v>
      </c>
      <c r="S20" s="335"/>
    </row>
    <row r="21" spans="1:19" ht="69.95" customHeight="1" x14ac:dyDescent="0.25">
      <c r="A21" s="707" t="s">
        <v>1497</v>
      </c>
      <c r="B21" s="707"/>
      <c r="C21" s="708"/>
      <c r="D21" s="284">
        <f>'P-II'!D43</f>
        <v>2850</v>
      </c>
      <c r="E21" s="284"/>
      <c r="F21" s="284">
        <f>'P-II'!I43</f>
        <v>856</v>
      </c>
      <c r="G21" s="284">
        <f>'P-II'!M43</f>
        <v>226</v>
      </c>
      <c r="H21" s="284">
        <f>'P-II'!D46</f>
        <v>0</v>
      </c>
      <c r="I21" s="284"/>
      <c r="J21" s="284">
        <f>'P-II'!I46</f>
        <v>0</v>
      </c>
      <c r="K21" s="284">
        <f>'P-II'!M46</f>
        <v>0</v>
      </c>
      <c r="L21" s="284">
        <f>'P-II'!D47</f>
        <v>49</v>
      </c>
      <c r="M21" s="284"/>
      <c r="N21" s="284">
        <f>'P-II'!I47</f>
        <v>0</v>
      </c>
      <c r="O21" s="284">
        <f>'P-II'!M47</f>
        <v>49</v>
      </c>
      <c r="P21" s="284">
        <f>'P-II'!D42</f>
        <v>2899</v>
      </c>
      <c r="Q21" s="284">
        <f>'P-II'!I42</f>
        <v>856</v>
      </c>
      <c r="R21" s="284">
        <f>'P-II'!M42</f>
        <v>275</v>
      </c>
    </row>
    <row r="22" spans="1:19" ht="69.95" customHeight="1" x14ac:dyDescent="0.25">
      <c r="A22" s="627" t="s">
        <v>1498</v>
      </c>
      <c r="B22" s="627"/>
      <c r="C22" s="628"/>
      <c r="D22" s="399" t="str">
        <f>IF(D20='P-II'!D43,"",FALSE)</f>
        <v/>
      </c>
      <c r="E22" s="399"/>
      <c r="F22" s="399" t="str">
        <f>IF(F20='P-II'!I43,"",FALSE)</f>
        <v/>
      </c>
      <c r="G22" s="399" t="str">
        <f>IF(G20='P-II'!M43,"",FALSE)</f>
        <v/>
      </c>
      <c r="H22" s="399" t="str">
        <f>IF(H20='P-II'!D46,"",FALSE)</f>
        <v/>
      </c>
      <c r="I22" s="399"/>
      <c r="J22" s="399" t="str">
        <f>IF(J20='P-II'!I46,"",FALSE)</f>
        <v/>
      </c>
      <c r="K22" s="399" t="str">
        <f>IF(K20='P-II'!M46,"",FALSE)</f>
        <v/>
      </c>
      <c r="L22" s="399" t="str">
        <f>IF(L20='P-II'!D47,"",FALSE)</f>
        <v/>
      </c>
      <c r="M22" s="399"/>
      <c r="N22" s="399" t="str">
        <f>IF(N20='P-II'!I47,"",FALSE)</f>
        <v/>
      </c>
      <c r="O22" s="399" t="str">
        <f>IF(O20='P-II'!M47,"",FALSE)</f>
        <v/>
      </c>
      <c r="P22" s="399" t="str">
        <f>IF(P20='P-II'!D42,"",FALSE)</f>
        <v/>
      </c>
      <c r="Q22" s="399" t="str">
        <f>IF(Q20='P-II'!I42,"",FALSE)</f>
        <v/>
      </c>
      <c r="R22" s="399" t="str">
        <f>IF(R20='P-II'!M42,"",FALSE)</f>
        <v/>
      </c>
    </row>
    <row r="200" spans="53:70" x14ac:dyDescent="0.25">
      <c r="BA200" s="141" t="str">
        <f>A1</f>
        <v>Goa, , ADSI-2021</v>
      </c>
      <c r="BB200" s="141"/>
    </row>
    <row r="201" spans="53:70" x14ac:dyDescent="0.25">
      <c r="BA201" s="141" t="str">
        <f>A2</f>
        <v>Errors</v>
      </c>
      <c r="BB201" s="309">
        <f>C2</f>
        <v>0</v>
      </c>
    </row>
    <row r="202" spans="53:70" x14ac:dyDescent="0.25">
      <c r="BA202" s="141" t="str">
        <f>A3</f>
        <v>Proforma–X</v>
      </c>
      <c r="BB202" s="132"/>
      <c r="BC202" s="132"/>
      <c r="BD202" s="132"/>
      <c r="BE202" s="132"/>
      <c r="BF202" s="132"/>
      <c r="BG202" s="132"/>
      <c r="BH202" s="132"/>
      <c r="BI202" s="132"/>
      <c r="BJ202" s="132"/>
      <c r="BK202" s="132"/>
      <c r="BL202" s="132"/>
      <c r="BM202" s="132"/>
      <c r="BN202" s="132"/>
      <c r="BO202" s="132"/>
      <c r="BP202" s="133"/>
      <c r="BR202" s="132"/>
    </row>
    <row r="203" spans="53:70" x14ac:dyDescent="0.25">
      <c r="BA203" s="141" t="str">
        <f>A4</f>
        <v>Month wise occurence of Traffic Accidents</v>
      </c>
      <c r="BB203" s="132"/>
      <c r="BC203" s="132"/>
      <c r="BD203" s="132"/>
      <c r="BE203" s="132"/>
      <c r="BF203" s="132"/>
      <c r="BG203" s="132"/>
      <c r="BH203" s="132"/>
      <c r="BI203" s="132"/>
      <c r="BJ203" s="132"/>
      <c r="BK203" s="132"/>
      <c r="BL203" s="132"/>
      <c r="BM203" s="132"/>
      <c r="BN203" s="132"/>
      <c r="BO203" s="132"/>
    </row>
    <row r="204" spans="53:70" ht="15" customHeight="1" x14ac:dyDescent="0.25">
      <c r="BA204" s="602" t="str">
        <f>B5</f>
        <v>Sl. No.</v>
      </c>
      <c r="BB204" s="602" t="str">
        <f>C5</f>
        <v>Month</v>
      </c>
      <c r="BC204" s="619" t="str">
        <f>D5</f>
        <v>Road Accidents</v>
      </c>
      <c r="BD204" s="620"/>
      <c r="BE204" s="620"/>
      <c r="BF204" s="621"/>
      <c r="BG204" s="619" t="str">
        <f t="shared" ref="BG204:BG221" si="8">H5</f>
        <v>Railways Crossing Accidents</v>
      </c>
      <c r="BH204" s="620"/>
      <c r="BI204" s="620"/>
      <c r="BJ204" s="621"/>
      <c r="BK204" s="619" t="str">
        <f t="shared" ref="BK204:BK221" si="9">L5</f>
        <v>Railway Accidents</v>
      </c>
      <c r="BL204" s="620"/>
      <c r="BM204" s="620"/>
      <c r="BN204" s="621"/>
      <c r="BO204" s="619" t="str">
        <f t="shared" ref="BO204:BO221" si="10">P5</f>
        <v>Total</v>
      </c>
      <c r="BP204" s="620"/>
      <c r="BQ204" s="621"/>
    </row>
    <row r="205" spans="53:70" ht="63.75" x14ac:dyDescent="0.25">
      <c r="BA205" s="604"/>
      <c r="BB205" s="604"/>
      <c r="BC205" s="308" t="str">
        <f>D6</f>
        <v>No. of Cases</v>
      </c>
      <c r="BD205" s="602" t="str">
        <f>E6</f>
        <v>VALIDATION WITH NUMBER OF CASES</v>
      </c>
      <c r="BE205" s="308" t="str">
        <f>F6</f>
        <v>No. of Persons Injured</v>
      </c>
      <c r="BF205" s="308" t="str">
        <f>G6</f>
        <v>No. of Persons Died</v>
      </c>
      <c r="BG205" s="308" t="str">
        <f t="shared" si="8"/>
        <v>No. of Cases</v>
      </c>
      <c r="BH205" s="602" t="str">
        <f>I6</f>
        <v>VALIDATION WITH NUMBER OF CASES</v>
      </c>
      <c r="BI205" s="308" t="str">
        <f>J6</f>
        <v>No. of Persons Injured</v>
      </c>
      <c r="BJ205" s="308" t="str">
        <f>K6</f>
        <v>No. of Persons Died</v>
      </c>
      <c r="BK205" s="308" t="str">
        <f t="shared" si="9"/>
        <v>No. of Cases</v>
      </c>
      <c r="BL205" s="602" t="str">
        <f>M6</f>
        <v>VALIDATION WITH NUMBER OF CASES</v>
      </c>
      <c r="BM205" s="308" t="str">
        <f>N6</f>
        <v>No. of Persons Injured</v>
      </c>
      <c r="BN205" s="308" t="str">
        <f>O6</f>
        <v>No. of Persons Died</v>
      </c>
      <c r="BO205" s="152" t="str">
        <f t="shared" si="10"/>
        <v>No. of Cases [Col. (3)+(6)+(9)]</v>
      </c>
      <c r="BP205" s="152" t="str">
        <f t="shared" ref="BP205:BP221" si="11">Q6</f>
        <v>No. of Persons Injured 
[Col. (4)+(7)+(10)]</v>
      </c>
      <c r="BQ205" s="152" t="str">
        <f t="shared" ref="BQ205:BQ221" si="12">R6</f>
        <v>No. of Persons Died 
[Col. (5)+(8)+(11)]</v>
      </c>
    </row>
    <row r="206" spans="53:70" x14ac:dyDescent="0.25">
      <c r="BA206" s="307" t="str">
        <f t="shared" ref="BA206:BA219" si="13">B7</f>
        <v>(1)</v>
      </c>
      <c r="BB206" s="307" t="str">
        <f t="shared" ref="BB206:BB219" si="14">C7</f>
        <v>(2)</v>
      </c>
      <c r="BC206" s="307" t="str">
        <f t="shared" ref="BC206:BC219" si="15">D7</f>
        <v>(3)</v>
      </c>
      <c r="BD206" s="604"/>
      <c r="BE206" s="307" t="str">
        <f t="shared" ref="BE206:BE221" si="16">F7</f>
        <v>(4)</v>
      </c>
      <c r="BF206" s="307" t="str">
        <f t="shared" ref="BF206:BF221" si="17">G7</f>
        <v>(5)</v>
      </c>
      <c r="BG206" s="307" t="str">
        <f t="shared" si="8"/>
        <v>(6)</v>
      </c>
      <c r="BH206" s="604"/>
      <c r="BI206" s="307" t="str">
        <f t="shared" ref="BI206:BI221" si="18">J7</f>
        <v>(7)</v>
      </c>
      <c r="BJ206" s="307" t="str">
        <f t="shared" ref="BJ206:BJ221" si="19">K7</f>
        <v>(8)</v>
      </c>
      <c r="BK206" s="307" t="str">
        <f t="shared" si="9"/>
        <v>(9)</v>
      </c>
      <c r="BL206" s="604"/>
      <c r="BM206" s="307" t="str">
        <f t="shared" ref="BM206:BM221" si="20">N7</f>
        <v>(10)</v>
      </c>
      <c r="BN206" s="307" t="str">
        <f t="shared" ref="BN206:BN221" si="21">O7</f>
        <v>(11)</v>
      </c>
      <c r="BO206" s="138" t="str">
        <f t="shared" si="10"/>
        <v>(12)</v>
      </c>
      <c r="BP206" s="138" t="str">
        <f t="shared" si="11"/>
        <v>(13)</v>
      </c>
      <c r="BQ206" s="138" t="str">
        <f t="shared" si="12"/>
        <v>(14)</v>
      </c>
    </row>
    <row r="207" spans="53:70" x14ac:dyDescent="0.25">
      <c r="BA207" s="307">
        <f t="shared" si="13"/>
        <v>1</v>
      </c>
      <c r="BB207" s="136" t="str">
        <f t="shared" si="14"/>
        <v>January</v>
      </c>
      <c r="BC207" s="136">
        <f t="shared" si="15"/>
        <v>301</v>
      </c>
      <c r="BD207" s="283" t="str">
        <f>E8</f>
        <v/>
      </c>
      <c r="BE207" s="136">
        <f t="shared" si="16"/>
        <v>105</v>
      </c>
      <c r="BF207" s="136">
        <f t="shared" si="17"/>
        <v>25</v>
      </c>
      <c r="BG207" s="136">
        <f t="shared" si="8"/>
        <v>0</v>
      </c>
      <c r="BH207" s="283" t="str">
        <f>I8</f>
        <v/>
      </c>
      <c r="BI207" s="136">
        <f t="shared" si="18"/>
        <v>0</v>
      </c>
      <c r="BJ207" s="136">
        <f t="shared" si="19"/>
        <v>0</v>
      </c>
      <c r="BK207" s="136">
        <f t="shared" si="9"/>
        <v>5</v>
      </c>
      <c r="BL207" s="283" t="str">
        <f>M8</f>
        <v/>
      </c>
      <c r="BM207" s="136">
        <f t="shared" si="20"/>
        <v>0</v>
      </c>
      <c r="BN207" s="136">
        <f t="shared" si="21"/>
        <v>5</v>
      </c>
      <c r="BO207" s="136">
        <f t="shared" si="10"/>
        <v>306</v>
      </c>
      <c r="BP207" s="136">
        <f t="shared" si="11"/>
        <v>105</v>
      </c>
      <c r="BQ207" s="136">
        <f t="shared" si="12"/>
        <v>30</v>
      </c>
    </row>
    <row r="208" spans="53:70" x14ac:dyDescent="0.25">
      <c r="BA208" s="307">
        <f t="shared" si="13"/>
        <v>2</v>
      </c>
      <c r="BB208" s="136" t="str">
        <f t="shared" si="14"/>
        <v>February</v>
      </c>
      <c r="BC208" s="136">
        <f t="shared" si="15"/>
        <v>235</v>
      </c>
      <c r="BD208" s="283" t="str">
        <f t="shared" ref="BD208:BD219" si="22">E9</f>
        <v/>
      </c>
      <c r="BE208" s="136">
        <f t="shared" si="16"/>
        <v>75</v>
      </c>
      <c r="BF208" s="136">
        <f t="shared" si="17"/>
        <v>12</v>
      </c>
      <c r="BG208" s="136">
        <f t="shared" si="8"/>
        <v>0</v>
      </c>
      <c r="BH208" s="283" t="str">
        <f t="shared" ref="BH208:BH219" si="23">I9</f>
        <v/>
      </c>
      <c r="BI208" s="136">
        <f t="shared" si="18"/>
        <v>0</v>
      </c>
      <c r="BJ208" s="136">
        <f t="shared" si="19"/>
        <v>0</v>
      </c>
      <c r="BK208" s="136">
        <f t="shared" si="9"/>
        <v>1</v>
      </c>
      <c r="BL208" s="283" t="str">
        <f t="shared" ref="BL208:BL219" si="24">M9</f>
        <v/>
      </c>
      <c r="BM208" s="136">
        <f t="shared" si="20"/>
        <v>0</v>
      </c>
      <c r="BN208" s="136">
        <f t="shared" si="21"/>
        <v>1</v>
      </c>
      <c r="BO208" s="136">
        <f t="shared" si="10"/>
        <v>236</v>
      </c>
      <c r="BP208" s="136">
        <f t="shared" si="11"/>
        <v>75</v>
      </c>
      <c r="BQ208" s="136">
        <f t="shared" si="12"/>
        <v>13</v>
      </c>
    </row>
    <row r="209" spans="53:70" x14ac:dyDescent="0.25">
      <c r="BA209" s="307">
        <f t="shared" si="13"/>
        <v>3</v>
      </c>
      <c r="BB209" s="136" t="str">
        <f t="shared" si="14"/>
        <v>March</v>
      </c>
      <c r="BC209" s="136">
        <f t="shared" si="15"/>
        <v>285</v>
      </c>
      <c r="BD209" s="283" t="str">
        <f t="shared" si="22"/>
        <v/>
      </c>
      <c r="BE209" s="136">
        <f t="shared" si="16"/>
        <v>84</v>
      </c>
      <c r="BF209" s="136">
        <f t="shared" si="17"/>
        <v>20</v>
      </c>
      <c r="BG209" s="136">
        <f t="shared" si="8"/>
        <v>0</v>
      </c>
      <c r="BH209" s="283" t="str">
        <f t="shared" si="23"/>
        <v/>
      </c>
      <c r="BI209" s="136">
        <f t="shared" si="18"/>
        <v>0</v>
      </c>
      <c r="BJ209" s="136">
        <f t="shared" si="19"/>
        <v>0</v>
      </c>
      <c r="BK209" s="136">
        <f t="shared" si="9"/>
        <v>5</v>
      </c>
      <c r="BL209" s="283" t="str">
        <f t="shared" si="24"/>
        <v/>
      </c>
      <c r="BM209" s="136">
        <f t="shared" si="20"/>
        <v>0</v>
      </c>
      <c r="BN209" s="136">
        <f t="shared" si="21"/>
        <v>5</v>
      </c>
      <c r="BO209" s="136">
        <f t="shared" si="10"/>
        <v>290</v>
      </c>
      <c r="BP209" s="136">
        <f t="shared" si="11"/>
        <v>84</v>
      </c>
      <c r="BQ209" s="136">
        <f t="shared" si="12"/>
        <v>25</v>
      </c>
    </row>
    <row r="210" spans="53:70" x14ac:dyDescent="0.25">
      <c r="BA210" s="307">
        <f t="shared" si="13"/>
        <v>4</v>
      </c>
      <c r="BB210" s="136" t="str">
        <f t="shared" si="14"/>
        <v>April</v>
      </c>
      <c r="BC210" s="136">
        <f t="shared" si="15"/>
        <v>210</v>
      </c>
      <c r="BD210" s="283" t="str">
        <f t="shared" si="22"/>
        <v/>
      </c>
      <c r="BE210" s="136">
        <f t="shared" si="16"/>
        <v>61</v>
      </c>
      <c r="BF210" s="136">
        <f t="shared" si="17"/>
        <v>22</v>
      </c>
      <c r="BG210" s="136">
        <f t="shared" si="8"/>
        <v>0</v>
      </c>
      <c r="BH210" s="283" t="str">
        <f t="shared" si="23"/>
        <v/>
      </c>
      <c r="BI210" s="136">
        <f t="shared" si="18"/>
        <v>0</v>
      </c>
      <c r="BJ210" s="136">
        <f t="shared" si="19"/>
        <v>0</v>
      </c>
      <c r="BK210" s="136">
        <f t="shared" si="9"/>
        <v>6</v>
      </c>
      <c r="BL210" s="283" t="str">
        <f t="shared" si="24"/>
        <v/>
      </c>
      <c r="BM210" s="136">
        <f t="shared" si="20"/>
        <v>0</v>
      </c>
      <c r="BN210" s="136">
        <f t="shared" si="21"/>
        <v>6</v>
      </c>
      <c r="BO210" s="136">
        <f t="shared" si="10"/>
        <v>216</v>
      </c>
      <c r="BP210" s="136">
        <f t="shared" si="11"/>
        <v>61</v>
      </c>
      <c r="BQ210" s="136">
        <f t="shared" si="12"/>
        <v>28</v>
      </c>
    </row>
    <row r="211" spans="53:70" x14ac:dyDescent="0.25">
      <c r="BA211" s="307">
        <f t="shared" si="13"/>
        <v>5</v>
      </c>
      <c r="BB211" s="136" t="str">
        <f t="shared" si="14"/>
        <v xml:space="preserve"> May</v>
      </c>
      <c r="BC211" s="136">
        <f t="shared" si="15"/>
        <v>131</v>
      </c>
      <c r="BD211" s="283" t="str">
        <f t="shared" si="22"/>
        <v/>
      </c>
      <c r="BE211" s="136">
        <f t="shared" si="16"/>
        <v>35</v>
      </c>
      <c r="BF211" s="136">
        <f t="shared" si="17"/>
        <v>10</v>
      </c>
      <c r="BG211" s="136">
        <f t="shared" si="8"/>
        <v>0</v>
      </c>
      <c r="BH211" s="283" t="str">
        <f t="shared" si="23"/>
        <v/>
      </c>
      <c r="BI211" s="136">
        <f t="shared" si="18"/>
        <v>0</v>
      </c>
      <c r="BJ211" s="136">
        <f t="shared" si="19"/>
        <v>0</v>
      </c>
      <c r="BK211" s="136">
        <f t="shared" si="9"/>
        <v>2</v>
      </c>
      <c r="BL211" s="283" t="str">
        <f t="shared" si="24"/>
        <v/>
      </c>
      <c r="BM211" s="136">
        <f t="shared" si="20"/>
        <v>0</v>
      </c>
      <c r="BN211" s="136">
        <f t="shared" si="21"/>
        <v>2</v>
      </c>
      <c r="BO211" s="136">
        <f t="shared" si="10"/>
        <v>133</v>
      </c>
      <c r="BP211" s="136">
        <f t="shared" si="11"/>
        <v>35</v>
      </c>
      <c r="BQ211" s="136">
        <f t="shared" si="12"/>
        <v>12</v>
      </c>
    </row>
    <row r="212" spans="53:70" x14ac:dyDescent="0.25">
      <c r="BA212" s="307">
        <f t="shared" si="13"/>
        <v>6</v>
      </c>
      <c r="BB212" s="136" t="str">
        <f t="shared" si="14"/>
        <v>June</v>
      </c>
      <c r="BC212" s="136">
        <f t="shared" si="15"/>
        <v>169</v>
      </c>
      <c r="BD212" s="283" t="str">
        <f t="shared" si="22"/>
        <v/>
      </c>
      <c r="BE212" s="136">
        <f t="shared" si="16"/>
        <v>53</v>
      </c>
      <c r="BF212" s="136">
        <f t="shared" si="17"/>
        <v>16</v>
      </c>
      <c r="BG212" s="136">
        <f t="shared" si="8"/>
        <v>0</v>
      </c>
      <c r="BH212" s="283" t="str">
        <f t="shared" si="23"/>
        <v/>
      </c>
      <c r="BI212" s="136">
        <f t="shared" si="18"/>
        <v>0</v>
      </c>
      <c r="BJ212" s="136">
        <f t="shared" si="19"/>
        <v>0</v>
      </c>
      <c r="BK212" s="136">
        <f t="shared" si="9"/>
        <v>6</v>
      </c>
      <c r="BL212" s="283" t="str">
        <f t="shared" si="24"/>
        <v/>
      </c>
      <c r="BM212" s="136">
        <f t="shared" si="20"/>
        <v>0</v>
      </c>
      <c r="BN212" s="136">
        <f t="shared" si="21"/>
        <v>6</v>
      </c>
      <c r="BO212" s="136">
        <f t="shared" si="10"/>
        <v>175</v>
      </c>
      <c r="BP212" s="136">
        <f t="shared" si="11"/>
        <v>53</v>
      </c>
      <c r="BQ212" s="136">
        <f t="shared" si="12"/>
        <v>22</v>
      </c>
    </row>
    <row r="213" spans="53:70" x14ac:dyDescent="0.25">
      <c r="BA213" s="307">
        <f t="shared" si="13"/>
        <v>7</v>
      </c>
      <c r="BB213" s="136" t="str">
        <f t="shared" si="14"/>
        <v>July</v>
      </c>
      <c r="BC213" s="136">
        <f t="shared" si="15"/>
        <v>199</v>
      </c>
      <c r="BD213" s="283" t="str">
        <f t="shared" si="22"/>
        <v/>
      </c>
      <c r="BE213" s="136">
        <f t="shared" si="16"/>
        <v>56</v>
      </c>
      <c r="BF213" s="136">
        <f t="shared" si="17"/>
        <v>16</v>
      </c>
      <c r="BG213" s="136">
        <f t="shared" si="8"/>
        <v>0</v>
      </c>
      <c r="BH213" s="283" t="str">
        <f t="shared" si="23"/>
        <v/>
      </c>
      <c r="BI213" s="136">
        <f t="shared" si="18"/>
        <v>0</v>
      </c>
      <c r="BJ213" s="136">
        <f t="shared" si="19"/>
        <v>0</v>
      </c>
      <c r="BK213" s="136">
        <f t="shared" si="9"/>
        <v>7</v>
      </c>
      <c r="BL213" s="283" t="str">
        <f t="shared" si="24"/>
        <v/>
      </c>
      <c r="BM213" s="136">
        <f t="shared" si="20"/>
        <v>0</v>
      </c>
      <c r="BN213" s="136">
        <f t="shared" si="21"/>
        <v>7</v>
      </c>
      <c r="BO213" s="136">
        <f t="shared" si="10"/>
        <v>206</v>
      </c>
      <c r="BP213" s="136">
        <f t="shared" si="11"/>
        <v>56</v>
      </c>
      <c r="BQ213" s="136">
        <f t="shared" si="12"/>
        <v>23</v>
      </c>
    </row>
    <row r="214" spans="53:70" x14ac:dyDescent="0.25">
      <c r="BA214" s="307">
        <f t="shared" si="13"/>
        <v>8</v>
      </c>
      <c r="BB214" s="136" t="str">
        <f t="shared" si="14"/>
        <v>August</v>
      </c>
      <c r="BC214" s="136">
        <f t="shared" si="15"/>
        <v>212</v>
      </c>
      <c r="BD214" s="283" t="str">
        <f t="shared" si="22"/>
        <v/>
      </c>
      <c r="BE214" s="136">
        <f t="shared" si="16"/>
        <v>59</v>
      </c>
      <c r="BF214" s="136">
        <f t="shared" si="17"/>
        <v>18</v>
      </c>
      <c r="BG214" s="136">
        <f t="shared" si="8"/>
        <v>0</v>
      </c>
      <c r="BH214" s="283" t="str">
        <f t="shared" si="23"/>
        <v/>
      </c>
      <c r="BI214" s="136">
        <f t="shared" si="18"/>
        <v>0</v>
      </c>
      <c r="BJ214" s="136">
        <f t="shared" si="19"/>
        <v>0</v>
      </c>
      <c r="BK214" s="136">
        <f t="shared" si="9"/>
        <v>0</v>
      </c>
      <c r="BL214" s="283" t="str">
        <f t="shared" si="24"/>
        <v/>
      </c>
      <c r="BM214" s="136">
        <f t="shared" si="20"/>
        <v>0</v>
      </c>
      <c r="BN214" s="136">
        <f t="shared" si="21"/>
        <v>0</v>
      </c>
      <c r="BO214" s="136">
        <f t="shared" si="10"/>
        <v>212</v>
      </c>
      <c r="BP214" s="136">
        <f t="shared" si="11"/>
        <v>59</v>
      </c>
      <c r="BQ214" s="136">
        <f t="shared" si="12"/>
        <v>18</v>
      </c>
    </row>
    <row r="215" spans="53:70" x14ac:dyDescent="0.25">
      <c r="BA215" s="307">
        <f t="shared" si="13"/>
        <v>9</v>
      </c>
      <c r="BB215" s="136" t="str">
        <f t="shared" si="14"/>
        <v>September</v>
      </c>
      <c r="BC215" s="136">
        <f t="shared" si="15"/>
        <v>227</v>
      </c>
      <c r="BD215" s="283" t="str">
        <f t="shared" si="22"/>
        <v/>
      </c>
      <c r="BE215" s="136">
        <f t="shared" si="16"/>
        <v>52</v>
      </c>
      <c r="BF215" s="136">
        <f t="shared" si="17"/>
        <v>20</v>
      </c>
      <c r="BG215" s="136">
        <f t="shared" si="8"/>
        <v>0</v>
      </c>
      <c r="BH215" s="283" t="str">
        <f t="shared" si="23"/>
        <v/>
      </c>
      <c r="BI215" s="136">
        <f t="shared" si="18"/>
        <v>0</v>
      </c>
      <c r="BJ215" s="136">
        <f t="shared" si="19"/>
        <v>0</v>
      </c>
      <c r="BK215" s="136">
        <f t="shared" si="9"/>
        <v>6</v>
      </c>
      <c r="BL215" s="283" t="str">
        <f t="shared" si="24"/>
        <v/>
      </c>
      <c r="BM215" s="136">
        <f t="shared" si="20"/>
        <v>0</v>
      </c>
      <c r="BN215" s="136">
        <f t="shared" si="21"/>
        <v>6</v>
      </c>
      <c r="BO215" s="136">
        <f t="shared" si="10"/>
        <v>233</v>
      </c>
      <c r="BP215" s="136">
        <f t="shared" si="11"/>
        <v>52</v>
      </c>
      <c r="BQ215" s="136">
        <f t="shared" si="12"/>
        <v>26</v>
      </c>
    </row>
    <row r="216" spans="53:70" x14ac:dyDescent="0.25">
      <c r="BA216" s="307">
        <f t="shared" si="13"/>
        <v>10</v>
      </c>
      <c r="BB216" s="136" t="str">
        <f t="shared" si="14"/>
        <v>October</v>
      </c>
      <c r="BC216" s="136">
        <f t="shared" si="15"/>
        <v>252</v>
      </c>
      <c r="BD216" s="283" t="str">
        <f t="shared" si="22"/>
        <v/>
      </c>
      <c r="BE216" s="136">
        <f t="shared" si="16"/>
        <v>76</v>
      </c>
      <c r="BF216" s="136">
        <f t="shared" si="17"/>
        <v>12</v>
      </c>
      <c r="BG216" s="136">
        <f t="shared" si="8"/>
        <v>0</v>
      </c>
      <c r="BH216" s="283" t="str">
        <f t="shared" si="23"/>
        <v/>
      </c>
      <c r="BI216" s="136">
        <f t="shared" si="18"/>
        <v>0</v>
      </c>
      <c r="BJ216" s="136">
        <f t="shared" si="19"/>
        <v>0</v>
      </c>
      <c r="BK216" s="136">
        <f t="shared" si="9"/>
        <v>3</v>
      </c>
      <c r="BL216" s="283" t="str">
        <f t="shared" si="24"/>
        <v/>
      </c>
      <c r="BM216" s="136">
        <f t="shared" si="20"/>
        <v>0</v>
      </c>
      <c r="BN216" s="136">
        <f t="shared" si="21"/>
        <v>3</v>
      </c>
      <c r="BO216" s="136">
        <f t="shared" si="10"/>
        <v>255</v>
      </c>
      <c r="BP216" s="136">
        <f t="shared" si="11"/>
        <v>76</v>
      </c>
      <c r="BQ216" s="136">
        <f t="shared" si="12"/>
        <v>15</v>
      </c>
    </row>
    <row r="217" spans="53:70" x14ac:dyDescent="0.25">
      <c r="BA217" s="307">
        <f t="shared" si="13"/>
        <v>11</v>
      </c>
      <c r="BB217" s="136" t="str">
        <f t="shared" si="14"/>
        <v>November</v>
      </c>
      <c r="BC217" s="136">
        <f t="shared" si="15"/>
        <v>287</v>
      </c>
      <c r="BD217" s="283" t="str">
        <f t="shared" si="22"/>
        <v/>
      </c>
      <c r="BE217" s="136">
        <f t="shared" si="16"/>
        <v>100</v>
      </c>
      <c r="BF217" s="136">
        <f t="shared" si="17"/>
        <v>24</v>
      </c>
      <c r="BG217" s="136">
        <f t="shared" si="8"/>
        <v>0</v>
      </c>
      <c r="BH217" s="283" t="str">
        <f t="shared" si="23"/>
        <v/>
      </c>
      <c r="BI217" s="136">
        <f t="shared" si="18"/>
        <v>0</v>
      </c>
      <c r="BJ217" s="136">
        <f t="shared" si="19"/>
        <v>0</v>
      </c>
      <c r="BK217" s="136">
        <f t="shared" si="9"/>
        <v>4</v>
      </c>
      <c r="BL217" s="283" t="str">
        <f t="shared" si="24"/>
        <v/>
      </c>
      <c r="BM217" s="136">
        <f t="shared" si="20"/>
        <v>0</v>
      </c>
      <c r="BN217" s="136">
        <f t="shared" si="21"/>
        <v>4</v>
      </c>
      <c r="BO217" s="136">
        <f t="shared" si="10"/>
        <v>291</v>
      </c>
      <c r="BP217" s="136">
        <f t="shared" si="11"/>
        <v>100</v>
      </c>
      <c r="BQ217" s="136">
        <f t="shared" si="12"/>
        <v>28</v>
      </c>
    </row>
    <row r="218" spans="53:70" x14ac:dyDescent="0.25">
      <c r="BA218" s="307">
        <f t="shared" si="13"/>
        <v>12</v>
      </c>
      <c r="BB218" s="136" t="str">
        <f t="shared" si="14"/>
        <v>December</v>
      </c>
      <c r="BC218" s="136">
        <f t="shared" si="15"/>
        <v>342</v>
      </c>
      <c r="BD218" s="283" t="str">
        <f t="shared" si="22"/>
        <v/>
      </c>
      <c r="BE218" s="136">
        <f t="shared" si="16"/>
        <v>100</v>
      </c>
      <c r="BF218" s="136">
        <f t="shared" si="17"/>
        <v>31</v>
      </c>
      <c r="BG218" s="136">
        <f t="shared" si="8"/>
        <v>0</v>
      </c>
      <c r="BH218" s="283" t="str">
        <f t="shared" si="23"/>
        <v/>
      </c>
      <c r="BI218" s="136">
        <f t="shared" si="18"/>
        <v>0</v>
      </c>
      <c r="BJ218" s="136">
        <f t="shared" si="19"/>
        <v>0</v>
      </c>
      <c r="BK218" s="136">
        <f t="shared" si="9"/>
        <v>4</v>
      </c>
      <c r="BL218" s="283" t="str">
        <f t="shared" si="24"/>
        <v/>
      </c>
      <c r="BM218" s="136">
        <f t="shared" si="20"/>
        <v>0</v>
      </c>
      <c r="BN218" s="136">
        <f t="shared" si="21"/>
        <v>4</v>
      </c>
      <c r="BO218" s="136">
        <f t="shared" si="10"/>
        <v>346</v>
      </c>
      <c r="BP218" s="136">
        <f t="shared" si="11"/>
        <v>100</v>
      </c>
      <c r="BQ218" s="136">
        <f t="shared" si="12"/>
        <v>35</v>
      </c>
    </row>
    <row r="219" spans="53:70" x14ac:dyDescent="0.25">
      <c r="BA219" s="307">
        <f t="shared" si="13"/>
        <v>13</v>
      </c>
      <c r="BB219" s="136" t="str">
        <f t="shared" si="14"/>
        <v>Total (sum of Sl. 1 to 12)</v>
      </c>
      <c r="BC219" s="136">
        <f t="shared" si="15"/>
        <v>2850</v>
      </c>
      <c r="BD219" s="283" t="str">
        <f t="shared" si="22"/>
        <v/>
      </c>
      <c r="BE219" s="136">
        <f t="shared" si="16"/>
        <v>856</v>
      </c>
      <c r="BF219" s="136">
        <f t="shared" si="17"/>
        <v>226</v>
      </c>
      <c r="BG219" s="136">
        <f t="shared" si="8"/>
        <v>0</v>
      </c>
      <c r="BH219" s="283" t="str">
        <f t="shared" si="23"/>
        <v/>
      </c>
      <c r="BI219" s="136">
        <f t="shared" si="18"/>
        <v>0</v>
      </c>
      <c r="BJ219" s="136">
        <f t="shared" si="19"/>
        <v>0</v>
      </c>
      <c r="BK219" s="136">
        <f t="shared" si="9"/>
        <v>49</v>
      </c>
      <c r="BL219" s="283" t="str">
        <f t="shared" si="24"/>
        <v/>
      </c>
      <c r="BM219" s="136">
        <f t="shared" si="20"/>
        <v>0</v>
      </c>
      <c r="BN219" s="136">
        <f t="shared" si="21"/>
        <v>49</v>
      </c>
      <c r="BO219" s="136">
        <f t="shared" si="10"/>
        <v>2899</v>
      </c>
      <c r="BP219" s="136">
        <f t="shared" si="11"/>
        <v>856</v>
      </c>
      <c r="BQ219" s="136">
        <f t="shared" si="12"/>
        <v>275</v>
      </c>
    </row>
    <row r="220" spans="53:70" ht="49.5" customHeight="1" x14ac:dyDescent="0.25">
      <c r="BA220" s="678" t="str">
        <f>A21</f>
        <v>PROFORMA–II VALUES [Sl.– 12.1 (Road), Sl.– 12.2 (Railway Crossing) and Sl.– 12.3 (Railway) Accidents]</v>
      </c>
      <c r="BB220" s="679"/>
      <c r="BC220" s="136">
        <f>D21</f>
        <v>2850</v>
      </c>
      <c r="BD220" s="136"/>
      <c r="BE220" s="136">
        <f t="shared" si="16"/>
        <v>856</v>
      </c>
      <c r="BF220" s="136">
        <f t="shared" si="17"/>
        <v>226</v>
      </c>
      <c r="BG220" s="136">
        <f t="shared" si="8"/>
        <v>0</v>
      </c>
      <c r="BH220" s="136"/>
      <c r="BI220" s="136">
        <f t="shared" si="18"/>
        <v>0</v>
      </c>
      <c r="BJ220" s="136">
        <f t="shared" si="19"/>
        <v>0</v>
      </c>
      <c r="BK220" s="136">
        <f t="shared" si="9"/>
        <v>49</v>
      </c>
      <c r="BL220" s="136"/>
      <c r="BM220" s="136">
        <f t="shared" si="20"/>
        <v>0</v>
      </c>
      <c r="BN220" s="136">
        <f t="shared" si="21"/>
        <v>49</v>
      </c>
      <c r="BO220" s="136">
        <f t="shared" si="10"/>
        <v>2899</v>
      </c>
      <c r="BP220" s="136">
        <f t="shared" si="11"/>
        <v>856</v>
      </c>
      <c r="BQ220" s="136">
        <f t="shared" si="12"/>
        <v>275</v>
      </c>
    </row>
    <row r="221" spans="53:70" ht="54.75" customHeight="1" x14ac:dyDescent="0.25">
      <c r="BA221" s="678" t="str">
        <f>A22</f>
        <v>VALIDATION  WITH PROFORMA–II [Sl.– 12.1 (Road), Sl.– 12.2 (Railway Crossing) and Sl.– 12.3 (Railway) Accidents]</v>
      </c>
      <c r="BB221" s="679"/>
      <c r="BC221" s="136" t="str">
        <f>D22</f>
        <v/>
      </c>
      <c r="BD221" s="136"/>
      <c r="BE221" s="136" t="str">
        <f t="shared" si="16"/>
        <v/>
      </c>
      <c r="BF221" s="136" t="str">
        <f t="shared" si="17"/>
        <v/>
      </c>
      <c r="BG221" s="136" t="str">
        <f t="shared" si="8"/>
        <v/>
      </c>
      <c r="BH221" s="136"/>
      <c r="BI221" s="136" t="str">
        <f t="shared" si="18"/>
        <v/>
      </c>
      <c r="BJ221" s="136" t="str">
        <f t="shared" si="19"/>
        <v/>
      </c>
      <c r="BK221" s="136" t="str">
        <f t="shared" si="9"/>
        <v/>
      </c>
      <c r="BL221" s="136"/>
      <c r="BM221" s="136" t="str">
        <f t="shared" si="20"/>
        <v/>
      </c>
      <c r="BN221" s="136" t="str">
        <f t="shared" si="21"/>
        <v/>
      </c>
      <c r="BO221" s="136" t="str">
        <f t="shared" si="10"/>
        <v/>
      </c>
      <c r="BP221" s="136" t="str">
        <f t="shared" si="11"/>
        <v/>
      </c>
      <c r="BQ221" s="136" t="str">
        <f t="shared" si="12"/>
        <v/>
      </c>
    </row>
    <row r="222" spans="53:70" x14ac:dyDescent="0.25">
      <c r="BA222" s="132"/>
      <c r="BB222" s="132"/>
      <c r="BC222" s="132"/>
      <c r="BD222" s="132"/>
      <c r="BE222" s="132"/>
      <c r="BF222" s="132"/>
      <c r="BG222" s="132"/>
      <c r="BH222" s="132"/>
      <c r="BI222" s="132"/>
      <c r="BJ222" s="132"/>
      <c r="BK222" s="132"/>
      <c r="BL222" s="132"/>
      <c r="BM222" s="132"/>
      <c r="BN222" s="132"/>
      <c r="BO222" s="132"/>
      <c r="BP222" s="132"/>
      <c r="BQ222" s="132"/>
      <c r="BR222" s="132"/>
    </row>
    <row r="223" spans="53:70" x14ac:dyDescent="0.25">
      <c r="BA223" s="132"/>
      <c r="BB223" s="132"/>
      <c r="BC223" s="132"/>
      <c r="BD223" s="132"/>
      <c r="BE223" s="132"/>
      <c r="BF223" s="132"/>
      <c r="BG223" s="132"/>
      <c r="BH223" s="132"/>
      <c r="BI223" s="132"/>
      <c r="BJ223" s="132"/>
      <c r="BK223" s="132"/>
      <c r="BL223" s="132"/>
      <c r="BM223" s="132"/>
      <c r="BN223" s="132"/>
      <c r="BO223" s="132"/>
      <c r="BP223" s="132"/>
      <c r="BQ223" s="132"/>
      <c r="BR223" s="132"/>
    </row>
    <row r="500" spans="1:19" s="352" customFormat="1" x14ac:dyDescent="0.25">
      <c r="A500" s="195" t="s">
        <v>450</v>
      </c>
      <c r="B500" s="195" t="s">
        <v>451</v>
      </c>
      <c r="C500" s="195" t="s">
        <v>452</v>
      </c>
      <c r="D500" s="195" t="s">
        <v>453</v>
      </c>
      <c r="E500" s="195" t="s">
        <v>489</v>
      </c>
      <c r="F500" s="195" t="s">
        <v>490</v>
      </c>
      <c r="G500" s="195" t="s">
        <v>491</v>
      </c>
      <c r="H500" s="195" t="s">
        <v>492</v>
      </c>
      <c r="I500" s="195" t="s">
        <v>493</v>
      </c>
      <c r="J500" s="195" t="s">
        <v>494</v>
      </c>
      <c r="K500" s="195" t="s">
        <v>495</v>
      </c>
      <c r="L500" s="195" t="s">
        <v>496</v>
      </c>
      <c r="M500" s="195" t="s">
        <v>497</v>
      </c>
      <c r="N500" s="195" t="s">
        <v>1368</v>
      </c>
      <c r="O500" s="195" t="s">
        <v>1369</v>
      </c>
      <c r="P500" s="195" t="s">
        <v>1370</v>
      </c>
      <c r="Q500" s="361"/>
      <c r="R500" s="361"/>
      <c r="S500" s="361"/>
    </row>
    <row r="501" spans="1:19" s="352" customFormat="1" ht="12.75" x14ac:dyDescent="0.2">
      <c r="A501" s="348">
        <f>IF(ADSI!$G$12="",ADSI!$H$16,ADSI!$H$12)</f>
        <v>6</v>
      </c>
      <c r="B501" s="348" t="str">
        <f ca="1">IF(ADSI!$G$12="",ADSI!$H$16,ADSI!$H$14)</f>
        <v/>
      </c>
      <c r="C501" s="395">
        <f>A8</f>
        <v>600</v>
      </c>
      <c r="D501" s="348">
        <f>ADSI!$K$12</f>
        <v>2021</v>
      </c>
      <c r="E501" s="360">
        <f>D8</f>
        <v>301</v>
      </c>
      <c r="F501" s="360">
        <f>F8</f>
        <v>105</v>
      </c>
      <c r="G501" s="360">
        <f>G8</f>
        <v>25</v>
      </c>
      <c r="H501" s="360">
        <f>H8</f>
        <v>0</v>
      </c>
      <c r="I501" s="360">
        <f>J8</f>
        <v>0</v>
      </c>
      <c r="J501" s="360">
        <f>K8</f>
        <v>0</v>
      </c>
      <c r="K501" s="360">
        <f>L8</f>
        <v>5</v>
      </c>
      <c r="L501" s="360">
        <f>N8</f>
        <v>0</v>
      </c>
      <c r="M501" s="360">
        <f>O8</f>
        <v>5</v>
      </c>
      <c r="N501" s="360">
        <f>P8</f>
        <v>306</v>
      </c>
      <c r="O501" s="360">
        <f t="shared" ref="O501:P501" si="25">Q8</f>
        <v>105</v>
      </c>
      <c r="P501" s="360">
        <f t="shared" si="25"/>
        <v>30</v>
      </c>
    </row>
    <row r="502" spans="1:19" s="352" customFormat="1" ht="12.75" x14ac:dyDescent="0.2">
      <c r="A502" s="348">
        <f>IF(ADSI!$G$12="",ADSI!$H$16,ADSI!$H$12)</f>
        <v>6</v>
      </c>
      <c r="B502" s="348" t="str">
        <f ca="1">IF(ADSI!$G$12="",ADSI!$H$16,ADSI!$H$14)</f>
        <v/>
      </c>
      <c r="C502" s="395">
        <f t="shared" ref="C502:C513" si="26">A9</f>
        <v>601</v>
      </c>
      <c r="D502" s="348">
        <f>ADSI!$K$12</f>
        <v>2021</v>
      </c>
      <c r="E502" s="360">
        <f t="shared" ref="E502:E513" si="27">D9</f>
        <v>235</v>
      </c>
      <c r="F502" s="360">
        <f t="shared" ref="F502:H502" si="28">F9</f>
        <v>75</v>
      </c>
      <c r="G502" s="360">
        <f t="shared" si="28"/>
        <v>12</v>
      </c>
      <c r="H502" s="360">
        <f t="shared" si="28"/>
        <v>0</v>
      </c>
      <c r="I502" s="360">
        <f t="shared" ref="I502:K502" si="29">J9</f>
        <v>0</v>
      </c>
      <c r="J502" s="360">
        <f t="shared" si="29"/>
        <v>0</v>
      </c>
      <c r="K502" s="360">
        <f t="shared" si="29"/>
        <v>1</v>
      </c>
      <c r="L502" s="360">
        <f t="shared" ref="L502:N502" si="30">N9</f>
        <v>0</v>
      </c>
      <c r="M502" s="360">
        <f t="shared" si="30"/>
        <v>1</v>
      </c>
      <c r="N502" s="360">
        <f t="shared" si="30"/>
        <v>236</v>
      </c>
      <c r="O502" s="360">
        <f t="shared" ref="O502:O513" si="31">Q9</f>
        <v>75</v>
      </c>
      <c r="P502" s="360">
        <f t="shared" ref="P502:P513" si="32">R9</f>
        <v>13</v>
      </c>
    </row>
    <row r="503" spans="1:19" s="352" customFormat="1" ht="12.75" x14ac:dyDescent="0.2">
      <c r="A503" s="348">
        <f>IF(ADSI!$G$12="",ADSI!$H$16,ADSI!$H$12)</f>
        <v>6</v>
      </c>
      <c r="B503" s="348" t="str">
        <f ca="1">IF(ADSI!$G$12="",ADSI!$H$16,ADSI!$H$14)</f>
        <v/>
      </c>
      <c r="C503" s="395">
        <f t="shared" si="26"/>
        <v>602</v>
      </c>
      <c r="D503" s="348">
        <f>ADSI!$K$12</f>
        <v>2021</v>
      </c>
      <c r="E503" s="360">
        <f t="shared" si="27"/>
        <v>285</v>
      </c>
      <c r="F503" s="360">
        <f t="shared" ref="F503:H503" si="33">F10</f>
        <v>84</v>
      </c>
      <c r="G503" s="360">
        <f t="shared" si="33"/>
        <v>20</v>
      </c>
      <c r="H503" s="360">
        <f t="shared" si="33"/>
        <v>0</v>
      </c>
      <c r="I503" s="360">
        <f t="shared" ref="I503:K503" si="34">J10</f>
        <v>0</v>
      </c>
      <c r="J503" s="360">
        <f t="shared" si="34"/>
        <v>0</v>
      </c>
      <c r="K503" s="360">
        <f t="shared" si="34"/>
        <v>5</v>
      </c>
      <c r="L503" s="360">
        <f t="shared" ref="L503:N503" si="35">N10</f>
        <v>0</v>
      </c>
      <c r="M503" s="360">
        <f t="shared" si="35"/>
        <v>5</v>
      </c>
      <c r="N503" s="360">
        <f t="shared" si="35"/>
        <v>290</v>
      </c>
      <c r="O503" s="360">
        <f t="shared" si="31"/>
        <v>84</v>
      </c>
      <c r="P503" s="360">
        <f t="shared" si="32"/>
        <v>25</v>
      </c>
    </row>
    <row r="504" spans="1:19" s="352" customFormat="1" ht="12.75" x14ac:dyDescent="0.2">
      <c r="A504" s="348">
        <f>IF(ADSI!$G$12="",ADSI!$H$16,ADSI!$H$12)</f>
        <v>6</v>
      </c>
      <c r="B504" s="348" t="str">
        <f ca="1">IF(ADSI!$G$12="",ADSI!$H$16,ADSI!$H$14)</f>
        <v/>
      </c>
      <c r="C504" s="395">
        <f t="shared" si="26"/>
        <v>603</v>
      </c>
      <c r="D504" s="348">
        <f>ADSI!$K$12</f>
        <v>2021</v>
      </c>
      <c r="E504" s="360">
        <f t="shared" si="27"/>
        <v>210</v>
      </c>
      <c r="F504" s="360">
        <f t="shared" ref="F504:H504" si="36">F11</f>
        <v>61</v>
      </c>
      <c r="G504" s="360">
        <f t="shared" si="36"/>
        <v>22</v>
      </c>
      <c r="H504" s="360">
        <f t="shared" si="36"/>
        <v>0</v>
      </c>
      <c r="I504" s="360">
        <f t="shared" ref="I504:K504" si="37">J11</f>
        <v>0</v>
      </c>
      <c r="J504" s="360">
        <f t="shared" si="37"/>
        <v>0</v>
      </c>
      <c r="K504" s="360">
        <f t="shared" si="37"/>
        <v>6</v>
      </c>
      <c r="L504" s="360">
        <f t="shared" ref="L504:N504" si="38">N11</f>
        <v>0</v>
      </c>
      <c r="M504" s="360">
        <f t="shared" si="38"/>
        <v>6</v>
      </c>
      <c r="N504" s="360">
        <f t="shared" si="38"/>
        <v>216</v>
      </c>
      <c r="O504" s="360">
        <f t="shared" si="31"/>
        <v>61</v>
      </c>
      <c r="P504" s="360">
        <f t="shared" si="32"/>
        <v>28</v>
      </c>
    </row>
    <row r="505" spans="1:19" s="352" customFormat="1" ht="12.75" x14ac:dyDescent="0.2">
      <c r="A505" s="348">
        <f>IF(ADSI!$G$12="",ADSI!$H$16,ADSI!$H$12)</f>
        <v>6</v>
      </c>
      <c r="B505" s="348" t="str">
        <f ca="1">IF(ADSI!$G$12="",ADSI!$H$16,ADSI!$H$14)</f>
        <v/>
      </c>
      <c r="C505" s="395">
        <f t="shared" si="26"/>
        <v>604</v>
      </c>
      <c r="D505" s="348">
        <f>ADSI!$K$12</f>
        <v>2021</v>
      </c>
      <c r="E505" s="360">
        <f t="shared" si="27"/>
        <v>131</v>
      </c>
      <c r="F505" s="360">
        <f t="shared" ref="F505:H505" si="39">F12</f>
        <v>35</v>
      </c>
      <c r="G505" s="360">
        <f t="shared" si="39"/>
        <v>10</v>
      </c>
      <c r="H505" s="360">
        <f t="shared" si="39"/>
        <v>0</v>
      </c>
      <c r="I505" s="360">
        <f t="shared" ref="I505:K505" si="40">J12</f>
        <v>0</v>
      </c>
      <c r="J505" s="360">
        <f t="shared" si="40"/>
        <v>0</v>
      </c>
      <c r="K505" s="360">
        <f t="shared" si="40"/>
        <v>2</v>
      </c>
      <c r="L505" s="360">
        <f t="shared" ref="L505:N505" si="41">N12</f>
        <v>0</v>
      </c>
      <c r="M505" s="360">
        <f t="shared" si="41"/>
        <v>2</v>
      </c>
      <c r="N505" s="360">
        <f t="shared" si="41"/>
        <v>133</v>
      </c>
      <c r="O505" s="360">
        <f t="shared" si="31"/>
        <v>35</v>
      </c>
      <c r="P505" s="360">
        <f t="shared" si="32"/>
        <v>12</v>
      </c>
    </row>
    <row r="506" spans="1:19" s="352" customFormat="1" ht="12.75" x14ac:dyDescent="0.2">
      <c r="A506" s="348">
        <f>IF(ADSI!$G$12="",ADSI!$H$16,ADSI!$H$12)</f>
        <v>6</v>
      </c>
      <c r="B506" s="348" t="str">
        <f ca="1">IF(ADSI!$G$12="",ADSI!$H$16,ADSI!$H$14)</f>
        <v/>
      </c>
      <c r="C506" s="395">
        <f t="shared" si="26"/>
        <v>605</v>
      </c>
      <c r="D506" s="348">
        <f>ADSI!$K$12</f>
        <v>2021</v>
      </c>
      <c r="E506" s="360">
        <f t="shared" si="27"/>
        <v>169</v>
      </c>
      <c r="F506" s="360">
        <f t="shared" ref="F506:H506" si="42">F13</f>
        <v>53</v>
      </c>
      <c r="G506" s="360">
        <f t="shared" si="42"/>
        <v>16</v>
      </c>
      <c r="H506" s="360">
        <f t="shared" si="42"/>
        <v>0</v>
      </c>
      <c r="I506" s="360">
        <f t="shared" ref="I506:K506" si="43">J13</f>
        <v>0</v>
      </c>
      <c r="J506" s="360">
        <f t="shared" si="43"/>
        <v>0</v>
      </c>
      <c r="K506" s="360">
        <f t="shared" si="43"/>
        <v>6</v>
      </c>
      <c r="L506" s="360">
        <f t="shared" ref="L506:N506" si="44">N13</f>
        <v>0</v>
      </c>
      <c r="M506" s="360">
        <f t="shared" si="44"/>
        <v>6</v>
      </c>
      <c r="N506" s="360">
        <f t="shared" si="44"/>
        <v>175</v>
      </c>
      <c r="O506" s="360">
        <f t="shared" si="31"/>
        <v>53</v>
      </c>
      <c r="P506" s="360">
        <f t="shared" si="32"/>
        <v>22</v>
      </c>
    </row>
    <row r="507" spans="1:19" s="352" customFormat="1" ht="12.75" x14ac:dyDescent="0.2">
      <c r="A507" s="348">
        <f>IF(ADSI!$G$12="",ADSI!$H$16,ADSI!$H$12)</f>
        <v>6</v>
      </c>
      <c r="B507" s="348" t="str">
        <f ca="1">IF(ADSI!$G$12="",ADSI!$H$16,ADSI!$H$14)</f>
        <v/>
      </c>
      <c r="C507" s="395">
        <f t="shared" si="26"/>
        <v>606</v>
      </c>
      <c r="D507" s="348">
        <f>ADSI!$K$12</f>
        <v>2021</v>
      </c>
      <c r="E507" s="360">
        <f t="shared" si="27"/>
        <v>199</v>
      </c>
      <c r="F507" s="360">
        <f t="shared" ref="F507:H507" si="45">F14</f>
        <v>56</v>
      </c>
      <c r="G507" s="360">
        <f t="shared" si="45"/>
        <v>16</v>
      </c>
      <c r="H507" s="360">
        <f t="shared" si="45"/>
        <v>0</v>
      </c>
      <c r="I507" s="360">
        <f t="shared" ref="I507:K507" si="46">J14</f>
        <v>0</v>
      </c>
      <c r="J507" s="360">
        <f t="shared" si="46"/>
        <v>0</v>
      </c>
      <c r="K507" s="360">
        <f t="shared" si="46"/>
        <v>7</v>
      </c>
      <c r="L507" s="360">
        <f t="shared" ref="L507:N507" si="47">N14</f>
        <v>0</v>
      </c>
      <c r="M507" s="360">
        <f t="shared" si="47"/>
        <v>7</v>
      </c>
      <c r="N507" s="360">
        <f t="shared" si="47"/>
        <v>206</v>
      </c>
      <c r="O507" s="360">
        <f t="shared" si="31"/>
        <v>56</v>
      </c>
      <c r="P507" s="360">
        <f t="shared" si="32"/>
        <v>23</v>
      </c>
    </row>
    <row r="508" spans="1:19" s="352" customFormat="1" ht="12.75" x14ac:dyDescent="0.2">
      <c r="A508" s="348">
        <f>IF(ADSI!$G$12="",ADSI!$H$16,ADSI!$H$12)</f>
        <v>6</v>
      </c>
      <c r="B508" s="348" t="str">
        <f ca="1">IF(ADSI!$G$12="",ADSI!$H$16,ADSI!$H$14)</f>
        <v/>
      </c>
      <c r="C508" s="395">
        <f t="shared" si="26"/>
        <v>607</v>
      </c>
      <c r="D508" s="348">
        <f>ADSI!$K$12</f>
        <v>2021</v>
      </c>
      <c r="E508" s="360">
        <f t="shared" si="27"/>
        <v>212</v>
      </c>
      <c r="F508" s="360">
        <f t="shared" ref="F508:H508" si="48">F15</f>
        <v>59</v>
      </c>
      <c r="G508" s="360">
        <f t="shared" si="48"/>
        <v>18</v>
      </c>
      <c r="H508" s="360">
        <f t="shared" si="48"/>
        <v>0</v>
      </c>
      <c r="I508" s="360">
        <f t="shared" ref="I508:K508" si="49">J15</f>
        <v>0</v>
      </c>
      <c r="J508" s="360">
        <f t="shared" si="49"/>
        <v>0</v>
      </c>
      <c r="K508" s="360">
        <f t="shared" si="49"/>
        <v>0</v>
      </c>
      <c r="L508" s="360">
        <f t="shared" ref="L508:N508" si="50">N15</f>
        <v>0</v>
      </c>
      <c r="M508" s="360">
        <f t="shared" si="50"/>
        <v>0</v>
      </c>
      <c r="N508" s="360">
        <f t="shared" si="50"/>
        <v>212</v>
      </c>
      <c r="O508" s="360">
        <f t="shared" si="31"/>
        <v>59</v>
      </c>
      <c r="P508" s="360">
        <f t="shared" si="32"/>
        <v>18</v>
      </c>
    </row>
    <row r="509" spans="1:19" s="352" customFormat="1" ht="12.75" x14ac:dyDescent="0.2">
      <c r="A509" s="348">
        <f>IF(ADSI!$G$12="",ADSI!$H$16,ADSI!$H$12)</f>
        <v>6</v>
      </c>
      <c r="B509" s="348" t="str">
        <f ca="1">IF(ADSI!$G$12="",ADSI!$H$16,ADSI!$H$14)</f>
        <v/>
      </c>
      <c r="C509" s="395">
        <f t="shared" si="26"/>
        <v>608</v>
      </c>
      <c r="D509" s="348">
        <f>ADSI!$K$12</f>
        <v>2021</v>
      </c>
      <c r="E509" s="360">
        <f t="shared" si="27"/>
        <v>227</v>
      </c>
      <c r="F509" s="360">
        <f t="shared" ref="F509:H509" si="51">F16</f>
        <v>52</v>
      </c>
      <c r="G509" s="360">
        <f t="shared" si="51"/>
        <v>20</v>
      </c>
      <c r="H509" s="360">
        <f t="shared" si="51"/>
        <v>0</v>
      </c>
      <c r="I509" s="360">
        <f t="shared" ref="I509:K509" si="52">J16</f>
        <v>0</v>
      </c>
      <c r="J509" s="360">
        <f t="shared" si="52"/>
        <v>0</v>
      </c>
      <c r="K509" s="360">
        <f t="shared" si="52"/>
        <v>6</v>
      </c>
      <c r="L509" s="360">
        <f t="shared" ref="L509:N509" si="53">N16</f>
        <v>0</v>
      </c>
      <c r="M509" s="360">
        <f t="shared" si="53"/>
        <v>6</v>
      </c>
      <c r="N509" s="360">
        <f t="shared" si="53"/>
        <v>233</v>
      </c>
      <c r="O509" s="360">
        <f t="shared" si="31"/>
        <v>52</v>
      </c>
      <c r="P509" s="360">
        <f t="shared" si="32"/>
        <v>26</v>
      </c>
    </row>
    <row r="510" spans="1:19" s="352" customFormat="1" ht="12.75" x14ac:dyDescent="0.2">
      <c r="A510" s="348">
        <f>IF(ADSI!$G$12="",ADSI!$H$16,ADSI!$H$12)</f>
        <v>6</v>
      </c>
      <c r="B510" s="348" t="str">
        <f ca="1">IF(ADSI!$G$12="",ADSI!$H$16,ADSI!$H$14)</f>
        <v/>
      </c>
      <c r="C510" s="395">
        <f t="shared" si="26"/>
        <v>609</v>
      </c>
      <c r="D510" s="348">
        <f>ADSI!$K$12</f>
        <v>2021</v>
      </c>
      <c r="E510" s="360">
        <f t="shared" si="27"/>
        <v>252</v>
      </c>
      <c r="F510" s="360">
        <f t="shared" ref="F510:H510" si="54">F17</f>
        <v>76</v>
      </c>
      <c r="G510" s="360">
        <f t="shared" si="54"/>
        <v>12</v>
      </c>
      <c r="H510" s="360">
        <f t="shared" si="54"/>
        <v>0</v>
      </c>
      <c r="I510" s="360">
        <f t="shared" ref="I510:K510" si="55">J17</f>
        <v>0</v>
      </c>
      <c r="J510" s="360">
        <f t="shared" si="55"/>
        <v>0</v>
      </c>
      <c r="K510" s="360">
        <f t="shared" si="55"/>
        <v>3</v>
      </c>
      <c r="L510" s="360">
        <f t="shared" ref="L510:N510" si="56">N17</f>
        <v>0</v>
      </c>
      <c r="M510" s="360">
        <f t="shared" si="56"/>
        <v>3</v>
      </c>
      <c r="N510" s="360">
        <f t="shared" si="56"/>
        <v>255</v>
      </c>
      <c r="O510" s="360">
        <f t="shared" si="31"/>
        <v>76</v>
      </c>
      <c r="P510" s="360">
        <f t="shared" si="32"/>
        <v>15</v>
      </c>
    </row>
    <row r="511" spans="1:19" s="352" customFormat="1" ht="12.75" x14ac:dyDescent="0.2">
      <c r="A511" s="348">
        <f>IF(ADSI!$G$12="",ADSI!$H$16,ADSI!$H$12)</f>
        <v>6</v>
      </c>
      <c r="B511" s="348" t="str">
        <f ca="1">IF(ADSI!$G$12="",ADSI!$H$16,ADSI!$H$14)</f>
        <v/>
      </c>
      <c r="C511" s="395">
        <f t="shared" si="26"/>
        <v>610</v>
      </c>
      <c r="D511" s="348">
        <f>ADSI!$K$12</f>
        <v>2021</v>
      </c>
      <c r="E511" s="360">
        <f t="shared" si="27"/>
        <v>287</v>
      </c>
      <c r="F511" s="360">
        <f t="shared" ref="F511:H511" si="57">F18</f>
        <v>100</v>
      </c>
      <c r="G511" s="360">
        <f t="shared" si="57"/>
        <v>24</v>
      </c>
      <c r="H511" s="360">
        <f t="shared" si="57"/>
        <v>0</v>
      </c>
      <c r="I511" s="360">
        <f t="shared" ref="I511:K511" si="58">J18</f>
        <v>0</v>
      </c>
      <c r="J511" s="360">
        <f t="shared" si="58"/>
        <v>0</v>
      </c>
      <c r="K511" s="360">
        <f t="shared" si="58"/>
        <v>4</v>
      </c>
      <c r="L511" s="360">
        <f t="shared" ref="L511:N511" si="59">N18</f>
        <v>0</v>
      </c>
      <c r="M511" s="360">
        <f t="shared" si="59"/>
        <v>4</v>
      </c>
      <c r="N511" s="360">
        <f t="shared" si="59"/>
        <v>291</v>
      </c>
      <c r="O511" s="360">
        <f t="shared" si="31"/>
        <v>100</v>
      </c>
      <c r="P511" s="360">
        <f t="shared" si="32"/>
        <v>28</v>
      </c>
    </row>
    <row r="512" spans="1:19" s="352" customFormat="1" ht="12.75" x14ac:dyDescent="0.2">
      <c r="A512" s="348">
        <f>IF(ADSI!$G$12="",ADSI!$H$16,ADSI!$H$12)</f>
        <v>6</v>
      </c>
      <c r="B512" s="348" t="str">
        <f ca="1">IF(ADSI!$G$12="",ADSI!$H$16,ADSI!$H$14)</f>
        <v/>
      </c>
      <c r="C512" s="395">
        <f t="shared" si="26"/>
        <v>611</v>
      </c>
      <c r="D512" s="348">
        <f>ADSI!$K$12</f>
        <v>2021</v>
      </c>
      <c r="E512" s="360">
        <f t="shared" si="27"/>
        <v>342</v>
      </c>
      <c r="F512" s="360">
        <f t="shared" ref="F512:H512" si="60">F19</f>
        <v>100</v>
      </c>
      <c r="G512" s="360">
        <f t="shared" si="60"/>
        <v>31</v>
      </c>
      <c r="H512" s="360">
        <f t="shared" si="60"/>
        <v>0</v>
      </c>
      <c r="I512" s="360">
        <f t="shared" ref="I512:K512" si="61">J19</f>
        <v>0</v>
      </c>
      <c r="J512" s="360">
        <f t="shared" si="61"/>
        <v>0</v>
      </c>
      <c r="K512" s="360">
        <f t="shared" si="61"/>
        <v>4</v>
      </c>
      <c r="L512" s="360">
        <f t="shared" ref="L512:N512" si="62">N19</f>
        <v>0</v>
      </c>
      <c r="M512" s="360">
        <f t="shared" si="62"/>
        <v>4</v>
      </c>
      <c r="N512" s="360">
        <f t="shared" si="62"/>
        <v>346</v>
      </c>
      <c r="O512" s="360">
        <f t="shared" si="31"/>
        <v>100</v>
      </c>
      <c r="P512" s="360">
        <f t="shared" si="32"/>
        <v>35</v>
      </c>
    </row>
    <row r="513" spans="1:16" s="352" customFormat="1" ht="12.75" x14ac:dyDescent="0.2">
      <c r="A513" s="348">
        <f>IF(ADSI!$G$12="",ADSI!$H$16,ADSI!$H$12)</f>
        <v>6</v>
      </c>
      <c r="B513" s="348" t="str">
        <f ca="1">IF(ADSI!$G$12="",ADSI!$H$16,ADSI!$H$14)</f>
        <v/>
      </c>
      <c r="C513" s="395">
        <f t="shared" si="26"/>
        <v>612</v>
      </c>
      <c r="D513" s="348">
        <f>ADSI!$K$12</f>
        <v>2021</v>
      </c>
      <c r="E513" s="360">
        <f t="shared" si="27"/>
        <v>2850</v>
      </c>
      <c r="F513" s="360">
        <f t="shared" ref="F513:H513" si="63">F20</f>
        <v>856</v>
      </c>
      <c r="G513" s="360">
        <f t="shared" si="63"/>
        <v>226</v>
      </c>
      <c r="H513" s="360">
        <f t="shared" si="63"/>
        <v>0</v>
      </c>
      <c r="I513" s="360">
        <f t="shared" ref="I513:K513" si="64">J20</f>
        <v>0</v>
      </c>
      <c r="J513" s="360">
        <f t="shared" si="64"/>
        <v>0</v>
      </c>
      <c r="K513" s="360">
        <f t="shared" si="64"/>
        <v>49</v>
      </c>
      <c r="L513" s="360">
        <f t="shared" ref="L513:N513" si="65">N20</f>
        <v>0</v>
      </c>
      <c r="M513" s="360">
        <f t="shared" si="65"/>
        <v>49</v>
      </c>
      <c r="N513" s="360">
        <f t="shared" si="65"/>
        <v>2899</v>
      </c>
      <c r="O513" s="360">
        <f t="shared" si="31"/>
        <v>856</v>
      </c>
      <c r="P513" s="360">
        <f t="shared" si="32"/>
        <v>275</v>
      </c>
    </row>
    <row r="514" spans="1:16" s="352" customFormat="1" ht="12.75" x14ac:dyDescent="0.2">
      <c r="C514" s="353"/>
    </row>
    <row r="515" spans="1:16" s="352" customFormat="1" ht="12.75" x14ac:dyDescent="0.2"/>
  </sheetData>
  <sheetProtection password="C614" sheet="1" objects="1" scenarios="1" selectLockedCells="1"/>
  <mergeCells count="20">
    <mergeCell ref="BA221:BB221"/>
    <mergeCell ref="BA220:BB220"/>
    <mergeCell ref="BD205:BD206"/>
    <mergeCell ref="BH205:BH206"/>
    <mergeCell ref="BL205:BL206"/>
    <mergeCell ref="BO204:BQ204"/>
    <mergeCell ref="A22:C22"/>
    <mergeCell ref="C5:C6"/>
    <mergeCell ref="B5:B6"/>
    <mergeCell ref="P5:R5"/>
    <mergeCell ref="L5:O5"/>
    <mergeCell ref="H5:K5"/>
    <mergeCell ref="D5:G5"/>
    <mergeCell ref="A21:C21"/>
    <mergeCell ref="A5:A6"/>
    <mergeCell ref="BK204:BN204"/>
    <mergeCell ref="BG204:BJ204"/>
    <mergeCell ref="BC204:BF204"/>
    <mergeCell ref="BB204:BB205"/>
    <mergeCell ref="BA204:BA205"/>
  </mergeCells>
  <conditionalFormatting sqref="D22 F22:H22 J22:L22 N22:R22">
    <cfRule type="cellIs" dxfId="93" priority="4" operator="equal">
      <formula>FALSE</formula>
    </cfRule>
  </conditionalFormatting>
  <conditionalFormatting sqref="E8:E20">
    <cfRule type="cellIs" dxfId="92" priority="3" operator="equal">
      <formula>FALSE</formula>
    </cfRule>
  </conditionalFormatting>
  <conditionalFormatting sqref="M8:M20">
    <cfRule type="cellIs" dxfId="91" priority="2" operator="equal">
      <formula>FALSE</formula>
    </cfRule>
  </conditionalFormatting>
  <conditionalFormatting sqref="I8:I20">
    <cfRule type="cellIs" dxfId="90" priority="1" operator="equal">
      <formula>FALSE</formula>
    </cfRule>
  </conditionalFormatting>
  <dataValidations count="1">
    <dataValidation type="whole" allowBlank="1" showInputMessage="1" showErrorMessage="1" sqref="D8:D19 J8:L19 F8:H19 N8:O19">
      <formula1>0</formula1>
      <formula2>999999999</formula2>
    </dataValidation>
  </dataValidations>
  <pageMargins left="0.78740157480314965" right="0.70866141732283472" top="0.74803149606299213" bottom="0.74803149606299213" header="0.31496062992125984" footer="0.19685039370078741"/>
  <pageSetup paperSize="5" orientation="landscape" r:id="rId1"/>
  <headerFooter>
    <oddFooter>&amp;L&amp;9ADSI - &amp;A&amp;C&amp;9&amp;D &amp;T&amp;R&amp;9Page &amp;P of &amp;N</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R516"/>
  <sheetViews>
    <sheetView showGridLines="0" workbookViewId="0">
      <pane xSplit="3" ySplit="7" topLeftCell="D8" activePane="bottomRight" state="frozen"/>
      <selection activeCell="D9" sqref="D9"/>
      <selection pane="topRight" activeCell="D9" sqref="D9"/>
      <selection pane="bottomLeft" activeCell="D9" sqref="D9"/>
      <selection pane="bottomRight" activeCell="D8" sqref="D8"/>
    </sheetView>
  </sheetViews>
  <sheetFormatPr defaultRowHeight="15" x14ac:dyDescent="0.25"/>
  <cols>
    <col min="1" max="2" width="6.7109375" style="1" customWidth="1"/>
    <col min="3" max="3" width="27.5703125" style="1" bestFit="1" customWidth="1"/>
    <col min="4" max="4" width="15.7109375" style="1" customWidth="1"/>
    <col min="5" max="5" width="12.7109375" style="1" customWidth="1"/>
    <col min="6" max="7" width="15.7109375" style="1" customWidth="1"/>
    <col min="8" max="15" width="12.7109375" style="1" customWidth="1"/>
    <col min="16" max="18" width="15.7109375" style="1" customWidth="1"/>
    <col min="19" max="19" width="8.7109375" style="1" customWidth="1"/>
    <col min="20" max="52" width="9.140625" style="1"/>
    <col min="53" max="53" width="5.42578125" style="1" customWidth="1"/>
    <col min="54" max="54" width="20" style="1" customWidth="1"/>
    <col min="55" max="16384" width="9.140625" style="1"/>
  </cols>
  <sheetData>
    <row r="1" spans="1:19" ht="15.75" x14ac:dyDescent="0.25">
      <c r="A1" s="285" t="str">
        <f>ADSI!$B$1</f>
        <v>Goa, , ADSI-2021</v>
      </c>
    </row>
    <row r="2" spans="1:19" ht="15.75" x14ac:dyDescent="0.25">
      <c r="A2" s="286" t="s">
        <v>657</v>
      </c>
      <c r="C2" s="287">
        <f>COUNTIF(D18:R18,FALSE)+COUNTIF(E8:E16,FALSE)+COUNTIF(I8:I16,FALSE)+COUNTIF(M8:M16,FALSE)</f>
        <v>0</v>
      </c>
    </row>
    <row r="3" spans="1:19" s="6" customFormat="1" ht="15.75" x14ac:dyDescent="0.25">
      <c r="A3" s="296" t="s">
        <v>102</v>
      </c>
      <c r="C3" s="65"/>
      <c r="D3" s="65"/>
      <c r="E3" s="71"/>
      <c r="F3" s="65"/>
      <c r="G3" s="65"/>
      <c r="H3" s="65"/>
      <c r="I3" s="71"/>
      <c r="J3" s="65"/>
      <c r="K3" s="65"/>
      <c r="L3" s="65"/>
      <c r="M3" s="71"/>
      <c r="N3" s="65"/>
      <c r="O3" s="65"/>
      <c r="P3" s="65"/>
      <c r="Q3" s="35"/>
    </row>
    <row r="4" spans="1:19" s="6" customFormat="1" ht="15.75" x14ac:dyDescent="0.25">
      <c r="A4" s="296" t="s">
        <v>677</v>
      </c>
      <c r="C4" s="65"/>
      <c r="D4" s="65"/>
      <c r="E4" s="71"/>
      <c r="F4" s="65"/>
      <c r="G4" s="65"/>
      <c r="H4" s="65"/>
      <c r="I4" s="71"/>
      <c r="J4" s="65"/>
      <c r="K4" s="65"/>
      <c r="L4" s="65"/>
      <c r="M4" s="71"/>
      <c r="N4" s="65"/>
      <c r="O4" s="65"/>
      <c r="P4" s="65"/>
    </row>
    <row r="5" spans="1:19" ht="20.100000000000001" customHeight="1" x14ac:dyDescent="0.25">
      <c r="A5" s="646" t="s">
        <v>249</v>
      </c>
      <c r="B5" s="646" t="s">
        <v>0</v>
      </c>
      <c r="C5" s="686" t="s">
        <v>180</v>
      </c>
      <c r="D5" s="649" t="s">
        <v>46</v>
      </c>
      <c r="E5" s="649"/>
      <c r="F5" s="649"/>
      <c r="G5" s="649"/>
      <c r="H5" s="686" t="s">
        <v>87</v>
      </c>
      <c r="I5" s="686"/>
      <c r="J5" s="686"/>
      <c r="K5" s="686"/>
      <c r="L5" s="649" t="s">
        <v>88</v>
      </c>
      <c r="M5" s="649"/>
      <c r="N5" s="649"/>
      <c r="O5" s="649"/>
      <c r="P5" s="686" t="s">
        <v>17</v>
      </c>
      <c r="Q5" s="686"/>
      <c r="R5" s="686"/>
    </row>
    <row r="6" spans="1:19" ht="75" customHeight="1" x14ac:dyDescent="0.25">
      <c r="A6" s="646"/>
      <c r="B6" s="646"/>
      <c r="C6" s="686"/>
      <c r="D6" s="63" t="s">
        <v>35</v>
      </c>
      <c r="E6" s="328" t="s">
        <v>589</v>
      </c>
      <c r="F6" s="63" t="s">
        <v>36</v>
      </c>
      <c r="G6" s="63" t="s">
        <v>37</v>
      </c>
      <c r="H6" s="217" t="s">
        <v>35</v>
      </c>
      <c r="I6" s="328" t="s">
        <v>589</v>
      </c>
      <c r="J6" s="217" t="s">
        <v>36</v>
      </c>
      <c r="K6" s="217" t="s">
        <v>37</v>
      </c>
      <c r="L6" s="63" t="s">
        <v>35</v>
      </c>
      <c r="M6" s="328" t="s">
        <v>589</v>
      </c>
      <c r="N6" s="63" t="s">
        <v>36</v>
      </c>
      <c r="O6" s="63" t="s">
        <v>37</v>
      </c>
      <c r="P6" s="217" t="s">
        <v>268</v>
      </c>
      <c r="Q6" s="217" t="s">
        <v>269</v>
      </c>
      <c r="R6" s="217" t="s">
        <v>270</v>
      </c>
    </row>
    <row r="7" spans="1:19" ht="20.100000000000001" customHeight="1" x14ac:dyDescent="0.25">
      <c r="A7" s="9"/>
      <c r="B7" s="9" t="s">
        <v>181</v>
      </c>
      <c r="C7" s="218" t="s">
        <v>182</v>
      </c>
      <c r="D7" s="8" t="s">
        <v>183</v>
      </c>
      <c r="E7" s="329"/>
      <c r="F7" s="9" t="s">
        <v>184</v>
      </c>
      <c r="G7" s="9" t="s">
        <v>185</v>
      </c>
      <c r="H7" s="218" t="s">
        <v>186</v>
      </c>
      <c r="I7" s="329"/>
      <c r="J7" s="219" t="s">
        <v>187</v>
      </c>
      <c r="K7" s="219" t="s">
        <v>188</v>
      </c>
      <c r="L7" s="8" t="s">
        <v>189</v>
      </c>
      <c r="M7" s="329"/>
      <c r="N7" s="8" t="s">
        <v>190</v>
      </c>
      <c r="O7" s="8" t="s">
        <v>191</v>
      </c>
      <c r="P7" s="219" t="s">
        <v>192</v>
      </c>
      <c r="Q7" s="219" t="s">
        <v>193</v>
      </c>
      <c r="R7" s="219" t="s">
        <v>194</v>
      </c>
    </row>
    <row r="8" spans="1:19" ht="20.100000000000001" customHeight="1" x14ac:dyDescent="0.25">
      <c r="A8" s="54">
        <v>625</v>
      </c>
      <c r="B8" s="261">
        <v>1</v>
      </c>
      <c r="C8" s="67" t="s">
        <v>615</v>
      </c>
      <c r="D8" s="265">
        <v>237</v>
      </c>
      <c r="E8" s="322" t="str">
        <f t="shared" ref="E8:E15" si="0">IF(AND(OR(F8&gt;0,G8&gt;0),D8=0),FALSE,"")</f>
        <v/>
      </c>
      <c r="F8" s="235">
        <v>49</v>
      </c>
      <c r="G8" s="234">
        <v>14</v>
      </c>
      <c r="H8" s="265">
        <v>0</v>
      </c>
      <c r="I8" s="322" t="str">
        <f>IF(AND(OR(J8&gt;0,K8&gt;0),H8=0),FALSE,"")</f>
        <v/>
      </c>
      <c r="J8" s="246">
        <v>0</v>
      </c>
      <c r="K8" s="246">
        <v>0</v>
      </c>
      <c r="L8" s="265">
        <v>9</v>
      </c>
      <c r="M8" s="322" t="str">
        <f>IF(AND(OR(N8&gt;0,O8&gt;0),L8=0),FALSE,"")</f>
        <v/>
      </c>
      <c r="N8" s="246">
        <v>0</v>
      </c>
      <c r="O8" s="246">
        <v>9</v>
      </c>
      <c r="P8" s="438">
        <f>SUM(D8+H8+L8)</f>
        <v>246</v>
      </c>
      <c r="Q8" s="438">
        <f t="shared" ref="Q8:R15" si="1">SUM(F8+J8+N8)</f>
        <v>49</v>
      </c>
      <c r="R8" s="438">
        <f t="shared" si="1"/>
        <v>23</v>
      </c>
      <c r="S8" s="335"/>
    </row>
    <row r="9" spans="1:19" ht="20.100000000000001" customHeight="1" x14ac:dyDescent="0.25">
      <c r="A9" s="64">
        <v>626</v>
      </c>
      <c r="B9" s="118">
        <v>2</v>
      </c>
      <c r="C9" s="12" t="s">
        <v>616</v>
      </c>
      <c r="D9" s="265">
        <v>164</v>
      </c>
      <c r="E9" s="322" t="str">
        <f t="shared" si="0"/>
        <v/>
      </c>
      <c r="F9" s="235">
        <v>35</v>
      </c>
      <c r="G9" s="234">
        <v>14</v>
      </c>
      <c r="H9" s="265">
        <v>0</v>
      </c>
      <c r="I9" s="322" t="str">
        <f t="shared" ref="I9:I16" si="2">IF(AND(OR(J9&gt;0,K9&gt;0),H9=0),FALSE,"")</f>
        <v/>
      </c>
      <c r="J9" s="246">
        <v>0</v>
      </c>
      <c r="K9" s="246">
        <v>0</v>
      </c>
      <c r="L9" s="265">
        <v>5</v>
      </c>
      <c r="M9" s="322" t="str">
        <f t="shared" ref="M9:M16" si="3">IF(AND(OR(N9&gt;0,O9&gt;0),L9=0),FALSE,"")</f>
        <v/>
      </c>
      <c r="N9" s="246">
        <v>0</v>
      </c>
      <c r="O9" s="246">
        <v>5</v>
      </c>
      <c r="P9" s="438">
        <f t="shared" ref="P9:P15" si="4">SUM(D9+H9+L9)</f>
        <v>169</v>
      </c>
      <c r="Q9" s="438">
        <f t="shared" si="1"/>
        <v>35</v>
      </c>
      <c r="R9" s="438">
        <f t="shared" si="1"/>
        <v>19</v>
      </c>
      <c r="S9" s="335"/>
    </row>
    <row r="10" spans="1:19" ht="20.100000000000001" customHeight="1" x14ac:dyDescent="0.25">
      <c r="A10" s="262">
        <v>627</v>
      </c>
      <c r="B10" s="118">
        <v>3</v>
      </c>
      <c r="C10" s="12" t="s">
        <v>617</v>
      </c>
      <c r="D10" s="265">
        <v>263</v>
      </c>
      <c r="E10" s="322" t="str">
        <f t="shared" si="0"/>
        <v/>
      </c>
      <c r="F10" s="235">
        <v>88</v>
      </c>
      <c r="G10" s="235">
        <v>14</v>
      </c>
      <c r="H10" s="265">
        <v>0</v>
      </c>
      <c r="I10" s="322" t="str">
        <f t="shared" si="2"/>
        <v/>
      </c>
      <c r="J10" s="246">
        <v>0</v>
      </c>
      <c r="K10" s="246">
        <v>0</v>
      </c>
      <c r="L10" s="265">
        <v>5</v>
      </c>
      <c r="M10" s="322" t="str">
        <f t="shared" si="3"/>
        <v/>
      </c>
      <c r="N10" s="246">
        <v>0</v>
      </c>
      <c r="O10" s="246">
        <v>5</v>
      </c>
      <c r="P10" s="438">
        <f t="shared" si="4"/>
        <v>268</v>
      </c>
      <c r="Q10" s="438">
        <f t="shared" si="1"/>
        <v>88</v>
      </c>
      <c r="R10" s="438">
        <f t="shared" si="1"/>
        <v>19</v>
      </c>
      <c r="S10" s="335"/>
    </row>
    <row r="11" spans="1:19" ht="20.100000000000001" customHeight="1" x14ac:dyDescent="0.25">
      <c r="A11" s="118">
        <v>628</v>
      </c>
      <c r="B11" s="118">
        <v>4</v>
      </c>
      <c r="C11" s="12" t="s">
        <v>618</v>
      </c>
      <c r="D11" s="265">
        <v>402</v>
      </c>
      <c r="E11" s="322" t="str">
        <f t="shared" si="0"/>
        <v/>
      </c>
      <c r="F11" s="235">
        <v>119</v>
      </c>
      <c r="G11" s="234">
        <v>35</v>
      </c>
      <c r="H11" s="265">
        <v>0</v>
      </c>
      <c r="I11" s="322" t="str">
        <f t="shared" si="2"/>
        <v/>
      </c>
      <c r="J11" s="246">
        <v>0</v>
      </c>
      <c r="K11" s="246">
        <v>0</v>
      </c>
      <c r="L11" s="265">
        <v>4</v>
      </c>
      <c r="M11" s="322" t="str">
        <f t="shared" si="3"/>
        <v/>
      </c>
      <c r="N11" s="246">
        <v>0</v>
      </c>
      <c r="O11" s="246">
        <v>4</v>
      </c>
      <c r="P11" s="438">
        <f t="shared" si="4"/>
        <v>406</v>
      </c>
      <c r="Q11" s="438">
        <f t="shared" si="1"/>
        <v>119</v>
      </c>
      <c r="R11" s="438">
        <f t="shared" si="1"/>
        <v>39</v>
      </c>
      <c r="S11" s="335"/>
    </row>
    <row r="12" spans="1:19" ht="20.100000000000001" customHeight="1" x14ac:dyDescent="0.25">
      <c r="A12" s="262">
        <v>629</v>
      </c>
      <c r="B12" s="118">
        <v>5</v>
      </c>
      <c r="C12" s="12" t="s">
        <v>619</v>
      </c>
      <c r="D12" s="265">
        <v>453</v>
      </c>
      <c r="E12" s="322" t="str">
        <f t="shared" si="0"/>
        <v/>
      </c>
      <c r="F12" s="235">
        <v>149</v>
      </c>
      <c r="G12" s="234">
        <v>34</v>
      </c>
      <c r="H12" s="265">
        <v>0</v>
      </c>
      <c r="I12" s="322" t="str">
        <f t="shared" si="2"/>
        <v/>
      </c>
      <c r="J12" s="246">
        <v>0</v>
      </c>
      <c r="K12" s="246">
        <v>0</v>
      </c>
      <c r="L12" s="265">
        <v>3</v>
      </c>
      <c r="M12" s="322" t="str">
        <f t="shared" si="3"/>
        <v/>
      </c>
      <c r="N12" s="246">
        <v>0</v>
      </c>
      <c r="O12" s="246">
        <v>3</v>
      </c>
      <c r="P12" s="438">
        <f t="shared" si="4"/>
        <v>456</v>
      </c>
      <c r="Q12" s="438">
        <f t="shared" si="1"/>
        <v>149</v>
      </c>
      <c r="R12" s="438">
        <f t="shared" si="1"/>
        <v>37</v>
      </c>
      <c r="S12" s="335"/>
    </row>
    <row r="13" spans="1:19" ht="20.100000000000001" customHeight="1" x14ac:dyDescent="0.25">
      <c r="A13" s="118">
        <v>630</v>
      </c>
      <c r="B13" s="118">
        <v>6</v>
      </c>
      <c r="C13" s="12" t="s">
        <v>620</v>
      </c>
      <c r="D13" s="246">
        <v>463</v>
      </c>
      <c r="E13" s="322" t="str">
        <f t="shared" si="0"/>
        <v/>
      </c>
      <c r="F13" s="246">
        <v>165</v>
      </c>
      <c r="G13" s="246">
        <v>35</v>
      </c>
      <c r="H13" s="246">
        <v>0</v>
      </c>
      <c r="I13" s="322" t="str">
        <f t="shared" si="2"/>
        <v/>
      </c>
      <c r="J13" s="246">
        <v>0</v>
      </c>
      <c r="K13" s="246">
        <v>0</v>
      </c>
      <c r="L13" s="246">
        <v>4</v>
      </c>
      <c r="M13" s="322" t="str">
        <f t="shared" si="3"/>
        <v/>
      </c>
      <c r="N13" s="246">
        <v>0</v>
      </c>
      <c r="O13" s="246">
        <v>4</v>
      </c>
      <c r="P13" s="438">
        <f t="shared" si="4"/>
        <v>467</v>
      </c>
      <c r="Q13" s="438">
        <f t="shared" si="1"/>
        <v>165</v>
      </c>
      <c r="R13" s="438">
        <f t="shared" si="1"/>
        <v>39</v>
      </c>
      <c r="S13" s="335"/>
    </row>
    <row r="14" spans="1:19" ht="20.100000000000001" customHeight="1" x14ac:dyDescent="0.25">
      <c r="A14" s="262">
        <v>631</v>
      </c>
      <c r="B14" s="118">
        <v>7</v>
      </c>
      <c r="C14" s="12" t="s">
        <v>621</v>
      </c>
      <c r="D14" s="246">
        <v>521</v>
      </c>
      <c r="E14" s="322" t="str">
        <f t="shared" si="0"/>
        <v/>
      </c>
      <c r="F14" s="246">
        <v>152</v>
      </c>
      <c r="G14" s="246">
        <v>50</v>
      </c>
      <c r="H14" s="246">
        <v>0</v>
      </c>
      <c r="I14" s="322" t="str">
        <f t="shared" si="2"/>
        <v/>
      </c>
      <c r="J14" s="246">
        <v>0</v>
      </c>
      <c r="K14" s="246">
        <v>0</v>
      </c>
      <c r="L14" s="246">
        <v>10</v>
      </c>
      <c r="M14" s="322" t="str">
        <f t="shared" si="3"/>
        <v/>
      </c>
      <c r="N14" s="246">
        <v>0</v>
      </c>
      <c r="O14" s="246">
        <v>10</v>
      </c>
      <c r="P14" s="438">
        <f t="shared" si="4"/>
        <v>531</v>
      </c>
      <c r="Q14" s="438">
        <f t="shared" si="1"/>
        <v>152</v>
      </c>
      <c r="R14" s="438">
        <f t="shared" si="1"/>
        <v>60</v>
      </c>
      <c r="S14" s="335"/>
    </row>
    <row r="15" spans="1:19" ht="20.100000000000001" customHeight="1" x14ac:dyDescent="0.25">
      <c r="A15" s="118">
        <v>632</v>
      </c>
      <c r="B15" s="118">
        <v>8</v>
      </c>
      <c r="C15" s="12" t="s">
        <v>622</v>
      </c>
      <c r="D15" s="246">
        <v>347</v>
      </c>
      <c r="E15" s="322" t="str">
        <f t="shared" si="0"/>
        <v/>
      </c>
      <c r="F15" s="246">
        <v>99</v>
      </c>
      <c r="G15" s="246">
        <v>30</v>
      </c>
      <c r="H15" s="246">
        <v>0</v>
      </c>
      <c r="I15" s="322" t="str">
        <f t="shared" si="2"/>
        <v/>
      </c>
      <c r="J15" s="246">
        <v>0</v>
      </c>
      <c r="K15" s="246">
        <v>0</v>
      </c>
      <c r="L15" s="246">
        <v>9</v>
      </c>
      <c r="M15" s="322" t="str">
        <f t="shared" si="3"/>
        <v/>
      </c>
      <c r="N15" s="246">
        <v>0</v>
      </c>
      <c r="O15" s="246">
        <v>9</v>
      </c>
      <c r="P15" s="438">
        <f t="shared" si="4"/>
        <v>356</v>
      </c>
      <c r="Q15" s="438">
        <f t="shared" si="1"/>
        <v>99</v>
      </c>
      <c r="R15" s="438">
        <f t="shared" si="1"/>
        <v>39</v>
      </c>
      <c r="S15" s="335"/>
    </row>
    <row r="16" spans="1:19" ht="20.100000000000001" customHeight="1" x14ac:dyDescent="0.25">
      <c r="A16" s="262">
        <v>633</v>
      </c>
      <c r="B16" s="446">
        <v>9</v>
      </c>
      <c r="C16" s="454" t="s">
        <v>584</v>
      </c>
      <c r="D16" s="455">
        <f>SUM(D8:D15)</f>
        <v>2850</v>
      </c>
      <c r="E16" s="452" t="str">
        <f t="shared" ref="E16" si="5">IF(AND(OR(F16&gt;0,G16&gt;0),D16=0),FALSE,"")</f>
        <v/>
      </c>
      <c r="F16" s="455">
        <f>SUM(F8:F15)</f>
        <v>856</v>
      </c>
      <c r="G16" s="455">
        <f>SUM(G8:G15)</f>
        <v>226</v>
      </c>
      <c r="H16" s="455">
        <f t="shared" ref="H16:R16" si="6">SUM(H8:H15)</f>
        <v>0</v>
      </c>
      <c r="I16" s="452" t="str">
        <f t="shared" si="2"/>
        <v/>
      </c>
      <c r="J16" s="455">
        <f t="shared" si="6"/>
        <v>0</v>
      </c>
      <c r="K16" s="455">
        <f t="shared" si="6"/>
        <v>0</v>
      </c>
      <c r="L16" s="455">
        <f t="shared" si="6"/>
        <v>49</v>
      </c>
      <c r="M16" s="452" t="str">
        <f t="shared" si="3"/>
        <v/>
      </c>
      <c r="N16" s="455">
        <f t="shared" si="6"/>
        <v>0</v>
      </c>
      <c r="O16" s="455">
        <f t="shared" si="6"/>
        <v>49</v>
      </c>
      <c r="P16" s="455">
        <f t="shared" si="6"/>
        <v>2899</v>
      </c>
      <c r="Q16" s="455">
        <f t="shared" si="6"/>
        <v>856</v>
      </c>
      <c r="R16" s="455">
        <f t="shared" si="6"/>
        <v>275</v>
      </c>
      <c r="S16" s="335"/>
    </row>
    <row r="17" spans="1:18" ht="69.95" customHeight="1" x14ac:dyDescent="0.25">
      <c r="A17" s="707" t="s">
        <v>1497</v>
      </c>
      <c r="B17" s="707"/>
      <c r="C17" s="708"/>
      <c r="D17" s="284">
        <f>'P-II'!D43</f>
        <v>2850</v>
      </c>
      <c r="E17" s="284"/>
      <c r="F17" s="284">
        <f>'P-II'!I43</f>
        <v>856</v>
      </c>
      <c r="G17" s="284">
        <f>'P-II'!M43</f>
        <v>226</v>
      </c>
      <c r="H17" s="284">
        <f>'P-II'!D46</f>
        <v>0</v>
      </c>
      <c r="I17" s="284"/>
      <c r="J17" s="284">
        <f>'P-II'!I46</f>
        <v>0</v>
      </c>
      <c r="K17" s="284">
        <f>'P-II'!M46</f>
        <v>0</v>
      </c>
      <c r="L17" s="284">
        <f>'P-II'!D47</f>
        <v>49</v>
      </c>
      <c r="M17" s="284"/>
      <c r="N17" s="284">
        <f>'P-II'!I47</f>
        <v>0</v>
      </c>
      <c r="O17" s="284">
        <f>'P-II'!M47</f>
        <v>49</v>
      </c>
      <c r="P17" s="284">
        <f>'P-II'!D42</f>
        <v>2899</v>
      </c>
      <c r="Q17" s="284">
        <f>'P-II'!I42</f>
        <v>856</v>
      </c>
      <c r="R17" s="284">
        <f>'P-II'!M42</f>
        <v>275</v>
      </c>
    </row>
    <row r="18" spans="1:18" ht="69.95" customHeight="1" x14ac:dyDescent="0.25">
      <c r="A18" s="627" t="s">
        <v>1498</v>
      </c>
      <c r="B18" s="627"/>
      <c r="C18" s="628"/>
      <c r="D18" s="399" t="str">
        <f>IF(D16='P-II'!D43,"",FALSE)</f>
        <v/>
      </c>
      <c r="E18" s="399"/>
      <c r="F18" s="399" t="str">
        <f>IF(F16='P-II'!I43,"",FALSE)</f>
        <v/>
      </c>
      <c r="G18" s="399" t="str">
        <f>IF(G16='P-II'!M43,"",FALSE)</f>
        <v/>
      </c>
      <c r="H18" s="399" t="str">
        <f>IF(H16='P-II'!D46,"",FALSE)</f>
        <v/>
      </c>
      <c r="I18" s="399"/>
      <c r="J18" s="399" t="str">
        <f>IF(J16='P-II'!I46,"",FALSE)</f>
        <v/>
      </c>
      <c r="K18" s="399" t="str">
        <f>IF(K16='P-II'!M46,"",FALSE)</f>
        <v/>
      </c>
      <c r="L18" s="399" t="str">
        <f>IF(L16='P-II'!D47,"",FALSE)</f>
        <v/>
      </c>
      <c r="M18" s="399"/>
      <c r="N18" s="399" t="str">
        <f>IF(N16='P-II'!I47,"",FALSE)</f>
        <v/>
      </c>
      <c r="O18" s="399" t="str">
        <f>IF(O16='P-II'!M47,"",FALSE)</f>
        <v/>
      </c>
      <c r="P18" s="399" t="str">
        <f>IF(P16='P-II'!D42,"",FALSE)</f>
        <v/>
      </c>
      <c r="Q18" s="399" t="str">
        <f>IF(Q16='P-II'!I42,"",FALSE)</f>
        <v/>
      </c>
      <c r="R18" s="399" t="str">
        <f>IF(R16='P-II'!M42,"",FALSE)</f>
        <v/>
      </c>
    </row>
    <row r="200" spans="53:70" x14ac:dyDescent="0.25">
      <c r="BA200" s="141" t="str">
        <f>A1</f>
        <v>Goa, , ADSI-2021</v>
      </c>
      <c r="BB200" s="141"/>
    </row>
    <row r="201" spans="53:70" x14ac:dyDescent="0.25">
      <c r="BA201" s="141" t="str">
        <f>A2</f>
        <v>Errors</v>
      </c>
      <c r="BB201" s="309">
        <f>C2</f>
        <v>0</v>
      </c>
    </row>
    <row r="202" spans="53:70" x14ac:dyDescent="0.25">
      <c r="BA202" s="141" t="str">
        <f>A3</f>
        <v>Proforma–XI</v>
      </c>
      <c r="BB202" s="132"/>
      <c r="BC202" s="132"/>
      <c r="BD202" s="132"/>
      <c r="BE202" s="132"/>
      <c r="BF202" s="132"/>
      <c r="BG202" s="132"/>
      <c r="BH202" s="132"/>
      <c r="BI202" s="132"/>
      <c r="BJ202" s="132"/>
      <c r="BK202" s="132"/>
      <c r="BL202" s="132"/>
      <c r="BM202" s="132"/>
      <c r="BN202" s="132"/>
      <c r="BO202" s="132"/>
      <c r="BP202" s="132"/>
      <c r="BR202" s="132"/>
    </row>
    <row r="203" spans="53:70" x14ac:dyDescent="0.25">
      <c r="BA203" s="141" t="str">
        <f>A4</f>
        <v>Time wise occurence of Traffic Accidents</v>
      </c>
      <c r="BB203" s="132"/>
      <c r="BC203" s="132"/>
      <c r="BD203" s="132"/>
      <c r="BE203" s="132"/>
      <c r="BF203" s="132"/>
      <c r="BG203" s="132"/>
      <c r="BH203" s="132"/>
      <c r="BI203" s="132"/>
      <c r="BJ203" s="132"/>
      <c r="BK203" s="132"/>
      <c r="BL203" s="132"/>
      <c r="BM203" s="132"/>
      <c r="BN203" s="132"/>
      <c r="BO203" s="132"/>
    </row>
    <row r="204" spans="53:70" x14ac:dyDescent="0.25">
      <c r="BA204" s="602" t="str">
        <f>B5</f>
        <v>Sl. No.</v>
      </c>
      <c r="BB204" s="602" t="str">
        <f t="shared" ref="BB204:BB214" si="7">C5</f>
        <v>Time</v>
      </c>
      <c r="BC204" s="619" t="str">
        <f t="shared" ref="BC204:BC214" si="8">D5</f>
        <v>Road Accidents</v>
      </c>
      <c r="BD204" s="620"/>
      <c r="BE204" s="620"/>
      <c r="BF204" s="621"/>
      <c r="BG204" s="619" t="str">
        <f t="shared" ref="BG204:BG214" si="9">H5</f>
        <v>Railways Crossing Accidents</v>
      </c>
      <c r="BH204" s="620"/>
      <c r="BI204" s="620"/>
      <c r="BJ204" s="621"/>
      <c r="BK204" s="619" t="str">
        <f t="shared" ref="BK204:BK214" si="10">L5</f>
        <v>Railway Accidents</v>
      </c>
      <c r="BL204" s="620"/>
      <c r="BM204" s="620"/>
      <c r="BN204" s="621"/>
      <c r="BO204" s="619" t="str">
        <f t="shared" ref="BO204:BO214" si="11">P5</f>
        <v>Total</v>
      </c>
      <c r="BP204" s="620"/>
      <c r="BQ204" s="621"/>
    </row>
    <row r="205" spans="53:70" ht="63.75" x14ac:dyDescent="0.25">
      <c r="BA205" s="604"/>
      <c r="BB205" s="604"/>
      <c r="BC205" s="152" t="str">
        <f t="shared" si="8"/>
        <v>No. of Cases</v>
      </c>
      <c r="BD205" s="602" t="str">
        <f>E6</f>
        <v>VALIDATION WITH NUMBER OF CASES</v>
      </c>
      <c r="BE205" s="152" t="str">
        <f t="shared" ref="BE205:BE206" si="12">F6</f>
        <v>No. of Persons Injured</v>
      </c>
      <c r="BF205" s="152" t="str">
        <f t="shared" ref="BF205:BF206" si="13">G6</f>
        <v>No. of Persons Died</v>
      </c>
      <c r="BG205" s="152" t="str">
        <f t="shared" si="9"/>
        <v>No. of Cases</v>
      </c>
      <c r="BH205" s="602" t="str">
        <f>I6</f>
        <v>VALIDATION WITH NUMBER OF CASES</v>
      </c>
      <c r="BI205" s="152" t="str">
        <f t="shared" ref="BI205:BI214" si="14">J6</f>
        <v>No. of Persons Injured</v>
      </c>
      <c r="BJ205" s="152" t="str">
        <f t="shared" ref="BJ205:BJ214" si="15">K6</f>
        <v>No. of Persons Died</v>
      </c>
      <c r="BK205" s="152" t="str">
        <f t="shared" si="10"/>
        <v>No. of Cases</v>
      </c>
      <c r="BL205" s="602" t="str">
        <f>M6</f>
        <v>VALIDATION WITH NUMBER OF CASES</v>
      </c>
      <c r="BM205" s="152" t="str">
        <f t="shared" ref="BM205:BM214" si="16">N6</f>
        <v>No. of Persons Injured</v>
      </c>
      <c r="BN205" s="152" t="str">
        <f t="shared" ref="BN205:BN214" si="17">O6</f>
        <v>No. of Persons Died</v>
      </c>
      <c r="BO205" s="152" t="str">
        <f t="shared" si="11"/>
        <v>No. of Cases
[col. (3)+(6)+(9)]</v>
      </c>
      <c r="BP205" s="152" t="str">
        <f t="shared" ref="BP205:BP214" si="18">Q6</f>
        <v>No. of Persons Injured
[co. (4)+(7)+(10)]</v>
      </c>
      <c r="BQ205" s="152" t="str">
        <f t="shared" ref="BQ205:BQ214" si="19">R6</f>
        <v>No. of Persons Died
[col. (5)+(8)+(11)]</v>
      </c>
    </row>
    <row r="206" spans="53:70" x14ac:dyDescent="0.25">
      <c r="BA206" s="137" t="str">
        <f t="shared" ref="BA206:BA215" si="20">B7</f>
        <v>(1)</v>
      </c>
      <c r="BB206" s="137" t="str">
        <f t="shared" si="7"/>
        <v>(2)</v>
      </c>
      <c r="BC206" s="137" t="str">
        <f t="shared" si="8"/>
        <v>(3)</v>
      </c>
      <c r="BD206" s="604"/>
      <c r="BE206" s="137" t="str">
        <f t="shared" si="12"/>
        <v>(4)</v>
      </c>
      <c r="BF206" s="137" t="str">
        <f t="shared" si="13"/>
        <v>(5)</v>
      </c>
      <c r="BG206" s="137" t="str">
        <f t="shared" si="9"/>
        <v>(6)</v>
      </c>
      <c r="BH206" s="604"/>
      <c r="BI206" s="137" t="str">
        <f t="shared" si="14"/>
        <v>(7)</v>
      </c>
      <c r="BJ206" s="137" t="str">
        <f t="shared" si="15"/>
        <v>(8)</v>
      </c>
      <c r="BK206" s="137" t="str">
        <f t="shared" si="10"/>
        <v>(9)</v>
      </c>
      <c r="BL206" s="604"/>
      <c r="BM206" s="137" t="str">
        <f t="shared" si="16"/>
        <v>(10)</v>
      </c>
      <c r="BN206" s="137" t="str">
        <f t="shared" si="17"/>
        <v>(11)</v>
      </c>
      <c r="BO206" s="137" t="str">
        <f t="shared" si="11"/>
        <v>(12)</v>
      </c>
      <c r="BP206" s="137" t="str">
        <f t="shared" si="18"/>
        <v>(13)</v>
      </c>
      <c r="BQ206" s="137" t="str">
        <f t="shared" si="19"/>
        <v>(14)</v>
      </c>
    </row>
    <row r="207" spans="53:70" x14ac:dyDescent="0.25">
      <c r="BA207" s="138">
        <f t="shared" si="20"/>
        <v>1</v>
      </c>
      <c r="BB207" s="136" t="str">
        <f t="shared" si="7"/>
        <v>00:00 hrs. to 03:00 hrs. (Night)</v>
      </c>
      <c r="BC207" s="136">
        <f t="shared" si="8"/>
        <v>237</v>
      </c>
      <c r="BD207" s="283" t="str">
        <f>E8</f>
        <v/>
      </c>
      <c r="BE207" s="136">
        <f t="shared" ref="BE207:BE217" si="21">F8</f>
        <v>49</v>
      </c>
      <c r="BF207" s="136">
        <f t="shared" ref="BF207:BF217" si="22">G8</f>
        <v>14</v>
      </c>
      <c r="BG207" s="136">
        <f t="shared" si="9"/>
        <v>0</v>
      </c>
      <c r="BH207" s="283" t="str">
        <f>I8</f>
        <v/>
      </c>
      <c r="BI207" s="136">
        <f t="shared" si="14"/>
        <v>0</v>
      </c>
      <c r="BJ207" s="136">
        <f t="shared" si="15"/>
        <v>0</v>
      </c>
      <c r="BK207" s="136">
        <f t="shared" si="10"/>
        <v>9</v>
      </c>
      <c r="BL207" s="283" t="str">
        <f>M8</f>
        <v/>
      </c>
      <c r="BM207" s="136">
        <f t="shared" si="16"/>
        <v>0</v>
      </c>
      <c r="BN207" s="136">
        <f t="shared" si="17"/>
        <v>9</v>
      </c>
      <c r="BO207" s="136">
        <f t="shared" si="11"/>
        <v>246</v>
      </c>
      <c r="BP207" s="136">
        <f t="shared" si="18"/>
        <v>49</v>
      </c>
      <c r="BQ207" s="136">
        <f t="shared" si="19"/>
        <v>23</v>
      </c>
    </row>
    <row r="208" spans="53:70" x14ac:dyDescent="0.25">
      <c r="BA208" s="138">
        <f t="shared" si="20"/>
        <v>2</v>
      </c>
      <c r="BB208" s="136" t="str">
        <f t="shared" si="7"/>
        <v>03:00 hrs. to 06:00 hrs. (Night)</v>
      </c>
      <c r="BC208" s="136">
        <f t="shared" si="8"/>
        <v>164</v>
      </c>
      <c r="BD208" s="283" t="str">
        <f t="shared" ref="BD208:BD215" si="23">E9</f>
        <v/>
      </c>
      <c r="BE208" s="136">
        <f t="shared" si="21"/>
        <v>35</v>
      </c>
      <c r="BF208" s="136">
        <f t="shared" si="22"/>
        <v>14</v>
      </c>
      <c r="BG208" s="136">
        <f t="shared" si="9"/>
        <v>0</v>
      </c>
      <c r="BH208" s="283" t="str">
        <f t="shared" ref="BH208:BH215" si="24">I9</f>
        <v/>
      </c>
      <c r="BI208" s="136">
        <f t="shared" si="14"/>
        <v>0</v>
      </c>
      <c r="BJ208" s="136">
        <f t="shared" si="15"/>
        <v>0</v>
      </c>
      <c r="BK208" s="136">
        <f t="shared" si="10"/>
        <v>5</v>
      </c>
      <c r="BL208" s="283" t="str">
        <f t="shared" ref="BL208:BL215" si="25">M9</f>
        <v/>
      </c>
      <c r="BM208" s="136">
        <f t="shared" si="16"/>
        <v>0</v>
      </c>
      <c r="BN208" s="136">
        <f t="shared" si="17"/>
        <v>5</v>
      </c>
      <c r="BO208" s="136">
        <f t="shared" si="11"/>
        <v>169</v>
      </c>
      <c r="BP208" s="136">
        <f t="shared" si="18"/>
        <v>35</v>
      </c>
      <c r="BQ208" s="136">
        <f t="shared" si="19"/>
        <v>19</v>
      </c>
    </row>
    <row r="209" spans="53:70" x14ac:dyDescent="0.25">
      <c r="BA209" s="138">
        <f t="shared" si="20"/>
        <v>3</v>
      </c>
      <c r="BB209" s="136" t="str">
        <f t="shared" si="7"/>
        <v>06:00 hrs. to 09:00 hrs. (Day)</v>
      </c>
      <c r="BC209" s="136">
        <f t="shared" si="8"/>
        <v>263</v>
      </c>
      <c r="BD209" s="283" t="str">
        <f t="shared" si="23"/>
        <v/>
      </c>
      <c r="BE209" s="136">
        <f t="shared" si="21"/>
        <v>88</v>
      </c>
      <c r="BF209" s="136">
        <f t="shared" si="22"/>
        <v>14</v>
      </c>
      <c r="BG209" s="136">
        <f t="shared" si="9"/>
        <v>0</v>
      </c>
      <c r="BH209" s="283" t="str">
        <f t="shared" si="24"/>
        <v/>
      </c>
      <c r="BI209" s="136">
        <f t="shared" si="14"/>
        <v>0</v>
      </c>
      <c r="BJ209" s="136">
        <f t="shared" si="15"/>
        <v>0</v>
      </c>
      <c r="BK209" s="136">
        <f t="shared" si="10"/>
        <v>5</v>
      </c>
      <c r="BL209" s="283" t="str">
        <f t="shared" si="25"/>
        <v/>
      </c>
      <c r="BM209" s="136">
        <f t="shared" si="16"/>
        <v>0</v>
      </c>
      <c r="BN209" s="136">
        <f t="shared" si="17"/>
        <v>5</v>
      </c>
      <c r="BO209" s="136">
        <f t="shared" si="11"/>
        <v>268</v>
      </c>
      <c r="BP209" s="136">
        <f t="shared" si="18"/>
        <v>88</v>
      </c>
      <c r="BQ209" s="136">
        <f t="shared" si="19"/>
        <v>19</v>
      </c>
    </row>
    <row r="210" spans="53:70" x14ac:dyDescent="0.25">
      <c r="BA210" s="138">
        <f t="shared" si="20"/>
        <v>4</v>
      </c>
      <c r="BB210" s="136" t="str">
        <f t="shared" si="7"/>
        <v>09:00 hrs. to 12:00 hrs. (Day)</v>
      </c>
      <c r="BC210" s="136">
        <f t="shared" si="8"/>
        <v>402</v>
      </c>
      <c r="BD210" s="283" t="str">
        <f t="shared" si="23"/>
        <v/>
      </c>
      <c r="BE210" s="136">
        <f t="shared" si="21"/>
        <v>119</v>
      </c>
      <c r="BF210" s="136">
        <f t="shared" si="22"/>
        <v>35</v>
      </c>
      <c r="BG210" s="136">
        <f t="shared" si="9"/>
        <v>0</v>
      </c>
      <c r="BH210" s="283" t="str">
        <f t="shared" si="24"/>
        <v/>
      </c>
      <c r="BI210" s="136">
        <f t="shared" si="14"/>
        <v>0</v>
      </c>
      <c r="BJ210" s="136">
        <f t="shared" si="15"/>
        <v>0</v>
      </c>
      <c r="BK210" s="136">
        <f t="shared" si="10"/>
        <v>4</v>
      </c>
      <c r="BL210" s="283" t="str">
        <f t="shared" si="25"/>
        <v/>
      </c>
      <c r="BM210" s="136">
        <f t="shared" si="16"/>
        <v>0</v>
      </c>
      <c r="BN210" s="136">
        <f t="shared" si="17"/>
        <v>4</v>
      </c>
      <c r="BO210" s="136">
        <f t="shared" si="11"/>
        <v>406</v>
      </c>
      <c r="BP210" s="136">
        <f t="shared" si="18"/>
        <v>119</v>
      </c>
      <c r="BQ210" s="136">
        <f t="shared" si="19"/>
        <v>39</v>
      </c>
    </row>
    <row r="211" spans="53:70" x14ac:dyDescent="0.25">
      <c r="BA211" s="138">
        <f t="shared" si="20"/>
        <v>5</v>
      </c>
      <c r="BB211" s="136" t="str">
        <f t="shared" si="7"/>
        <v>12:00 hrs. to 15:00 hrs. (Day)</v>
      </c>
      <c r="BC211" s="136">
        <f t="shared" si="8"/>
        <v>453</v>
      </c>
      <c r="BD211" s="283" t="str">
        <f t="shared" si="23"/>
        <v/>
      </c>
      <c r="BE211" s="136">
        <f t="shared" si="21"/>
        <v>149</v>
      </c>
      <c r="BF211" s="136">
        <f t="shared" si="22"/>
        <v>34</v>
      </c>
      <c r="BG211" s="136">
        <f t="shared" si="9"/>
        <v>0</v>
      </c>
      <c r="BH211" s="283" t="str">
        <f t="shared" si="24"/>
        <v/>
      </c>
      <c r="BI211" s="136">
        <f t="shared" si="14"/>
        <v>0</v>
      </c>
      <c r="BJ211" s="136">
        <f t="shared" si="15"/>
        <v>0</v>
      </c>
      <c r="BK211" s="136">
        <f t="shared" si="10"/>
        <v>3</v>
      </c>
      <c r="BL211" s="283" t="str">
        <f t="shared" si="25"/>
        <v/>
      </c>
      <c r="BM211" s="136">
        <f t="shared" si="16"/>
        <v>0</v>
      </c>
      <c r="BN211" s="136">
        <f t="shared" si="17"/>
        <v>3</v>
      </c>
      <c r="BO211" s="136">
        <f t="shared" si="11"/>
        <v>456</v>
      </c>
      <c r="BP211" s="136">
        <f t="shared" si="18"/>
        <v>149</v>
      </c>
      <c r="BQ211" s="136">
        <f t="shared" si="19"/>
        <v>37</v>
      </c>
    </row>
    <row r="212" spans="53:70" x14ac:dyDescent="0.25">
      <c r="BA212" s="138">
        <f t="shared" si="20"/>
        <v>6</v>
      </c>
      <c r="BB212" s="136" t="str">
        <f t="shared" si="7"/>
        <v>15:00 hrs. to  18:00 hrs. (Day)</v>
      </c>
      <c r="BC212" s="136">
        <f t="shared" si="8"/>
        <v>463</v>
      </c>
      <c r="BD212" s="283" t="str">
        <f t="shared" si="23"/>
        <v/>
      </c>
      <c r="BE212" s="136">
        <f t="shared" si="21"/>
        <v>165</v>
      </c>
      <c r="BF212" s="136">
        <f t="shared" si="22"/>
        <v>35</v>
      </c>
      <c r="BG212" s="136">
        <f t="shared" si="9"/>
        <v>0</v>
      </c>
      <c r="BH212" s="283" t="str">
        <f t="shared" si="24"/>
        <v/>
      </c>
      <c r="BI212" s="136">
        <f t="shared" si="14"/>
        <v>0</v>
      </c>
      <c r="BJ212" s="136">
        <f t="shared" si="15"/>
        <v>0</v>
      </c>
      <c r="BK212" s="136">
        <f t="shared" si="10"/>
        <v>4</v>
      </c>
      <c r="BL212" s="283" t="str">
        <f t="shared" si="25"/>
        <v/>
      </c>
      <c r="BM212" s="136">
        <f t="shared" si="16"/>
        <v>0</v>
      </c>
      <c r="BN212" s="136">
        <f t="shared" si="17"/>
        <v>4</v>
      </c>
      <c r="BO212" s="136">
        <f t="shared" si="11"/>
        <v>467</v>
      </c>
      <c r="BP212" s="136">
        <f t="shared" si="18"/>
        <v>165</v>
      </c>
      <c r="BQ212" s="136">
        <f t="shared" si="19"/>
        <v>39</v>
      </c>
    </row>
    <row r="213" spans="53:70" x14ac:dyDescent="0.25">
      <c r="BA213" s="138">
        <f t="shared" si="20"/>
        <v>7</v>
      </c>
      <c r="BB213" s="136" t="str">
        <f t="shared" si="7"/>
        <v>18:00 hrs. to 21;00 hrs. (Night)</v>
      </c>
      <c r="BC213" s="136">
        <f t="shared" si="8"/>
        <v>521</v>
      </c>
      <c r="BD213" s="283" t="str">
        <f t="shared" si="23"/>
        <v/>
      </c>
      <c r="BE213" s="136">
        <f t="shared" si="21"/>
        <v>152</v>
      </c>
      <c r="BF213" s="136">
        <f t="shared" si="22"/>
        <v>50</v>
      </c>
      <c r="BG213" s="136">
        <f t="shared" si="9"/>
        <v>0</v>
      </c>
      <c r="BH213" s="283" t="str">
        <f t="shared" si="24"/>
        <v/>
      </c>
      <c r="BI213" s="136">
        <f t="shared" si="14"/>
        <v>0</v>
      </c>
      <c r="BJ213" s="136">
        <f t="shared" si="15"/>
        <v>0</v>
      </c>
      <c r="BK213" s="136">
        <f t="shared" si="10"/>
        <v>10</v>
      </c>
      <c r="BL213" s="283" t="str">
        <f t="shared" si="25"/>
        <v/>
      </c>
      <c r="BM213" s="136">
        <f t="shared" si="16"/>
        <v>0</v>
      </c>
      <c r="BN213" s="136">
        <f t="shared" si="17"/>
        <v>10</v>
      </c>
      <c r="BO213" s="136">
        <f t="shared" si="11"/>
        <v>531</v>
      </c>
      <c r="BP213" s="136">
        <f t="shared" si="18"/>
        <v>152</v>
      </c>
      <c r="BQ213" s="136">
        <f t="shared" si="19"/>
        <v>60</v>
      </c>
    </row>
    <row r="214" spans="53:70" x14ac:dyDescent="0.25">
      <c r="BA214" s="138">
        <f t="shared" si="20"/>
        <v>8</v>
      </c>
      <c r="BB214" s="136" t="str">
        <f t="shared" si="7"/>
        <v>21:00 hrs. to 24:00 hrs. (Night)</v>
      </c>
      <c r="BC214" s="136">
        <f t="shared" si="8"/>
        <v>347</v>
      </c>
      <c r="BD214" s="283" t="str">
        <f t="shared" si="23"/>
        <v/>
      </c>
      <c r="BE214" s="136">
        <f t="shared" si="21"/>
        <v>99</v>
      </c>
      <c r="BF214" s="136">
        <f t="shared" si="22"/>
        <v>30</v>
      </c>
      <c r="BG214" s="136">
        <f t="shared" si="9"/>
        <v>0</v>
      </c>
      <c r="BH214" s="283" t="str">
        <f t="shared" si="24"/>
        <v/>
      </c>
      <c r="BI214" s="136">
        <f t="shared" si="14"/>
        <v>0</v>
      </c>
      <c r="BJ214" s="136">
        <f t="shared" si="15"/>
        <v>0</v>
      </c>
      <c r="BK214" s="136">
        <f t="shared" si="10"/>
        <v>9</v>
      </c>
      <c r="BL214" s="283" t="str">
        <f t="shared" si="25"/>
        <v/>
      </c>
      <c r="BM214" s="136">
        <f t="shared" si="16"/>
        <v>0</v>
      </c>
      <c r="BN214" s="136">
        <f t="shared" si="17"/>
        <v>9</v>
      </c>
      <c r="BO214" s="136">
        <f t="shared" si="11"/>
        <v>356</v>
      </c>
      <c r="BP214" s="136">
        <f t="shared" si="18"/>
        <v>99</v>
      </c>
      <c r="BQ214" s="136">
        <f t="shared" si="19"/>
        <v>39</v>
      </c>
    </row>
    <row r="215" spans="53:70" x14ac:dyDescent="0.25">
      <c r="BA215" s="138">
        <f t="shared" si="20"/>
        <v>9</v>
      </c>
      <c r="BB215" s="136" t="str">
        <f>C16</f>
        <v>Total (sum of (Sl. 1 to 8))</v>
      </c>
      <c r="BC215" s="136">
        <f>D16</f>
        <v>2850</v>
      </c>
      <c r="BD215" s="283" t="str">
        <f t="shared" si="23"/>
        <v/>
      </c>
      <c r="BE215" s="136">
        <f t="shared" si="21"/>
        <v>856</v>
      </c>
      <c r="BF215" s="136">
        <f t="shared" si="22"/>
        <v>226</v>
      </c>
      <c r="BG215" s="136">
        <f>H16</f>
        <v>0</v>
      </c>
      <c r="BH215" s="283" t="str">
        <f t="shared" si="24"/>
        <v/>
      </c>
      <c r="BI215" s="136">
        <f t="shared" ref="BI215:BK217" si="26">J16</f>
        <v>0</v>
      </c>
      <c r="BJ215" s="136">
        <f t="shared" si="26"/>
        <v>0</v>
      </c>
      <c r="BK215" s="136">
        <f t="shared" si="26"/>
        <v>49</v>
      </c>
      <c r="BL215" s="283" t="str">
        <f t="shared" si="25"/>
        <v/>
      </c>
      <c r="BM215" s="136">
        <f t="shared" ref="BM215:BQ215" si="27">N16</f>
        <v>0</v>
      </c>
      <c r="BN215" s="136">
        <f t="shared" si="27"/>
        <v>49</v>
      </c>
      <c r="BO215" s="136">
        <f t="shared" si="27"/>
        <v>2899</v>
      </c>
      <c r="BP215" s="136">
        <f t="shared" si="27"/>
        <v>856</v>
      </c>
      <c r="BQ215" s="136">
        <f t="shared" si="27"/>
        <v>275</v>
      </c>
    </row>
    <row r="216" spans="53:70" ht="46.5" customHeight="1" x14ac:dyDescent="0.25">
      <c r="BA216" s="678" t="str">
        <f>A17</f>
        <v>PROFORMA–II VALUES [Sl.– 12.1 (Road), Sl.– 12.2 (Railway Crossing) and Sl.– 12.3 (Railway) Accidents]</v>
      </c>
      <c r="BB216" s="679"/>
      <c r="BC216" s="136">
        <f>D17</f>
        <v>2850</v>
      </c>
      <c r="BD216" s="136"/>
      <c r="BE216" s="136">
        <f t="shared" si="21"/>
        <v>856</v>
      </c>
      <c r="BF216" s="136">
        <f t="shared" si="22"/>
        <v>226</v>
      </c>
      <c r="BG216" s="136">
        <f>H17</f>
        <v>0</v>
      </c>
      <c r="BH216" s="136"/>
      <c r="BI216" s="136">
        <f t="shared" si="26"/>
        <v>0</v>
      </c>
      <c r="BJ216" s="136">
        <f t="shared" si="26"/>
        <v>0</v>
      </c>
      <c r="BK216" s="136">
        <f t="shared" si="26"/>
        <v>49</v>
      </c>
      <c r="BL216" s="136"/>
      <c r="BM216" s="136">
        <f t="shared" ref="BM216:BQ217" si="28">N17</f>
        <v>0</v>
      </c>
      <c r="BN216" s="136">
        <f t="shared" si="28"/>
        <v>49</v>
      </c>
      <c r="BO216" s="136">
        <f t="shared" si="28"/>
        <v>2899</v>
      </c>
      <c r="BP216" s="136">
        <f t="shared" si="28"/>
        <v>856</v>
      </c>
      <c r="BQ216" s="136">
        <f t="shared" si="28"/>
        <v>275</v>
      </c>
    </row>
    <row r="217" spans="53:70" ht="57" customHeight="1" x14ac:dyDescent="0.25">
      <c r="BA217" s="678" t="str">
        <f>A18</f>
        <v>VALIDATION  WITH PROFORMA–II [Sl.– 12.1 (Road), Sl.– 12.2 (Railway Crossing) and Sl.– 12.3 (Railway) Accidents]</v>
      </c>
      <c r="BB217" s="679"/>
      <c r="BC217" s="136" t="str">
        <f>D18</f>
        <v/>
      </c>
      <c r="BD217" s="136"/>
      <c r="BE217" s="136" t="str">
        <f t="shared" si="21"/>
        <v/>
      </c>
      <c r="BF217" s="136" t="str">
        <f t="shared" si="22"/>
        <v/>
      </c>
      <c r="BG217" s="136" t="str">
        <f>H18</f>
        <v/>
      </c>
      <c r="BH217" s="136"/>
      <c r="BI217" s="136" t="str">
        <f t="shared" si="26"/>
        <v/>
      </c>
      <c r="BJ217" s="136" t="str">
        <f t="shared" si="26"/>
        <v/>
      </c>
      <c r="BK217" s="136" t="str">
        <f t="shared" si="26"/>
        <v/>
      </c>
      <c r="BL217" s="136"/>
      <c r="BM217" s="136" t="str">
        <f t="shared" si="28"/>
        <v/>
      </c>
      <c r="BN217" s="136" t="str">
        <f t="shared" si="28"/>
        <v/>
      </c>
      <c r="BO217" s="136" t="str">
        <f t="shared" si="28"/>
        <v/>
      </c>
      <c r="BP217" s="136" t="str">
        <f t="shared" si="28"/>
        <v/>
      </c>
      <c r="BQ217" s="136" t="str">
        <f t="shared" si="28"/>
        <v/>
      </c>
    </row>
    <row r="218" spans="53:70" x14ac:dyDescent="0.25">
      <c r="BA218" s="132"/>
      <c r="BB218" s="132"/>
      <c r="BC218" s="132"/>
      <c r="BD218" s="132"/>
      <c r="BE218" s="132"/>
      <c r="BF218" s="132"/>
      <c r="BG218" s="132"/>
      <c r="BH218" s="132"/>
      <c r="BI218" s="132"/>
      <c r="BJ218" s="132"/>
      <c r="BK218" s="132"/>
      <c r="BL218" s="132"/>
      <c r="BM218" s="132"/>
      <c r="BN218" s="132"/>
      <c r="BO218" s="132"/>
      <c r="BP218" s="132"/>
      <c r="BQ218" s="132"/>
      <c r="BR218" s="132"/>
    </row>
    <row r="500" spans="1:16" s="352" customFormat="1" x14ac:dyDescent="0.25">
      <c r="A500" s="196" t="s">
        <v>450</v>
      </c>
      <c r="B500" s="196" t="s">
        <v>451</v>
      </c>
      <c r="C500" s="196" t="s">
        <v>452</v>
      </c>
      <c r="D500" s="196" t="s">
        <v>453</v>
      </c>
      <c r="E500" s="196" t="s">
        <v>489</v>
      </c>
      <c r="F500" s="196" t="s">
        <v>490</v>
      </c>
      <c r="G500" s="196" t="s">
        <v>491</v>
      </c>
      <c r="H500" s="196" t="s">
        <v>492</v>
      </c>
      <c r="I500" s="196" t="s">
        <v>493</v>
      </c>
      <c r="J500" s="196" t="s">
        <v>494</v>
      </c>
      <c r="K500" s="196" t="s">
        <v>495</v>
      </c>
      <c r="L500" s="196" t="s">
        <v>496</v>
      </c>
      <c r="M500" s="196" t="s">
        <v>497</v>
      </c>
      <c r="N500" s="196" t="s">
        <v>1368</v>
      </c>
      <c r="O500" s="196" t="s">
        <v>1369</v>
      </c>
      <c r="P500" s="196" t="s">
        <v>1370</v>
      </c>
    </row>
    <row r="501" spans="1:16" s="352" customFormat="1" ht="12.75" x14ac:dyDescent="0.2">
      <c r="A501" s="348">
        <f>IF(ADSI!$G$12="",ADSI!$H$16,ADSI!$H$12)</f>
        <v>6</v>
      </c>
      <c r="B501" s="348" t="str">
        <f ca="1">IF(ADSI!$G$12="",ADSI!$H$16,ADSI!$H$14)</f>
        <v/>
      </c>
      <c r="C501" s="395">
        <f>A8</f>
        <v>625</v>
      </c>
      <c r="D501" s="348">
        <f>ADSI!$K$12</f>
        <v>2021</v>
      </c>
      <c r="E501" s="360">
        <f>D8</f>
        <v>237</v>
      </c>
      <c r="F501" s="360">
        <f>F8</f>
        <v>49</v>
      </c>
      <c r="G501" s="360">
        <f>G8</f>
        <v>14</v>
      </c>
      <c r="H501" s="360">
        <f>H8</f>
        <v>0</v>
      </c>
      <c r="I501" s="360">
        <f>J8</f>
        <v>0</v>
      </c>
      <c r="J501" s="360">
        <f>K8</f>
        <v>0</v>
      </c>
      <c r="K501" s="360">
        <f>L8</f>
        <v>9</v>
      </c>
      <c r="L501" s="360">
        <f>N8</f>
        <v>0</v>
      </c>
      <c r="M501" s="360">
        <f>O8</f>
        <v>9</v>
      </c>
      <c r="N501" s="360">
        <f>P8</f>
        <v>246</v>
      </c>
      <c r="O501" s="360">
        <f t="shared" ref="O501:P501" si="29">Q8</f>
        <v>49</v>
      </c>
      <c r="P501" s="360">
        <f t="shared" si="29"/>
        <v>23</v>
      </c>
    </row>
    <row r="502" spans="1:16" s="352" customFormat="1" ht="12.75" x14ac:dyDescent="0.2">
      <c r="A502" s="348">
        <f>IF(ADSI!$G$12="",ADSI!$H$16,ADSI!$H$12)</f>
        <v>6</v>
      </c>
      <c r="B502" s="348" t="str">
        <f ca="1">IF(ADSI!$G$12="",ADSI!$H$16,ADSI!$H$14)</f>
        <v/>
      </c>
      <c r="C502" s="395">
        <f t="shared" ref="C502:C509" si="30">A9</f>
        <v>626</v>
      </c>
      <c r="D502" s="348">
        <f>ADSI!$K$12</f>
        <v>2021</v>
      </c>
      <c r="E502" s="360">
        <f t="shared" ref="E502:E509" si="31">D9</f>
        <v>164</v>
      </c>
      <c r="F502" s="360">
        <f t="shared" ref="F502:H502" si="32">F9</f>
        <v>35</v>
      </c>
      <c r="G502" s="360">
        <f t="shared" si="32"/>
        <v>14</v>
      </c>
      <c r="H502" s="360">
        <f t="shared" si="32"/>
        <v>0</v>
      </c>
      <c r="I502" s="360">
        <f t="shared" ref="I502:K502" si="33">J9</f>
        <v>0</v>
      </c>
      <c r="J502" s="360">
        <f t="shared" si="33"/>
        <v>0</v>
      </c>
      <c r="K502" s="360">
        <f t="shared" si="33"/>
        <v>5</v>
      </c>
      <c r="L502" s="360">
        <f t="shared" ref="L502:N502" si="34">N9</f>
        <v>0</v>
      </c>
      <c r="M502" s="360">
        <f t="shared" si="34"/>
        <v>5</v>
      </c>
      <c r="N502" s="360">
        <f t="shared" si="34"/>
        <v>169</v>
      </c>
      <c r="O502" s="360">
        <f t="shared" ref="O502:O509" si="35">Q9</f>
        <v>35</v>
      </c>
      <c r="P502" s="360">
        <f t="shared" ref="P502:P509" si="36">R9</f>
        <v>19</v>
      </c>
    </row>
    <row r="503" spans="1:16" s="352" customFormat="1" ht="12.75" x14ac:dyDescent="0.2">
      <c r="A503" s="348">
        <f>IF(ADSI!$G$12="",ADSI!$H$16,ADSI!$H$12)</f>
        <v>6</v>
      </c>
      <c r="B503" s="348" t="str">
        <f ca="1">IF(ADSI!$G$12="",ADSI!$H$16,ADSI!$H$14)</f>
        <v/>
      </c>
      <c r="C503" s="395">
        <f t="shared" si="30"/>
        <v>627</v>
      </c>
      <c r="D503" s="348">
        <f>ADSI!$K$12</f>
        <v>2021</v>
      </c>
      <c r="E503" s="360">
        <f t="shared" si="31"/>
        <v>263</v>
      </c>
      <c r="F503" s="360">
        <f t="shared" ref="F503:H503" si="37">F10</f>
        <v>88</v>
      </c>
      <c r="G503" s="360">
        <f t="shared" si="37"/>
        <v>14</v>
      </c>
      <c r="H503" s="360">
        <f t="shared" si="37"/>
        <v>0</v>
      </c>
      <c r="I503" s="360">
        <f t="shared" ref="I503:K503" si="38">J10</f>
        <v>0</v>
      </c>
      <c r="J503" s="360">
        <f t="shared" si="38"/>
        <v>0</v>
      </c>
      <c r="K503" s="360">
        <f t="shared" si="38"/>
        <v>5</v>
      </c>
      <c r="L503" s="360">
        <f t="shared" ref="L503:N503" si="39">N10</f>
        <v>0</v>
      </c>
      <c r="M503" s="360">
        <f t="shared" si="39"/>
        <v>5</v>
      </c>
      <c r="N503" s="360">
        <f t="shared" si="39"/>
        <v>268</v>
      </c>
      <c r="O503" s="360">
        <f t="shared" si="35"/>
        <v>88</v>
      </c>
      <c r="P503" s="360">
        <f t="shared" si="36"/>
        <v>19</v>
      </c>
    </row>
    <row r="504" spans="1:16" s="352" customFormat="1" ht="12.75" x14ac:dyDescent="0.2">
      <c r="A504" s="348">
        <f>IF(ADSI!$G$12="",ADSI!$H$16,ADSI!$H$12)</f>
        <v>6</v>
      </c>
      <c r="B504" s="348" t="str">
        <f ca="1">IF(ADSI!$G$12="",ADSI!$H$16,ADSI!$H$14)</f>
        <v/>
      </c>
      <c r="C504" s="395">
        <f t="shared" si="30"/>
        <v>628</v>
      </c>
      <c r="D504" s="348">
        <f>ADSI!$K$12</f>
        <v>2021</v>
      </c>
      <c r="E504" s="360">
        <f t="shared" si="31"/>
        <v>402</v>
      </c>
      <c r="F504" s="360">
        <f t="shared" ref="F504:H504" si="40">F11</f>
        <v>119</v>
      </c>
      <c r="G504" s="360">
        <f t="shared" si="40"/>
        <v>35</v>
      </c>
      <c r="H504" s="360">
        <f t="shared" si="40"/>
        <v>0</v>
      </c>
      <c r="I504" s="360">
        <f t="shared" ref="I504:K504" si="41">J11</f>
        <v>0</v>
      </c>
      <c r="J504" s="360">
        <f t="shared" si="41"/>
        <v>0</v>
      </c>
      <c r="K504" s="360">
        <f t="shared" si="41"/>
        <v>4</v>
      </c>
      <c r="L504" s="360">
        <f t="shared" ref="L504:N504" si="42">N11</f>
        <v>0</v>
      </c>
      <c r="M504" s="360">
        <f t="shared" si="42"/>
        <v>4</v>
      </c>
      <c r="N504" s="360">
        <f t="shared" si="42"/>
        <v>406</v>
      </c>
      <c r="O504" s="360">
        <f t="shared" si="35"/>
        <v>119</v>
      </c>
      <c r="P504" s="360">
        <f t="shared" si="36"/>
        <v>39</v>
      </c>
    </row>
    <row r="505" spans="1:16" s="352" customFormat="1" ht="12.75" x14ac:dyDescent="0.2">
      <c r="A505" s="348">
        <f>IF(ADSI!$G$12="",ADSI!$H$16,ADSI!$H$12)</f>
        <v>6</v>
      </c>
      <c r="B505" s="348" t="str">
        <f ca="1">IF(ADSI!$G$12="",ADSI!$H$16,ADSI!$H$14)</f>
        <v/>
      </c>
      <c r="C505" s="395">
        <f t="shared" si="30"/>
        <v>629</v>
      </c>
      <c r="D505" s="348">
        <f>ADSI!$K$12</f>
        <v>2021</v>
      </c>
      <c r="E505" s="360">
        <f t="shared" si="31"/>
        <v>453</v>
      </c>
      <c r="F505" s="360">
        <f t="shared" ref="F505:H505" si="43">F12</f>
        <v>149</v>
      </c>
      <c r="G505" s="360">
        <f t="shared" si="43"/>
        <v>34</v>
      </c>
      <c r="H505" s="360">
        <f t="shared" si="43"/>
        <v>0</v>
      </c>
      <c r="I505" s="360">
        <f t="shared" ref="I505:K505" si="44">J12</f>
        <v>0</v>
      </c>
      <c r="J505" s="360">
        <f t="shared" si="44"/>
        <v>0</v>
      </c>
      <c r="K505" s="360">
        <f t="shared" si="44"/>
        <v>3</v>
      </c>
      <c r="L505" s="360">
        <f t="shared" ref="L505:N505" si="45">N12</f>
        <v>0</v>
      </c>
      <c r="M505" s="360">
        <f t="shared" si="45"/>
        <v>3</v>
      </c>
      <c r="N505" s="360">
        <f t="shared" si="45"/>
        <v>456</v>
      </c>
      <c r="O505" s="360">
        <f t="shared" si="35"/>
        <v>149</v>
      </c>
      <c r="P505" s="360">
        <f t="shared" si="36"/>
        <v>37</v>
      </c>
    </row>
    <row r="506" spans="1:16" s="352" customFormat="1" ht="12.75" x14ac:dyDescent="0.2">
      <c r="A506" s="348">
        <f>IF(ADSI!$G$12="",ADSI!$H$16,ADSI!$H$12)</f>
        <v>6</v>
      </c>
      <c r="B506" s="348" t="str">
        <f ca="1">IF(ADSI!$G$12="",ADSI!$H$16,ADSI!$H$14)</f>
        <v/>
      </c>
      <c r="C506" s="395">
        <f t="shared" si="30"/>
        <v>630</v>
      </c>
      <c r="D506" s="348">
        <f>ADSI!$K$12</f>
        <v>2021</v>
      </c>
      <c r="E506" s="360">
        <f t="shared" si="31"/>
        <v>463</v>
      </c>
      <c r="F506" s="360">
        <f t="shared" ref="F506:H506" si="46">F13</f>
        <v>165</v>
      </c>
      <c r="G506" s="360">
        <f t="shared" si="46"/>
        <v>35</v>
      </c>
      <c r="H506" s="360">
        <f t="shared" si="46"/>
        <v>0</v>
      </c>
      <c r="I506" s="360">
        <f t="shared" ref="I506:K506" si="47">J13</f>
        <v>0</v>
      </c>
      <c r="J506" s="360">
        <f t="shared" si="47"/>
        <v>0</v>
      </c>
      <c r="K506" s="360">
        <f t="shared" si="47"/>
        <v>4</v>
      </c>
      <c r="L506" s="360">
        <f t="shared" ref="L506:N506" si="48">N13</f>
        <v>0</v>
      </c>
      <c r="M506" s="360">
        <f t="shared" si="48"/>
        <v>4</v>
      </c>
      <c r="N506" s="360">
        <f t="shared" si="48"/>
        <v>467</v>
      </c>
      <c r="O506" s="360">
        <f t="shared" si="35"/>
        <v>165</v>
      </c>
      <c r="P506" s="360">
        <f t="shared" si="36"/>
        <v>39</v>
      </c>
    </row>
    <row r="507" spans="1:16" s="352" customFormat="1" ht="12.75" x14ac:dyDescent="0.2">
      <c r="A507" s="348">
        <f>IF(ADSI!$G$12="",ADSI!$H$16,ADSI!$H$12)</f>
        <v>6</v>
      </c>
      <c r="B507" s="348" t="str">
        <f ca="1">IF(ADSI!$G$12="",ADSI!$H$16,ADSI!$H$14)</f>
        <v/>
      </c>
      <c r="C507" s="395">
        <f t="shared" si="30"/>
        <v>631</v>
      </c>
      <c r="D507" s="348">
        <f>ADSI!$K$12</f>
        <v>2021</v>
      </c>
      <c r="E507" s="360">
        <f t="shared" si="31"/>
        <v>521</v>
      </c>
      <c r="F507" s="360">
        <f t="shared" ref="F507:H507" si="49">F14</f>
        <v>152</v>
      </c>
      <c r="G507" s="360">
        <f t="shared" si="49"/>
        <v>50</v>
      </c>
      <c r="H507" s="360">
        <f t="shared" si="49"/>
        <v>0</v>
      </c>
      <c r="I507" s="360">
        <f t="shared" ref="I507:K507" si="50">J14</f>
        <v>0</v>
      </c>
      <c r="J507" s="360">
        <f t="shared" si="50"/>
        <v>0</v>
      </c>
      <c r="K507" s="360">
        <f t="shared" si="50"/>
        <v>10</v>
      </c>
      <c r="L507" s="360">
        <f t="shared" ref="L507:N507" si="51">N14</f>
        <v>0</v>
      </c>
      <c r="M507" s="360">
        <f t="shared" si="51"/>
        <v>10</v>
      </c>
      <c r="N507" s="360">
        <f t="shared" si="51"/>
        <v>531</v>
      </c>
      <c r="O507" s="360">
        <f t="shared" si="35"/>
        <v>152</v>
      </c>
      <c r="P507" s="360">
        <f t="shared" si="36"/>
        <v>60</v>
      </c>
    </row>
    <row r="508" spans="1:16" s="352" customFormat="1" ht="12.75" x14ac:dyDescent="0.2">
      <c r="A508" s="348">
        <f>IF(ADSI!$G$12="",ADSI!$H$16,ADSI!$H$12)</f>
        <v>6</v>
      </c>
      <c r="B508" s="348" t="str">
        <f ca="1">IF(ADSI!$G$12="",ADSI!$H$16,ADSI!$H$14)</f>
        <v/>
      </c>
      <c r="C508" s="395">
        <f t="shared" si="30"/>
        <v>632</v>
      </c>
      <c r="D508" s="348">
        <f>ADSI!$K$12</f>
        <v>2021</v>
      </c>
      <c r="E508" s="360">
        <f t="shared" si="31"/>
        <v>347</v>
      </c>
      <c r="F508" s="360">
        <f t="shared" ref="F508:H508" si="52">F15</f>
        <v>99</v>
      </c>
      <c r="G508" s="360">
        <f t="shared" si="52"/>
        <v>30</v>
      </c>
      <c r="H508" s="360">
        <f t="shared" si="52"/>
        <v>0</v>
      </c>
      <c r="I508" s="360">
        <f t="shared" ref="I508:K508" si="53">J15</f>
        <v>0</v>
      </c>
      <c r="J508" s="360">
        <f t="shared" si="53"/>
        <v>0</v>
      </c>
      <c r="K508" s="360">
        <f t="shared" si="53"/>
        <v>9</v>
      </c>
      <c r="L508" s="360">
        <f t="shared" ref="L508:N508" si="54">N15</f>
        <v>0</v>
      </c>
      <c r="M508" s="360">
        <f t="shared" si="54"/>
        <v>9</v>
      </c>
      <c r="N508" s="360">
        <f t="shared" si="54"/>
        <v>356</v>
      </c>
      <c r="O508" s="360">
        <f t="shared" si="35"/>
        <v>99</v>
      </c>
      <c r="P508" s="360">
        <f t="shared" si="36"/>
        <v>39</v>
      </c>
    </row>
    <row r="509" spans="1:16" s="352" customFormat="1" ht="12.75" x14ac:dyDescent="0.2">
      <c r="A509" s="348">
        <f>IF(ADSI!$G$12="",ADSI!$H$16,ADSI!$H$12)</f>
        <v>6</v>
      </c>
      <c r="B509" s="348" t="str">
        <f ca="1">IF(ADSI!$G$12="",ADSI!$H$16,ADSI!$H$14)</f>
        <v/>
      </c>
      <c r="C509" s="395">
        <f t="shared" si="30"/>
        <v>633</v>
      </c>
      <c r="D509" s="348">
        <f>ADSI!$K$12</f>
        <v>2021</v>
      </c>
      <c r="E509" s="360">
        <f t="shared" si="31"/>
        <v>2850</v>
      </c>
      <c r="F509" s="360">
        <f t="shared" ref="F509:H509" si="55">F16</f>
        <v>856</v>
      </c>
      <c r="G509" s="360">
        <f t="shared" si="55"/>
        <v>226</v>
      </c>
      <c r="H509" s="360">
        <f t="shared" si="55"/>
        <v>0</v>
      </c>
      <c r="I509" s="360">
        <f t="shared" ref="I509:K509" si="56">J16</f>
        <v>0</v>
      </c>
      <c r="J509" s="360">
        <f t="shared" si="56"/>
        <v>0</v>
      </c>
      <c r="K509" s="360">
        <f t="shared" si="56"/>
        <v>49</v>
      </c>
      <c r="L509" s="360">
        <f t="shared" ref="L509:N509" si="57">N16</f>
        <v>0</v>
      </c>
      <c r="M509" s="360">
        <f t="shared" si="57"/>
        <v>49</v>
      </c>
      <c r="N509" s="360">
        <f t="shared" si="57"/>
        <v>2899</v>
      </c>
      <c r="O509" s="360">
        <f t="shared" si="35"/>
        <v>856</v>
      </c>
      <c r="P509" s="360">
        <f t="shared" si="36"/>
        <v>275</v>
      </c>
    </row>
    <row r="510" spans="1:16" s="352" customFormat="1" ht="12.75" x14ac:dyDescent="0.2">
      <c r="C510" s="353"/>
    </row>
    <row r="511" spans="1:16" s="352" customFormat="1" ht="12.75" x14ac:dyDescent="0.2">
      <c r="C511" s="353"/>
    </row>
    <row r="512" spans="1:16" s="352" customFormat="1" ht="12.75" x14ac:dyDescent="0.2"/>
    <row r="513" s="352" customFormat="1" ht="12.75" x14ac:dyDescent="0.2"/>
    <row r="514" s="352" customFormat="1" ht="12.75" x14ac:dyDescent="0.2"/>
    <row r="515" s="352" customFormat="1" ht="12.75" x14ac:dyDescent="0.2"/>
    <row r="516" s="352" customFormat="1" ht="12.75" x14ac:dyDescent="0.2"/>
  </sheetData>
  <sheetProtection password="C614" sheet="1" objects="1" scenarios="1" selectLockedCells="1"/>
  <mergeCells count="20">
    <mergeCell ref="A18:C18"/>
    <mergeCell ref="P5:R5"/>
    <mergeCell ref="B5:B6"/>
    <mergeCell ref="C5:C6"/>
    <mergeCell ref="D5:G5"/>
    <mergeCell ref="H5:K5"/>
    <mergeCell ref="L5:O5"/>
    <mergeCell ref="A17:C17"/>
    <mergeCell ref="A5:A6"/>
    <mergeCell ref="BO204:BQ204"/>
    <mergeCell ref="BA216:BB216"/>
    <mergeCell ref="BA217:BB217"/>
    <mergeCell ref="BA204:BA205"/>
    <mergeCell ref="BB204:BB205"/>
    <mergeCell ref="BC204:BF204"/>
    <mergeCell ref="BG204:BJ204"/>
    <mergeCell ref="BK204:BN204"/>
    <mergeCell ref="BD205:BD206"/>
    <mergeCell ref="BH205:BH206"/>
    <mergeCell ref="BL205:BL206"/>
  </mergeCells>
  <conditionalFormatting sqref="D18 F18:H18 J18:L18 N18:R18">
    <cfRule type="cellIs" dxfId="89" priority="4" operator="equal">
      <formula>FALSE</formula>
    </cfRule>
  </conditionalFormatting>
  <conditionalFormatting sqref="E8:E16">
    <cfRule type="cellIs" dxfId="88" priority="3" operator="equal">
      <formula>FALSE</formula>
    </cfRule>
  </conditionalFormatting>
  <conditionalFormatting sqref="I8:I16">
    <cfRule type="cellIs" dxfId="87" priority="2" operator="equal">
      <formula>FALSE</formula>
    </cfRule>
  </conditionalFormatting>
  <conditionalFormatting sqref="M8:M16">
    <cfRule type="cellIs" dxfId="86" priority="1" operator="equal">
      <formula>FALSE</formula>
    </cfRule>
  </conditionalFormatting>
  <dataValidations count="1">
    <dataValidation type="whole" allowBlank="1" showInputMessage="1" showErrorMessage="1" sqref="D8:D15 F8:H15 J8:L15 N8:O15">
      <formula1>0</formula1>
      <formula2>999999999</formula2>
    </dataValidation>
  </dataValidations>
  <pageMargins left="0.78740157480314965" right="0.39370078740157483" top="0.78740157480314965" bottom="0.74803149606299213" header="0.31496062992125984" footer="0.19685039370078741"/>
  <pageSetup paperSize="5" orientation="landscape" r:id="rId1"/>
  <headerFooter>
    <oddFooter>&amp;L&amp;9ADSI - &amp;A&amp;C&amp;9&amp;D &amp;T&amp;R&amp;9Page &amp;P of &amp;N</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N516"/>
  <sheetViews>
    <sheetView showGridLines="0" workbookViewId="0">
      <pane xSplit="3" ySplit="8" topLeftCell="D9" activePane="bottomRight" state="frozen"/>
      <selection activeCell="D9" sqref="D9"/>
      <selection pane="topRight" activeCell="D9" sqref="D9"/>
      <selection pane="bottomLeft" activeCell="D9" sqref="D9"/>
      <selection pane="bottomRight" activeCell="D9" sqref="D9"/>
    </sheetView>
  </sheetViews>
  <sheetFormatPr defaultRowHeight="15" x14ac:dyDescent="0.25"/>
  <cols>
    <col min="1" max="1" width="6" style="59" customWidth="1"/>
    <col min="2" max="2" width="6.85546875" style="59" customWidth="1"/>
    <col min="3" max="3" width="45.28515625" style="59" customWidth="1"/>
    <col min="4" max="7" width="12.7109375" style="59" customWidth="1"/>
    <col min="8" max="8" width="11.7109375" style="59" customWidth="1"/>
    <col min="9" max="11" width="12.7109375" style="59" customWidth="1"/>
    <col min="12" max="12" width="11.7109375" style="59" customWidth="1"/>
    <col min="13" max="13" width="12.7109375" style="59" customWidth="1"/>
    <col min="14" max="14" width="8.7109375" style="59" customWidth="1"/>
    <col min="15" max="52" width="9.140625" style="59"/>
    <col min="53" max="53" width="5.42578125" style="59" customWidth="1"/>
    <col min="54" max="54" width="45.140625" style="59" customWidth="1"/>
    <col min="55" max="58" width="9.140625" style="59"/>
    <col min="59" max="59" width="9.42578125" style="59" customWidth="1"/>
    <col min="60" max="60" width="8.85546875" style="59" bestFit="1" customWidth="1"/>
    <col min="61" max="16384" width="9.140625" style="59"/>
  </cols>
  <sheetData>
    <row r="1" spans="1:14" ht="15.75" x14ac:dyDescent="0.25">
      <c r="A1" s="285" t="str">
        <f>ADSI!$B$1</f>
        <v>Goa, , ADSI-2021</v>
      </c>
    </row>
    <row r="2" spans="1:14" ht="15.75" x14ac:dyDescent="0.25">
      <c r="A2" s="286" t="s">
        <v>657</v>
      </c>
      <c r="C2" s="287">
        <f>COUNTIF(D16:M16,FALSE)+COUNTIF(D24:M24,FALSE)+COUNTIF(D26:M26,FALSE)+COUNTIF(E9:E14,FALSE)+COUNTIF(E18:E23,FALSE)</f>
        <v>0</v>
      </c>
      <c r="E2" s="465" t="s">
        <v>1570</v>
      </c>
      <c r="F2" s="464">
        <f>COUNTIF(D27:M30,"ABVAR")</f>
        <v>4</v>
      </c>
    </row>
    <row r="3" spans="1:14" s="6" customFormat="1" ht="15.75" x14ac:dyDescent="0.25">
      <c r="A3" s="289" t="s">
        <v>103</v>
      </c>
      <c r="C3" s="57"/>
      <c r="D3" s="57"/>
      <c r="E3" s="71"/>
      <c r="F3" s="57"/>
      <c r="G3" s="57"/>
      <c r="H3" s="57"/>
      <c r="I3" s="57"/>
      <c r="J3" s="57"/>
      <c r="K3" s="57"/>
      <c r="L3" s="35"/>
    </row>
    <row r="4" spans="1:14" s="6" customFormat="1" ht="15.75" x14ac:dyDescent="0.25">
      <c r="A4" s="289" t="s">
        <v>260</v>
      </c>
      <c r="C4" s="57"/>
      <c r="D4" s="57"/>
      <c r="E4" s="71"/>
      <c r="F4" s="57"/>
      <c r="G4" s="57"/>
      <c r="H4" s="57"/>
      <c r="I4" s="57"/>
      <c r="J4" s="57"/>
      <c r="K4" s="57"/>
    </row>
    <row r="5" spans="1:14" ht="20.100000000000001" customHeight="1" x14ac:dyDescent="0.25">
      <c r="A5" s="636" t="s">
        <v>249</v>
      </c>
      <c r="B5" s="636" t="s">
        <v>0</v>
      </c>
      <c r="C5" s="696" t="s">
        <v>71</v>
      </c>
      <c r="D5" s="636" t="s">
        <v>35</v>
      </c>
      <c r="E5" s="695" t="s">
        <v>589</v>
      </c>
      <c r="F5" s="638" t="s">
        <v>36</v>
      </c>
      <c r="G5" s="639"/>
      <c r="H5" s="639"/>
      <c r="I5" s="640"/>
      <c r="J5" s="641" t="s">
        <v>37</v>
      </c>
      <c r="K5" s="642"/>
      <c r="L5" s="642"/>
      <c r="M5" s="643"/>
    </row>
    <row r="6" spans="1:14" ht="46.5" customHeight="1" x14ac:dyDescent="0.25">
      <c r="A6" s="637"/>
      <c r="B6" s="637"/>
      <c r="C6" s="697"/>
      <c r="D6" s="637"/>
      <c r="E6" s="695"/>
      <c r="F6" s="217" t="s">
        <v>38</v>
      </c>
      <c r="G6" s="217" t="s">
        <v>39</v>
      </c>
      <c r="H6" s="217" t="s">
        <v>240</v>
      </c>
      <c r="I6" s="217" t="s">
        <v>234</v>
      </c>
      <c r="J6" s="55" t="s">
        <v>200</v>
      </c>
      <c r="K6" s="55" t="s">
        <v>201</v>
      </c>
      <c r="L6" s="55" t="s">
        <v>240</v>
      </c>
      <c r="M6" s="55" t="s">
        <v>235</v>
      </c>
    </row>
    <row r="7" spans="1:14" ht="20.100000000000001" customHeight="1" x14ac:dyDescent="0.25">
      <c r="A7" s="9"/>
      <c r="B7" s="9" t="s">
        <v>181</v>
      </c>
      <c r="C7" s="218" t="s">
        <v>182</v>
      </c>
      <c r="D7" s="8" t="s">
        <v>183</v>
      </c>
      <c r="E7" s="320"/>
      <c r="F7" s="218" t="s">
        <v>184</v>
      </c>
      <c r="G7" s="218" t="s">
        <v>185</v>
      </c>
      <c r="H7" s="218" t="s">
        <v>186</v>
      </c>
      <c r="I7" s="219" t="s">
        <v>187</v>
      </c>
      <c r="J7" s="8" t="s">
        <v>188</v>
      </c>
      <c r="K7" s="8" t="s">
        <v>189</v>
      </c>
      <c r="L7" s="8" t="s">
        <v>190</v>
      </c>
      <c r="M7" s="8" t="s">
        <v>191</v>
      </c>
    </row>
    <row r="8" spans="1:14" ht="19.5" customHeight="1" x14ac:dyDescent="0.25">
      <c r="A8" s="716" t="s">
        <v>175</v>
      </c>
      <c r="B8" s="717"/>
      <c r="C8" s="717"/>
      <c r="D8" s="717"/>
      <c r="E8" s="717"/>
      <c r="F8" s="717"/>
      <c r="G8" s="717"/>
      <c r="H8" s="717"/>
      <c r="I8" s="717"/>
      <c r="J8" s="717"/>
      <c r="K8" s="717"/>
      <c r="L8" s="717"/>
      <c r="M8" s="718"/>
    </row>
    <row r="9" spans="1:14" ht="19.5" customHeight="1" x14ac:dyDescent="0.25">
      <c r="A9" s="56">
        <v>650</v>
      </c>
      <c r="B9" s="118">
        <v>1</v>
      </c>
      <c r="C9" s="524" t="s">
        <v>1530</v>
      </c>
      <c r="D9" s="245">
        <v>0</v>
      </c>
      <c r="E9" s="322" t="str">
        <f>IF(AND(OR(I9&gt;0,M9&gt;0),D9=0),FALSE,"")</f>
        <v/>
      </c>
      <c r="F9" s="235">
        <v>0</v>
      </c>
      <c r="G9" s="235">
        <v>0</v>
      </c>
      <c r="H9" s="235">
        <v>0</v>
      </c>
      <c r="I9" s="453">
        <f>SUM(F9:H9)</f>
        <v>0</v>
      </c>
      <c r="J9" s="235">
        <v>0</v>
      </c>
      <c r="K9" s="235">
        <v>0</v>
      </c>
      <c r="L9" s="235">
        <v>0</v>
      </c>
      <c r="M9" s="453">
        <f>SUM(J9:L9)</f>
        <v>0</v>
      </c>
      <c r="N9" s="340"/>
    </row>
    <row r="10" spans="1:14" ht="20.100000000000001" customHeight="1" x14ac:dyDescent="0.25">
      <c r="A10" s="56">
        <v>651</v>
      </c>
      <c r="B10" s="118">
        <v>2</v>
      </c>
      <c r="C10" s="524" t="s">
        <v>1531</v>
      </c>
      <c r="D10" s="245">
        <v>0</v>
      </c>
      <c r="E10" s="322" t="str">
        <f t="shared" ref="E10:E14" si="0">IF(AND(OR(I10&gt;0,M10&gt;0),D10=0),FALSE,"")</f>
        <v/>
      </c>
      <c r="F10" s="235">
        <v>0</v>
      </c>
      <c r="G10" s="235">
        <v>0</v>
      </c>
      <c r="H10" s="235">
        <v>0</v>
      </c>
      <c r="I10" s="453">
        <f t="shared" ref="I10:I14" si="1">SUM(F10:H10)</f>
        <v>0</v>
      </c>
      <c r="J10" s="235">
        <v>0</v>
      </c>
      <c r="K10" s="235">
        <v>0</v>
      </c>
      <c r="L10" s="235">
        <v>0</v>
      </c>
      <c r="M10" s="453">
        <f t="shared" ref="M10:M14" si="2">SUM(J10:L10)</f>
        <v>0</v>
      </c>
      <c r="N10" s="340"/>
    </row>
    <row r="11" spans="1:14" ht="20.100000000000001" customHeight="1" x14ac:dyDescent="0.25">
      <c r="A11" s="118">
        <v>652</v>
      </c>
      <c r="B11" s="118">
        <v>3</v>
      </c>
      <c r="C11" s="524" t="s">
        <v>261</v>
      </c>
      <c r="D11" s="245">
        <v>49</v>
      </c>
      <c r="E11" s="322" t="str">
        <f t="shared" si="0"/>
        <v/>
      </c>
      <c r="F11" s="235">
        <v>0</v>
      </c>
      <c r="G11" s="235">
        <v>0</v>
      </c>
      <c r="H11" s="235">
        <v>0</v>
      </c>
      <c r="I11" s="453">
        <f t="shared" si="1"/>
        <v>0</v>
      </c>
      <c r="J11" s="235">
        <v>45</v>
      </c>
      <c r="K11" s="235">
        <v>4</v>
      </c>
      <c r="L11" s="235">
        <v>0</v>
      </c>
      <c r="M11" s="453">
        <f t="shared" si="2"/>
        <v>49</v>
      </c>
      <c r="N11" s="340"/>
    </row>
    <row r="12" spans="1:14" ht="20.100000000000001" customHeight="1" x14ac:dyDescent="0.25">
      <c r="A12" s="118">
        <v>653</v>
      </c>
      <c r="B12" s="118">
        <v>4</v>
      </c>
      <c r="C12" s="12" t="s">
        <v>1532</v>
      </c>
      <c r="D12" s="245">
        <v>0</v>
      </c>
      <c r="E12" s="322" t="str">
        <f t="shared" si="0"/>
        <v/>
      </c>
      <c r="F12" s="235">
        <v>0</v>
      </c>
      <c r="G12" s="235">
        <v>0</v>
      </c>
      <c r="H12" s="235">
        <v>0</v>
      </c>
      <c r="I12" s="453">
        <f t="shared" si="1"/>
        <v>0</v>
      </c>
      <c r="J12" s="235">
        <v>0</v>
      </c>
      <c r="K12" s="235">
        <v>0</v>
      </c>
      <c r="L12" s="235">
        <v>0</v>
      </c>
      <c r="M12" s="453">
        <f t="shared" si="2"/>
        <v>0</v>
      </c>
      <c r="N12" s="340"/>
    </row>
    <row r="13" spans="1:14" ht="20.100000000000001" customHeight="1" x14ac:dyDescent="0.25">
      <c r="A13" s="118">
        <v>654</v>
      </c>
      <c r="B13" s="118">
        <v>5</v>
      </c>
      <c r="C13" s="12" t="s">
        <v>1581</v>
      </c>
      <c r="D13" s="245">
        <v>0</v>
      </c>
      <c r="E13" s="322" t="str">
        <f t="shared" si="0"/>
        <v/>
      </c>
      <c r="F13" s="235">
        <v>0</v>
      </c>
      <c r="G13" s="235">
        <v>0</v>
      </c>
      <c r="H13" s="235">
        <v>0</v>
      </c>
      <c r="I13" s="453">
        <f t="shared" si="1"/>
        <v>0</v>
      </c>
      <c r="J13" s="235">
        <v>0</v>
      </c>
      <c r="K13" s="235">
        <v>0</v>
      </c>
      <c r="L13" s="235">
        <v>0</v>
      </c>
      <c r="M13" s="453">
        <f t="shared" si="2"/>
        <v>0</v>
      </c>
      <c r="N13" s="340"/>
    </row>
    <row r="14" spans="1:14" ht="20.100000000000001" customHeight="1" x14ac:dyDescent="0.25">
      <c r="A14" s="118">
        <v>665</v>
      </c>
      <c r="B14" s="266">
        <v>6</v>
      </c>
      <c r="C14" s="440" t="s">
        <v>578</v>
      </c>
      <c r="D14" s="447">
        <f>SUM(D9:D13)</f>
        <v>49</v>
      </c>
      <c r="E14" s="452" t="str">
        <f t="shared" si="0"/>
        <v/>
      </c>
      <c r="F14" s="447">
        <f t="shared" ref="F14:H14" si="3">SUM(F9:F13)</f>
        <v>0</v>
      </c>
      <c r="G14" s="447">
        <f t="shared" si="3"/>
        <v>0</v>
      </c>
      <c r="H14" s="447">
        <f t="shared" si="3"/>
        <v>0</v>
      </c>
      <c r="I14" s="447">
        <f t="shared" si="1"/>
        <v>0</v>
      </c>
      <c r="J14" s="447">
        <f t="shared" ref="J14" si="4">SUM(J9:J13)</f>
        <v>45</v>
      </c>
      <c r="K14" s="447">
        <f t="shared" ref="K14:L14" si="5">SUM(K9:K13)</f>
        <v>4</v>
      </c>
      <c r="L14" s="447">
        <f t="shared" si="5"/>
        <v>0</v>
      </c>
      <c r="M14" s="447">
        <f t="shared" si="2"/>
        <v>49</v>
      </c>
      <c r="N14" s="340"/>
    </row>
    <row r="15" spans="1:14" ht="32.1" customHeight="1" x14ac:dyDescent="0.25">
      <c r="A15" s="625" t="s">
        <v>1499</v>
      </c>
      <c r="B15" s="625"/>
      <c r="C15" s="626"/>
      <c r="D15" s="392">
        <f>'P-II'!D47</f>
        <v>49</v>
      </c>
      <c r="E15" s="392"/>
      <c r="F15" s="392">
        <f>'P-II'!F47</f>
        <v>0</v>
      </c>
      <c r="G15" s="392">
        <f>'P-II'!G47</f>
        <v>0</v>
      </c>
      <c r="H15" s="392">
        <f>'P-II'!H47</f>
        <v>0</v>
      </c>
      <c r="I15" s="392">
        <f>'P-II'!I47</f>
        <v>0</v>
      </c>
      <c r="J15" s="392">
        <f>'P-II'!J47</f>
        <v>45</v>
      </c>
      <c r="K15" s="392">
        <f>'P-II'!K47</f>
        <v>4</v>
      </c>
      <c r="L15" s="392">
        <f>'P-II'!L47</f>
        <v>0</v>
      </c>
      <c r="M15" s="392">
        <f>'P-II'!M47</f>
        <v>49</v>
      </c>
    </row>
    <row r="16" spans="1:14" ht="32.1" customHeight="1" x14ac:dyDescent="0.25">
      <c r="A16" s="627" t="s">
        <v>1500</v>
      </c>
      <c r="B16" s="627"/>
      <c r="C16" s="628"/>
      <c r="D16" s="399" t="str">
        <f>IF(D14='P-II'!D47,"",FALSE)</f>
        <v/>
      </c>
      <c r="E16" s="399"/>
      <c r="F16" s="399" t="str">
        <f>IF(F14='P-II'!F47,"",FALSE)</f>
        <v/>
      </c>
      <c r="G16" s="399" t="str">
        <f>IF(G14='P-II'!G47,"",FALSE)</f>
        <v/>
      </c>
      <c r="H16" s="399" t="str">
        <f>IF(H14='P-II'!H47,"",FALSE)</f>
        <v/>
      </c>
      <c r="I16" s="399" t="str">
        <f>IF(I14='P-II'!I47,"",FALSE)</f>
        <v/>
      </c>
      <c r="J16" s="399" t="str">
        <f>IF(J14='P-II'!J47,"",FALSE)</f>
        <v/>
      </c>
      <c r="K16" s="399" t="str">
        <f>IF(K14='P-II'!K47,"",FALSE)</f>
        <v/>
      </c>
      <c r="L16" s="399" t="str">
        <f>IF(L14='P-II'!L47,"",FALSE)</f>
        <v/>
      </c>
      <c r="M16" s="399" t="str">
        <f>IF(M14='P-II'!M47,"",FALSE)</f>
        <v/>
      </c>
    </row>
    <row r="17" spans="1:14" ht="20.100000000000001" customHeight="1" x14ac:dyDescent="0.25">
      <c r="A17" s="717" t="s">
        <v>176</v>
      </c>
      <c r="B17" s="717"/>
      <c r="C17" s="717"/>
      <c r="D17" s="717"/>
      <c r="E17" s="717"/>
      <c r="F17" s="717"/>
      <c r="G17" s="717"/>
      <c r="H17" s="717"/>
      <c r="I17" s="717"/>
      <c r="J17" s="717"/>
      <c r="K17" s="717"/>
      <c r="L17" s="717"/>
      <c r="M17" s="718"/>
    </row>
    <row r="18" spans="1:14" ht="20.100000000000001" customHeight="1" x14ac:dyDescent="0.25">
      <c r="A18" s="56">
        <v>675</v>
      </c>
      <c r="B18" s="118">
        <v>7</v>
      </c>
      <c r="C18" s="12" t="s">
        <v>262</v>
      </c>
      <c r="D18" s="245">
        <v>0</v>
      </c>
      <c r="E18" s="322" t="str">
        <f>IF(AND(OR(I18&gt;0,M18&gt;0),D18=0),FALSE,"")</f>
        <v/>
      </c>
      <c r="F18" s="235">
        <v>0</v>
      </c>
      <c r="G18" s="235">
        <v>0</v>
      </c>
      <c r="H18" s="235">
        <v>0</v>
      </c>
      <c r="I18" s="453">
        <f>SUM(F18:H18)</f>
        <v>0</v>
      </c>
      <c r="J18" s="235">
        <v>0</v>
      </c>
      <c r="K18" s="235">
        <v>0</v>
      </c>
      <c r="L18" s="235">
        <v>0</v>
      </c>
      <c r="M18" s="453">
        <f>SUM(J18:L18)</f>
        <v>0</v>
      </c>
      <c r="N18" s="340"/>
    </row>
    <row r="19" spans="1:14" ht="20.100000000000001" customHeight="1" x14ac:dyDescent="0.25">
      <c r="A19" s="56">
        <v>676</v>
      </c>
      <c r="B19" s="118">
        <v>8</v>
      </c>
      <c r="C19" s="12" t="s">
        <v>72</v>
      </c>
      <c r="D19" s="245">
        <v>0</v>
      </c>
      <c r="E19" s="322" t="str">
        <f t="shared" ref="E19:E23" si="6">IF(AND(OR(I19&gt;0,M19&gt;0),D19=0),FALSE,"")</f>
        <v/>
      </c>
      <c r="F19" s="235">
        <v>0</v>
      </c>
      <c r="G19" s="235">
        <v>0</v>
      </c>
      <c r="H19" s="235">
        <v>0</v>
      </c>
      <c r="I19" s="453">
        <f t="shared" ref="I19:I21" si="7">SUM(F19:H19)</f>
        <v>0</v>
      </c>
      <c r="J19" s="235">
        <v>0</v>
      </c>
      <c r="K19" s="235">
        <v>0</v>
      </c>
      <c r="L19" s="235">
        <v>0</v>
      </c>
      <c r="M19" s="453">
        <f t="shared" ref="M19:M21" si="8">SUM(J19:L19)</f>
        <v>0</v>
      </c>
      <c r="N19" s="340"/>
    </row>
    <row r="20" spans="1:14" ht="20.100000000000001" customHeight="1" x14ac:dyDescent="0.25">
      <c r="A20" s="118">
        <v>677</v>
      </c>
      <c r="B20" s="118">
        <v>9</v>
      </c>
      <c r="C20" s="12" t="s">
        <v>177</v>
      </c>
      <c r="D20" s="245">
        <v>0</v>
      </c>
      <c r="E20" s="322" t="str">
        <f t="shared" si="6"/>
        <v/>
      </c>
      <c r="F20" s="235">
        <v>0</v>
      </c>
      <c r="G20" s="235">
        <v>0</v>
      </c>
      <c r="H20" s="235">
        <v>0</v>
      </c>
      <c r="I20" s="453">
        <f t="shared" si="7"/>
        <v>0</v>
      </c>
      <c r="J20" s="235">
        <v>0</v>
      </c>
      <c r="K20" s="235">
        <v>0</v>
      </c>
      <c r="L20" s="235">
        <v>0</v>
      </c>
      <c r="M20" s="453">
        <f t="shared" si="8"/>
        <v>0</v>
      </c>
      <c r="N20" s="340"/>
    </row>
    <row r="21" spans="1:14" ht="30" x14ac:dyDescent="0.25">
      <c r="A21" s="118">
        <v>678</v>
      </c>
      <c r="B21" s="118">
        <v>10</v>
      </c>
      <c r="C21" s="12" t="s">
        <v>446</v>
      </c>
      <c r="D21" s="245">
        <v>1</v>
      </c>
      <c r="E21" s="322" t="str">
        <f t="shared" si="6"/>
        <v/>
      </c>
      <c r="F21" s="235">
        <v>0</v>
      </c>
      <c r="G21" s="235">
        <v>0</v>
      </c>
      <c r="H21" s="235">
        <v>0</v>
      </c>
      <c r="I21" s="453">
        <f t="shared" si="7"/>
        <v>0</v>
      </c>
      <c r="J21" s="235">
        <v>0</v>
      </c>
      <c r="K21" s="235">
        <v>1</v>
      </c>
      <c r="L21" s="235">
        <v>0</v>
      </c>
      <c r="M21" s="453">
        <f t="shared" si="8"/>
        <v>1</v>
      </c>
      <c r="N21" s="340"/>
    </row>
    <row r="22" spans="1:14" ht="20.100000000000001" customHeight="1" x14ac:dyDescent="0.25">
      <c r="A22" s="118">
        <v>679</v>
      </c>
      <c r="B22" s="118">
        <v>11</v>
      </c>
      <c r="C22" s="12" t="s">
        <v>48</v>
      </c>
      <c r="D22" s="245">
        <v>48</v>
      </c>
      <c r="E22" s="322" t="str">
        <f t="shared" si="6"/>
        <v/>
      </c>
      <c r="F22" s="235">
        <v>0</v>
      </c>
      <c r="G22" s="235">
        <v>0</v>
      </c>
      <c r="H22" s="235">
        <v>0</v>
      </c>
      <c r="I22" s="453">
        <f>SUM(F22:H22)</f>
        <v>0</v>
      </c>
      <c r="J22" s="235">
        <v>45</v>
      </c>
      <c r="K22" s="235">
        <v>3</v>
      </c>
      <c r="L22" s="235">
        <v>0</v>
      </c>
      <c r="M22" s="453">
        <f>SUM(J22:L22)</f>
        <v>48</v>
      </c>
      <c r="N22" s="340"/>
    </row>
    <row r="23" spans="1:14" ht="20.100000000000001" customHeight="1" x14ac:dyDescent="0.25">
      <c r="A23" s="118">
        <v>690</v>
      </c>
      <c r="B23" s="266">
        <v>12</v>
      </c>
      <c r="C23" s="440" t="s">
        <v>579</v>
      </c>
      <c r="D23" s="447">
        <f>SUM(D18:D22)</f>
        <v>49</v>
      </c>
      <c r="E23" s="452" t="str">
        <f t="shared" si="6"/>
        <v/>
      </c>
      <c r="F23" s="447">
        <f t="shared" ref="F23:M23" si="9">SUM(F18:F22)</f>
        <v>0</v>
      </c>
      <c r="G23" s="447">
        <f t="shared" si="9"/>
        <v>0</v>
      </c>
      <c r="H23" s="447">
        <f t="shared" si="9"/>
        <v>0</v>
      </c>
      <c r="I23" s="447">
        <f t="shared" si="9"/>
        <v>0</v>
      </c>
      <c r="J23" s="447">
        <f t="shared" si="9"/>
        <v>45</v>
      </c>
      <c r="K23" s="447">
        <f t="shared" si="9"/>
        <v>4</v>
      </c>
      <c r="L23" s="447">
        <f t="shared" si="9"/>
        <v>0</v>
      </c>
      <c r="M23" s="447">
        <f t="shared" si="9"/>
        <v>49</v>
      </c>
      <c r="N23" s="340"/>
    </row>
    <row r="24" spans="1:14" ht="32.1" customHeight="1" x14ac:dyDescent="0.25">
      <c r="A24" s="719" t="s">
        <v>659</v>
      </c>
      <c r="B24" s="719"/>
      <c r="C24" s="720"/>
      <c r="D24" s="401" t="str">
        <f>IF(D23=D14,"",FALSE)</f>
        <v/>
      </c>
      <c r="E24" s="401"/>
      <c r="F24" s="401" t="str">
        <f t="shared" ref="F24:M24" si="10">IF(F23=F14,"",FALSE)</f>
        <v/>
      </c>
      <c r="G24" s="401" t="str">
        <f t="shared" si="10"/>
        <v/>
      </c>
      <c r="H24" s="401" t="str">
        <f t="shared" si="10"/>
        <v/>
      </c>
      <c r="I24" s="401" t="str">
        <f t="shared" si="10"/>
        <v/>
      </c>
      <c r="J24" s="401" t="str">
        <f t="shared" si="10"/>
        <v/>
      </c>
      <c r="K24" s="401" t="str">
        <f t="shared" si="10"/>
        <v/>
      </c>
      <c r="L24" s="401" t="str">
        <f t="shared" si="10"/>
        <v/>
      </c>
      <c r="M24" s="401" t="str">
        <f t="shared" si="10"/>
        <v/>
      </c>
    </row>
    <row r="25" spans="1:14" ht="32.1" customHeight="1" x14ac:dyDescent="0.25">
      <c r="A25" s="625" t="s">
        <v>1499</v>
      </c>
      <c r="B25" s="625"/>
      <c r="C25" s="626"/>
      <c r="D25" s="392">
        <f>'P-II'!D47</f>
        <v>49</v>
      </c>
      <c r="E25" s="392"/>
      <c r="F25" s="392">
        <f>'P-II'!F47</f>
        <v>0</v>
      </c>
      <c r="G25" s="392">
        <f>'P-II'!G47</f>
        <v>0</v>
      </c>
      <c r="H25" s="392">
        <f>'P-II'!H47</f>
        <v>0</v>
      </c>
      <c r="I25" s="392">
        <f>'P-II'!I47</f>
        <v>0</v>
      </c>
      <c r="J25" s="392">
        <f>'P-II'!J47</f>
        <v>45</v>
      </c>
      <c r="K25" s="392">
        <f>'P-II'!K47</f>
        <v>4</v>
      </c>
      <c r="L25" s="392">
        <f>'P-II'!L47</f>
        <v>0</v>
      </c>
      <c r="M25" s="392">
        <f>'P-II'!M47</f>
        <v>49</v>
      </c>
    </row>
    <row r="26" spans="1:14" ht="32.1" customHeight="1" x14ac:dyDescent="0.25">
      <c r="A26" s="627" t="s">
        <v>1501</v>
      </c>
      <c r="B26" s="627"/>
      <c r="C26" s="628"/>
      <c r="D26" s="399" t="str">
        <f>IF(D23='P-II'!D47,"",FALSE)</f>
        <v/>
      </c>
      <c r="E26" s="399"/>
      <c r="F26" s="399" t="str">
        <f>IF(F23='P-II'!F47,"",FALSE)</f>
        <v/>
      </c>
      <c r="G26" s="399" t="str">
        <f>IF(G23='P-II'!G47,"",FALSE)</f>
        <v/>
      </c>
      <c r="H26" s="399" t="str">
        <f>IF(H23='P-II'!H47,"",FALSE)</f>
        <v/>
      </c>
      <c r="I26" s="399" t="str">
        <f>IF(I23='P-II'!I47,"",FALSE)</f>
        <v/>
      </c>
      <c r="J26" s="399" t="str">
        <f>IF(J23='P-II'!J47,"",FALSE)</f>
        <v/>
      </c>
      <c r="K26" s="399" t="str">
        <f>IF(K23='P-II'!K47,"",FALSE)</f>
        <v/>
      </c>
      <c r="L26" s="399" t="str">
        <f>IF(L23='P-II'!L47,"",FALSE)</f>
        <v/>
      </c>
      <c r="M26" s="399" t="str">
        <f>IF(M23='P-II'!M47,"",FALSE)</f>
        <v/>
      </c>
    </row>
    <row r="27" spans="1:14" ht="32.1" customHeight="1" x14ac:dyDescent="0.25">
      <c r="A27" s="699" t="s">
        <v>1651</v>
      </c>
      <c r="B27" s="700"/>
      <c r="C27" s="701"/>
      <c r="D27" s="463" t="str">
        <f>IF(D9&gt;0,IF((M9&gt;D9),"","ABVAR"),"")</f>
        <v/>
      </c>
      <c r="E27" s="463"/>
      <c r="F27" s="463"/>
      <c r="G27" s="463"/>
      <c r="H27" s="463"/>
      <c r="I27" s="463" t="str">
        <f>IF(I9&gt;0,IF((I9&gt;D9),"","ABVAR"),"")</f>
        <v/>
      </c>
      <c r="J27" s="463"/>
      <c r="K27" s="463"/>
      <c r="L27" s="463"/>
      <c r="M27" s="463" t="str">
        <f>IF(M9&gt;0,IF((M9&gt;D9),"","ABVAR"),"")</f>
        <v/>
      </c>
    </row>
    <row r="28" spans="1:14" ht="32.1" customHeight="1" x14ac:dyDescent="0.25">
      <c r="A28" s="699" t="s">
        <v>1652</v>
      </c>
      <c r="B28" s="700"/>
      <c r="C28" s="701"/>
      <c r="D28" s="463" t="str">
        <f>IF(D10&gt;0,IF((M10&gt;D10),"","ABVAR"),"")</f>
        <v/>
      </c>
      <c r="E28" s="463"/>
      <c r="F28" s="463"/>
      <c r="G28" s="463"/>
      <c r="H28" s="463"/>
      <c r="I28" s="463" t="str">
        <f>IF(I10&gt;0,IF((I10&gt;D10),"","ABVAR"),"")</f>
        <v/>
      </c>
      <c r="J28" s="463"/>
      <c r="K28" s="463"/>
      <c r="L28" s="463"/>
      <c r="M28" s="463" t="str">
        <f>IF(M10&gt;0,IF((M10&gt;D10),"","ABVAR"),"")</f>
        <v/>
      </c>
    </row>
    <row r="29" spans="1:14" ht="24.95" customHeight="1" x14ac:dyDescent="0.25">
      <c r="A29" s="595" t="s">
        <v>1582</v>
      </c>
      <c r="B29" s="596"/>
      <c r="C29" s="597"/>
      <c r="D29" s="463" t="str">
        <f>IF(D14&gt;0,IF((D13/D14*100)&gt;20,"ABVAR",""),"")</f>
        <v/>
      </c>
      <c r="E29" s="463"/>
      <c r="F29" s="463" t="str">
        <f t="shared" ref="F29:M29" si="11">IF(F14&gt;0,IF((F13/F14*100)&gt;20,"ABVAR",""),"")</f>
        <v/>
      </c>
      <c r="G29" s="463" t="str">
        <f t="shared" si="11"/>
        <v/>
      </c>
      <c r="H29" s="463" t="str">
        <f t="shared" si="11"/>
        <v/>
      </c>
      <c r="I29" s="463" t="str">
        <f t="shared" si="11"/>
        <v/>
      </c>
      <c r="J29" s="463" t="str">
        <f t="shared" si="11"/>
        <v/>
      </c>
      <c r="K29" s="463" t="str">
        <f t="shared" si="11"/>
        <v/>
      </c>
      <c r="L29" s="463" t="str">
        <f t="shared" si="11"/>
        <v/>
      </c>
      <c r="M29" s="463" t="str">
        <f t="shared" si="11"/>
        <v/>
      </c>
    </row>
    <row r="30" spans="1:14" ht="24.95" customHeight="1" x14ac:dyDescent="0.25">
      <c r="A30" s="605" t="s">
        <v>1580</v>
      </c>
      <c r="B30" s="606"/>
      <c r="C30" s="607"/>
      <c r="D30" s="463" t="str">
        <f>IF(D23&gt;0,IF((D22/D23*100)&gt;20,"ABVAR",""),"")</f>
        <v>ABVAR</v>
      </c>
      <c r="E30" s="463"/>
      <c r="F30" s="463" t="str">
        <f t="shared" ref="F30:M30" si="12">IF(F23&gt;0,IF((F22/F23*100)&gt;20,"ABVAR",""),"")</f>
        <v/>
      </c>
      <c r="G30" s="463" t="str">
        <f t="shared" si="12"/>
        <v/>
      </c>
      <c r="H30" s="463" t="str">
        <f t="shared" si="12"/>
        <v/>
      </c>
      <c r="I30" s="463" t="str">
        <f t="shared" si="12"/>
        <v/>
      </c>
      <c r="J30" s="463" t="str">
        <f t="shared" si="12"/>
        <v>ABVAR</v>
      </c>
      <c r="K30" s="463" t="str">
        <f t="shared" si="12"/>
        <v>ABVAR</v>
      </c>
      <c r="L30" s="463" t="str">
        <f t="shared" si="12"/>
        <v/>
      </c>
      <c r="M30" s="463" t="str">
        <f t="shared" si="12"/>
        <v>ABVAR</v>
      </c>
    </row>
    <row r="200" spans="53:65" x14ac:dyDescent="0.25">
      <c r="BA200" s="141" t="str">
        <f>A1</f>
        <v>Goa, , ADSI-2021</v>
      </c>
      <c r="BB200" s="141"/>
    </row>
    <row r="201" spans="53:65" x14ac:dyDescent="0.25">
      <c r="BA201" s="141" t="str">
        <f>A2</f>
        <v>Errors</v>
      </c>
      <c r="BB201" s="309">
        <f>C2</f>
        <v>0</v>
      </c>
      <c r="BD201" s="472" t="str">
        <f>E2</f>
        <v>Abnormal Variations</v>
      </c>
      <c r="BE201" s="141">
        <f>F2</f>
        <v>4</v>
      </c>
    </row>
    <row r="202" spans="53:65" x14ac:dyDescent="0.25">
      <c r="BA202" s="141" t="str">
        <f>A3</f>
        <v>Proforma–XII</v>
      </c>
      <c r="BB202" s="132"/>
      <c r="BC202" s="132"/>
      <c r="BD202" s="132"/>
      <c r="BE202" s="132"/>
      <c r="BF202" s="132"/>
      <c r="BG202" s="132"/>
      <c r="BH202" s="132"/>
      <c r="BI202" s="132"/>
      <c r="BJ202" s="132"/>
      <c r="BK202" s="133"/>
      <c r="BM202" s="132"/>
    </row>
    <row r="203" spans="53:65" x14ac:dyDescent="0.25">
      <c r="BA203" s="141" t="str">
        <f>A4</f>
        <v>Classification of Railway Accidents and Causes of Railway Accidents</v>
      </c>
      <c r="BB203" s="132"/>
      <c r="BC203" s="132"/>
      <c r="BD203" s="132"/>
      <c r="BE203" s="132"/>
      <c r="BF203" s="132"/>
      <c r="BG203" s="132"/>
      <c r="BH203" s="132"/>
      <c r="BI203" s="132"/>
      <c r="BJ203" s="132"/>
      <c r="BM203" s="132"/>
    </row>
    <row r="204" spans="53:65" x14ac:dyDescent="0.25">
      <c r="BA204" s="713" t="str">
        <f>B5</f>
        <v>Sl. No.</v>
      </c>
      <c r="BB204" s="713" t="str">
        <f>C5</f>
        <v>Classification/Causes</v>
      </c>
      <c r="BC204" s="713" t="str">
        <f>D5</f>
        <v>No. of Cases</v>
      </c>
      <c r="BD204" s="713" t="str">
        <f>E5</f>
        <v>VALIDATION WITH NUMBER OF CASES</v>
      </c>
      <c r="BE204" s="678" t="str">
        <f>F5</f>
        <v>No. of Persons Injured</v>
      </c>
      <c r="BF204" s="684"/>
      <c r="BG204" s="684"/>
      <c r="BH204" s="679"/>
      <c r="BI204" s="678" t="str">
        <f>J5</f>
        <v>No. of Persons Died</v>
      </c>
      <c r="BJ204" s="684"/>
      <c r="BK204" s="684"/>
      <c r="BL204" s="679"/>
      <c r="BM204" s="132"/>
    </row>
    <row r="205" spans="53:65" ht="38.25" x14ac:dyDescent="0.25">
      <c r="BA205" s="715"/>
      <c r="BB205" s="715"/>
      <c r="BC205" s="715"/>
      <c r="BD205" s="714"/>
      <c r="BE205" s="149" t="str">
        <f t="shared" ref="BE205:BH206" si="13">F6</f>
        <v>Male</v>
      </c>
      <c r="BF205" s="149" t="str">
        <f t="shared" si="13"/>
        <v>Female</v>
      </c>
      <c r="BG205" s="149" t="str">
        <f t="shared" si="13"/>
        <v>Transgender</v>
      </c>
      <c r="BH205" s="149" t="str">
        <f t="shared" si="13"/>
        <v xml:space="preserve"> Total
[sum of (4) to (6)]</v>
      </c>
      <c r="BI205" s="149" t="str">
        <f>J6</f>
        <v xml:space="preserve"> Male</v>
      </c>
      <c r="BJ205" s="149" t="str">
        <f t="shared" ref="BJ205:BL206" si="14">K6</f>
        <v xml:space="preserve"> Female</v>
      </c>
      <c r="BK205" s="149" t="str">
        <f t="shared" si="14"/>
        <v>Transgender</v>
      </c>
      <c r="BL205" s="149" t="str">
        <f t="shared" si="14"/>
        <v>Total
[sum of (8) to (10)]</v>
      </c>
      <c r="BM205" s="132"/>
    </row>
    <row r="206" spans="53:65" x14ac:dyDescent="0.25">
      <c r="BA206" s="149" t="str">
        <f>B7</f>
        <v>(1)</v>
      </c>
      <c r="BB206" s="149" t="str">
        <f>C7</f>
        <v>(2)</v>
      </c>
      <c r="BC206" s="149" t="str">
        <f>D7</f>
        <v>(3)</v>
      </c>
      <c r="BD206" s="714"/>
      <c r="BE206" s="149" t="str">
        <f t="shared" si="13"/>
        <v>(4)</v>
      </c>
      <c r="BF206" s="149" t="str">
        <f t="shared" si="13"/>
        <v>(5)</v>
      </c>
      <c r="BG206" s="149" t="str">
        <f t="shared" si="13"/>
        <v>(6)</v>
      </c>
      <c r="BH206" s="149" t="str">
        <f t="shared" si="13"/>
        <v>(7)</v>
      </c>
      <c r="BI206" s="149" t="str">
        <f>J7</f>
        <v>(8)</v>
      </c>
      <c r="BJ206" s="149" t="str">
        <f t="shared" si="14"/>
        <v>(9)</v>
      </c>
      <c r="BK206" s="149" t="str">
        <f t="shared" si="14"/>
        <v>(10)</v>
      </c>
      <c r="BL206" s="149" t="str">
        <f t="shared" si="14"/>
        <v>(11)</v>
      </c>
      <c r="BM206" s="132"/>
    </row>
    <row r="207" spans="53:65" x14ac:dyDescent="0.25">
      <c r="BA207" s="703" t="str">
        <f>A8</f>
        <v>Part-I; Classification of Railway Accidents</v>
      </c>
      <c r="BB207" s="703"/>
      <c r="BC207" s="703"/>
      <c r="BD207" s="715"/>
      <c r="BE207" s="702"/>
      <c r="BF207" s="702"/>
      <c r="BG207" s="702"/>
      <c r="BH207" s="702"/>
      <c r="BI207" s="702"/>
      <c r="BJ207" s="702"/>
      <c r="BK207" s="702"/>
      <c r="BL207" s="702"/>
      <c r="BM207" s="132"/>
    </row>
    <row r="208" spans="53:65" x14ac:dyDescent="0.25">
      <c r="BA208" s="138">
        <f t="shared" ref="BA208:BL213" si="15">B9</f>
        <v>1</v>
      </c>
      <c r="BB208" s="136" t="str">
        <f t="shared" si="15"/>
        <v>Train Collisions</v>
      </c>
      <c r="BC208" s="136">
        <f t="shared" si="15"/>
        <v>0</v>
      </c>
      <c r="BD208" s="283" t="str">
        <f t="shared" si="15"/>
        <v/>
      </c>
      <c r="BE208" s="136">
        <f t="shared" si="15"/>
        <v>0</v>
      </c>
      <c r="BF208" s="136">
        <f t="shared" si="15"/>
        <v>0</v>
      </c>
      <c r="BG208" s="136">
        <f t="shared" si="15"/>
        <v>0</v>
      </c>
      <c r="BH208" s="136">
        <f t="shared" si="15"/>
        <v>0</v>
      </c>
      <c r="BI208" s="136">
        <f t="shared" si="15"/>
        <v>0</v>
      </c>
      <c r="BJ208" s="136">
        <f t="shared" si="15"/>
        <v>0</v>
      </c>
      <c r="BK208" s="136">
        <f t="shared" si="15"/>
        <v>0</v>
      </c>
      <c r="BL208" s="136">
        <f t="shared" si="15"/>
        <v>0</v>
      </c>
      <c r="BM208" s="132"/>
    </row>
    <row r="209" spans="53:65" x14ac:dyDescent="0.25">
      <c r="BA209" s="138">
        <f t="shared" si="15"/>
        <v>2</v>
      </c>
      <c r="BB209" s="136" t="str">
        <f t="shared" si="15"/>
        <v>Train Derailments</v>
      </c>
      <c r="BC209" s="136">
        <f t="shared" si="15"/>
        <v>0</v>
      </c>
      <c r="BD209" s="283" t="str">
        <f t="shared" si="15"/>
        <v/>
      </c>
      <c r="BE209" s="136">
        <f t="shared" si="15"/>
        <v>0</v>
      </c>
      <c r="BF209" s="136">
        <f t="shared" si="15"/>
        <v>0</v>
      </c>
      <c r="BG209" s="136">
        <f t="shared" si="15"/>
        <v>0</v>
      </c>
      <c r="BH209" s="136">
        <f t="shared" si="15"/>
        <v>0</v>
      </c>
      <c r="BI209" s="136">
        <f t="shared" si="15"/>
        <v>0</v>
      </c>
      <c r="BJ209" s="136">
        <f t="shared" si="15"/>
        <v>0</v>
      </c>
      <c r="BK209" s="136">
        <f t="shared" si="15"/>
        <v>0</v>
      </c>
      <c r="BL209" s="136">
        <f t="shared" si="15"/>
        <v>0</v>
      </c>
      <c r="BM209" s="132"/>
    </row>
    <row r="210" spans="53:65" x14ac:dyDescent="0.25">
      <c r="BA210" s="138">
        <f t="shared" si="15"/>
        <v>3</v>
      </c>
      <c r="BB210" s="136" t="str">
        <f t="shared" si="15"/>
        <v>Fall from train/Collision with people at tracks</v>
      </c>
      <c r="BC210" s="136">
        <f t="shared" si="15"/>
        <v>49</v>
      </c>
      <c r="BD210" s="283" t="str">
        <f t="shared" si="15"/>
        <v/>
      </c>
      <c r="BE210" s="136">
        <f t="shared" si="15"/>
        <v>0</v>
      </c>
      <c r="BF210" s="136">
        <f t="shared" si="15"/>
        <v>0</v>
      </c>
      <c r="BG210" s="136">
        <f t="shared" si="15"/>
        <v>0</v>
      </c>
      <c r="BH210" s="136">
        <f t="shared" si="15"/>
        <v>0</v>
      </c>
      <c r="BI210" s="136">
        <f t="shared" si="15"/>
        <v>45</v>
      </c>
      <c r="BJ210" s="136">
        <f t="shared" si="15"/>
        <v>4</v>
      </c>
      <c r="BK210" s="136">
        <f t="shared" si="15"/>
        <v>0</v>
      </c>
      <c r="BL210" s="136">
        <f t="shared" si="15"/>
        <v>49</v>
      </c>
      <c r="BM210" s="132"/>
    </row>
    <row r="211" spans="53:65" x14ac:dyDescent="0.25">
      <c r="BA211" s="138">
        <f t="shared" si="15"/>
        <v>4</v>
      </c>
      <c r="BB211" s="136" t="str">
        <f t="shared" si="15"/>
        <v>Explosion/Fire in Train</v>
      </c>
      <c r="BC211" s="136">
        <f t="shared" si="15"/>
        <v>0</v>
      </c>
      <c r="BD211" s="283" t="str">
        <f t="shared" si="15"/>
        <v/>
      </c>
      <c r="BE211" s="136">
        <f t="shared" si="15"/>
        <v>0</v>
      </c>
      <c r="BF211" s="136">
        <f t="shared" si="15"/>
        <v>0</v>
      </c>
      <c r="BG211" s="136">
        <f t="shared" si="15"/>
        <v>0</v>
      </c>
      <c r="BH211" s="136">
        <f t="shared" si="15"/>
        <v>0</v>
      </c>
      <c r="BI211" s="136">
        <f t="shared" si="15"/>
        <v>0</v>
      </c>
      <c r="BJ211" s="136">
        <f t="shared" si="15"/>
        <v>0</v>
      </c>
      <c r="BK211" s="136">
        <f t="shared" si="15"/>
        <v>0</v>
      </c>
      <c r="BL211" s="136">
        <f t="shared" si="15"/>
        <v>0</v>
      </c>
      <c r="BM211" s="132"/>
    </row>
    <row r="212" spans="53:65" x14ac:dyDescent="0.25">
      <c r="BA212" s="138">
        <f t="shared" si="15"/>
        <v>5</v>
      </c>
      <c r="BB212" s="136" t="str">
        <f t="shared" si="15"/>
        <v>Other Classifications</v>
      </c>
      <c r="BC212" s="136">
        <f t="shared" si="15"/>
        <v>0</v>
      </c>
      <c r="BD212" s="283" t="str">
        <f t="shared" si="15"/>
        <v/>
      </c>
      <c r="BE212" s="136">
        <f t="shared" si="15"/>
        <v>0</v>
      </c>
      <c r="BF212" s="136">
        <f t="shared" si="15"/>
        <v>0</v>
      </c>
      <c r="BG212" s="136">
        <f t="shared" si="15"/>
        <v>0</v>
      </c>
      <c r="BH212" s="136">
        <f t="shared" si="15"/>
        <v>0</v>
      </c>
      <c r="BI212" s="136">
        <f t="shared" si="15"/>
        <v>0</v>
      </c>
      <c r="BJ212" s="136">
        <f t="shared" si="15"/>
        <v>0</v>
      </c>
      <c r="BK212" s="136">
        <f t="shared" si="15"/>
        <v>0</v>
      </c>
      <c r="BL212" s="136">
        <f t="shared" si="15"/>
        <v>0</v>
      </c>
      <c r="BM212" s="132"/>
    </row>
    <row r="213" spans="53:65" x14ac:dyDescent="0.25">
      <c r="BA213" s="138">
        <f t="shared" si="15"/>
        <v>6</v>
      </c>
      <c r="BB213" s="136" t="str">
        <f t="shared" si="15"/>
        <v>Total (Classification) (sum of Sl. 1 to 5)</v>
      </c>
      <c r="BC213" s="136">
        <f t="shared" si="15"/>
        <v>49</v>
      </c>
      <c r="BD213" s="283" t="str">
        <f t="shared" si="15"/>
        <v/>
      </c>
      <c r="BE213" s="136">
        <f t="shared" si="15"/>
        <v>0</v>
      </c>
      <c r="BF213" s="136">
        <f t="shared" si="15"/>
        <v>0</v>
      </c>
      <c r="BG213" s="136">
        <f t="shared" si="15"/>
        <v>0</v>
      </c>
      <c r="BH213" s="136">
        <f t="shared" si="15"/>
        <v>0</v>
      </c>
      <c r="BI213" s="136">
        <f t="shared" si="15"/>
        <v>45</v>
      </c>
      <c r="BJ213" s="136">
        <f t="shared" si="15"/>
        <v>4</v>
      </c>
      <c r="BK213" s="136">
        <f t="shared" si="15"/>
        <v>0</v>
      </c>
      <c r="BL213" s="136">
        <f t="shared" si="15"/>
        <v>49</v>
      </c>
      <c r="BM213" s="132"/>
    </row>
    <row r="214" spans="53:65" x14ac:dyDescent="0.25">
      <c r="BA214" s="136" t="str">
        <f>A15</f>
        <v xml:space="preserve"> PROFORMA–II VALUES [Sl.– 12.3 (Railway Accidents)]</v>
      </c>
      <c r="BB214" s="136"/>
      <c r="BC214" s="136">
        <f>D15</f>
        <v>49</v>
      </c>
      <c r="BD214" s="136"/>
      <c r="BE214" s="136">
        <f t="shared" ref="BE214:BL215" si="16">F15</f>
        <v>0</v>
      </c>
      <c r="BF214" s="136">
        <f t="shared" si="16"/>
        <v>0</v>
      </c>
      <c r="BG214" s="136">
        <f t="shared" si="16"/>
        <v>0</v>
      </c>
      <c r="BH214" s="136">
        <f t="shared" si="16"/>
        <v>0</v>
      </c>
      <c r="BI214" s="136">
        <f t="shared" si="16"/>
        <v>45</v>
      </c>
      <c r="BJ214" s="136">
        <f t="shared" si="16"/>
        <v>4</v>
      </c>
      <c r="BK214" s="136">
        <f t="shared" si="16"/>
        <v>0</v>
      </c>
      <c r="BL214" s="136">
        <f t="shared" si="16"/>
        <v>49</v>
      </c>
      <c r="BM214" s="132"/>
    </row>
    <row r="215" spans="53:65" x14ac:dyDescent="0.25">
      <c r="BA215" s="136" t="str">
        <f>A16</f>
        <v>VALIDATION  FOR PART-I WITH PROFORMA–II [Sl.– 12.3 (Railway Accidents)]</v>
      </c>
      <c r="BB215" s="136"/>
      <c r="BC215" s="136" t="str">
        <f>D16</f>
        <v/>
      </c>
      <c r="BD215" s="136"/>
      <c r="BE215" s="136" t="str">
        <f t="shared" si="16"/>
        <v/>
      </c>
      <c r="BF215" s="136" t="str">
        <f t="shared" si="16"/>
        <v/>
      </c>
      <c r="BG215" s="136" t="str">
        <f t="shared" si="16"/>
        <v/>
      </c>
      <c r="BH215" s="136" t="str">
        <f t="shared" si="16"/>
        <v/>
      </c>
      <c r="BI215" s="136" t="str">
        <f t="shared" si="16"/>
        <v/>
      </c>
      <c r="BJ215" s="136" t="str">
        <f t="shared" si="16"/>
        <v/>
      </c>
      <c r="BK215" s="136" t="str">
        <f t="shared" si="16"/>
        <v/>
      </c>
      <c r="BL215" s="136" t="str">
        <f t="shared" si="16"/>
        <v/>
      </c>
      <c r="BM215" s="132"/>
    </row>
    <row r="216" spans="53:65" x14ac:dyDescent="0.25">
      <c r="BA216" s="703" t="str">
        <f>A17</f>
        <v>Part-II; Causes of Railway Accidents</v>
      </c>
      <c r="BB216" s="703"/>
      <c r="BC216" s="703"/>
      <c r="BD216" s="311"/>
      <c r="BE216" s="622"/>
      <c r="BF216" s="622"/>
      <c r="BG216" s="622"/>
      <c r="BH216" s="622"/>
      <c r="BI216" s="622"/>
      <c r="BJ216" s="622"/>
      <c r="BK216" s="622"/>
      <c r="BL216" s="622"/>
      <c r="BM216" s="132"/>
    </row>
    <row r="217" spans="53:65" x14ac:dyDescent="0.25">
      <c r="BA217" s="138">
        <f t="shared" ref="BA217:BL222" si="17">B18</f>
        <v>7</v>
      </c>
      <c r="BB217" s="136" t="str">
        <f t="shared" si="17"/>
        <v>Fault of Driver</v>
      </c>
      <c r="BC217" s="136">
        <f t="shared" si="17"/>
        <v>0</v>
      </c>
      <c r="BD217" s="283" t="str">
        <f t="shared" si="17"/>
        <v/>
      </c>
      <c r="BE217" s="136">
        <f t="shared" si="17"/>
        <v>0</v>
      </c>
      <c r="BF217" s="136">
        <f t="shared" si="17"/>
        <v>0</v>
      </c>
      <c r="BG217" s="136">
        <f t="shared" si="17"/>
        <v>0</v>
      </c>
      <c r="BH217" s="136">
        <f t="shared" si="17"/>
        <v>0</v>
      </c>
      <c r="BI217" s="136">
        <f t="shared" si="17"/>
        <v>0</v>
      </c>
      <c r="BJ217" s="136">
        <f t="shared" si="17"/>
        <v>0</v>
      </c>
      <c r="BK217" s="136">
        <f t="shared" si="17"/>
        <v>0</v>
      </c>
      <c r="BL217" s="136">
        <f t="shared" si="17"/>
        <v>0</v>
      </c>
      <c r="BM217" s="132"/>
    </row>
    <row r="218" spans="53:65" x14ac:dyDescent="0.25">
      <c r="BA218" s="138">
        <f t="shared" si="17"/>
        <v>8</v>
      </c>
      <c r="BB218" s="136" t="str">
        <f t="shared" si="17"/>
        <v>Sabotage by Extremist/Terrorist/others</v>
      </c>
      <c r="BC218" s="136">
        <f t="shared" si="17"/>
        <v>0</v>
      </c>
      <c r="BD218" s="283" t="str">
        <f t="shared" si="17"/>
        <v/>
      </c>
      <c r="BE218" s="136">
        <f t="shared" si="17"/>
        <v>0</v>
      </c>
      <c r="BF218" s="136">
        <f t="shared" si="17"/>
        <v>0</v>
      </c>
      <c r="BG218" s="136">
        <f t="shared" si="17"/>
        <v>0</v>
      </c>
      <c r="BH218" s="136">
        <f t="shared" si="17"/>
        <v>0</v>
      </c>
      <c r="BI218" s="136">
        <f t="shared" si="17"/>
        <v>0</v>
      </c>
      <c r="BJ218" s="136">
        <f t="shared" si="17"/>
        <v>0</v>
      </c>
      <c r="BK218" s="136">
        <f t="shared" si="17"/>
        <v>0</v>
      </c>
      <c r="BL218" s="136">
        <f t="shared" si="17"/>
        <v>0</v>
      </c>
      <c r="BM218" s="132"/>
    </row>
    <row r="219" spans="53:65" x14ac:dyDescent="0.25">
      <c r="BA219" s="138">
        <f t="shared" si="17"/>
        <v>9</v>
      </c>
      <c r="BB219" s="136" t="str">
        <f t="shared" si="17"/>
        <v>Signalmen's  Error</v>
      </c>
      <c r="BC219" s="136">
        <f t="shared" si="17"/>
        <v>0</v>
      </c>
      <c r="BD219" s="283" t="str">
        <f t="shared" si="17"/>
        <v/>
      </c>
      <c r="BE219" s="136">
        <f t="shared" si="17"/>
        <v>0</v>
      </c>
      <c r="BF219" s="136">
        <f t="shared" si="17"/>
        <v>0</v>
      </c>
      <c r="BG219" s="136">
        <f t="shared" si="17"/>
        <v>0</v>
      </c>
      <c r="BH219" s="136">
        <f t="shared" si="17"/>
        <v>0</v>
      </c>
      <c r="BI219" s="136">
        <f t="shared" si="17"/>
        <v>0</v>
      </c>
      <c r="BJ219" s="136">
        <f t="shared" si="17"/>
        <v>0</v>
      </c>
      <c r="BK219" s="136">
        <f t="shared" si="17"/>
        <v>0</v>
      </c>
      <c r="BL219" s="136">
        <f t="shared" si="17"/>
        <v>0</v>
      </c>
      <c r="BM219" s="132"/>
    </row>
    <row r="220" spans="53:65" x14ac:dyDescent="0.25">
      <c r="BA220" s="138">
        <f t="shared" si="17"/>
        <v>10</v>
      </c>
      <c r="BB220" s="136" t="str">
        <f t="shared" si="17"/>
        <v>Mechanical Failures (like poor design, track faults, bridge/tunnel collapse, etc.)</v>
      </c>
      <c r="BC220" s="136">
        <f t="shared" si="17"/>
        <v>1</v>
      </c>
      <c r="BD220" s="283" t="str">
        <f t="shared" si="17"/>
        <v/>
      </c>
      <c r="BE220" s="136">
        <f t="shared" si="17"/>
        <v>0</v>
      </c>
      <c r="BF220" s="136">
        <f t="shared" si="17"/>
        <v>0</v>
      </c>
      <c r="BG220" s="136">
        <f t="shared" si="17"/>
        <v>0</v>
      </c>
      <c r="BH220" s="136">
        <f t="shared" si="17"/>
        <v>0</v>
      </c>
      <c r="BI220" s="136">
        <f t="shared" si="17"/>
        <v>0</v>
      </c>
      <c r="BJ220" s="136">
        <f t="shared" si="17"/>
        <v>1</v>
      </c>
      <c r="BK220" s="136">
        <f t="shared" si="17"/>
        <v>0</v>
      </c>
      <c r="BL220" s="136">
        <f t="shared" si="17"/>
        <v>1</v>
      </c>
      <c r="BM220" s="132"/>
    </row>
    <row r="221" spans="53:65" x14ac:dyDescent="0.25">
      <c r="BA221" s="138">
        <f t="shared" si="17"/>
        <v>11</v>
      </c>
      <c r="BB221" s="136" t="str">
        <f t="shared" si="17"/>
        <v>Other Causes</v>
      </c>
      <c r="BC221" s="136">
        <f t="shared" si="17"/>
        <v>48</v>
      </c>
      <c r="BD221" s="283" t="str">
        <f t="shared" si="17"/>
        <v/>
      </c>
      <c r="BE221" s="136">
        <f t="shared" si="17"/>
        <v>0</v>
      </c>
      <c r="BF221" s="136">
        <f t="shared" si="17"/>
        <v>0</v>
      </c>
      <c r="BG221" s="136">
        <f t="shared" si="17"/>
        <v>0</v>
      </c>
      <c r="BH221" s="136">
        <f t="shared" si="17"/>
        <v>0</v>
      </c>
      <c r="BI221" s="136">
        <f t="shared" si="17"/>
        <v>45</v>
      </c>
      <c r="BJ221" s="136">
        <f t="shared" si="17"/>
        <v>3</v>
      </c>
      <c r="BK221" s="136">
        <f t="shared" si="17"/>
        <v>0</v>
      </c>
      <c r="BL221" s="136">
        <f t="shared" si="17"/>
        <v>48</v>
      </c>
      <c r="BM221" s="132"/>
    </row>
    <row r="222" spans="53:65" x14ac:dyDescent="0.25">
      <c r="BA222" s="138">
        <f t="shared" si="17"/>
        <v>12</v>
      </c>
      <c r="BB222" s="136" t="str">
        <f t="shared" si="17"/>
        <v>Total (Causes) (sum of Sl. 7 to 11)</v>
      </c>
      <c r="BC222" s="136">
        <f t="shared" si="17"/>
        <v>49</v>
      </c>
      <c r="BD222" s="283" t="str">
        <f t="shared" si="17"/>
        <v/>
      </c>
      <c r="BE222" s="136">
        <f t="shared" si="17"/>
        <v>0</v>
      </c>
      <c r="BF222" s="136">
        <f t="shared" si="17"/>
        <v>0</v>
      </c>
      <c r="BG222" s="136">
        <f t="shared" si="17"/>
        <v>0</v>
      </c>
      <c r="BH222" s="136">
        <f t="shared" si="17"/>
        <v>0</v>
      </c>
      <c r="BI222" s="136">
        <f t="shared" si="17"/>
        <v>45</v>
      </c>
      <c r="BJ222" s="136">
        <f t="shared" si="17"/>
        <v>4</v>
      </c>
      <c r="BK222" s="136">
        <f t="shared" si="17"/>
        <v>0</v>
      </c>
      <c r="BL222" s="136">
        <f t="shared" si="17"/>
        <v>49</v>
      </c>
      <c r="BM222" s="132"/>
    </row>
    <row r="223" spans="53:65" x14ac:dyDescent="0.25">
      <c r="BA223" s="623" t="str">
        <f t="shared" ref="BA223:BA229" si="18">A24</f>
        <v>VALIDATION  WITHIN PROFORMA–XII PART–I &amp; PART–II</v>
      </c>
      <c r="BB223" s="624"/>
      <c r="BC223" s="136" t="str">
        <f t="shared" ref="BC223:BC229" si="19">D24</f>
        <v/>
      </c>
      <c r="BD223" s="136"/>
      <c r="BE223" s="136" t="str">
        <f t="shared" ref="BE223:BL226" si="20">F24</f>
        <v/>
      </c>
      <c r="BF223" s="136" t="str">
        <f t="shared" si="20"/>
        <v/>
      </c>
      <c r="BG223" s="136" t="str">
        <f t="shared" si="20"/>
        <v/>
      </c>
      <c r="BH223" s="136" t="str">
        <f t="shared" si="20"/>
        <v/>
      </c>
      <c r="BI223" s="136" t="str">
        <f t="shared" si="20"/>
        <v/>
      </c>
      <c r="BJ223" s="136" t="str">
        <f t="shared" si="20"/>
        <v/>
      </c>
      <c r="BK223" s="136" t="str">
        <f t="shared" si="20"/>
        <v/>
      </c>
      <c r="BL223" s="136" t="str">
        <f t="shared" si="20"/>
        <v/>
      </c>
      <c r="BM223" s="132"/>
    </row>
    <row r="224" spans="53:65" x14ac:dyDescent="0.25">
      <c r="BA224" s="623" t="str">
        <f t="shared" si="18"/>
        <v xml:space="preserve"> PROFORMA–II VALUES [Sl.– 12.3 (Railway Accidents)]</v>
      </c>
      <c r="BB224" s="624"/>
      <c r="BC224" s="136">
        <f t="shared" si="19"/>
        <v>49</v>
      </c>
      <c r="BD224" s="136"/>
      <c r="BE224" s="136">
        <f t="shared" si="20"/>
        <v>0</v>
      </c>
      <c r="BF224" s="136">
        <f t="shared" si="20"/>
        <v>0</v>
      </c>
      <c r="BG224" s="136">
        <f t="shared" si="20"/>
        <v>0</v>
      </c>
      <c r="BH224" s="136">
        <f t="shared" si="20"/>
        <v>0</v>
      </c>
      <c r="BI224" s="136">
        <f t="shared" si="20"/>
        <v>45</v>
      </c>
      <c r="BJ224" s="136">
        <f t="shared" si="20"/>
        <v>4</v>
      </c>
      <c r="BK224" s="136">
        <f t="shared" si="20"/>
        <v>0</v>
      </c>
      <c r="BL224" s="136">
        <f t="shared" si="20"/>
        <v>49</v>
      </c>
      <c r="BM224" s="132"/>
    </row>
    <row r="225" spans="53:66" x14ac:dyDescent="0.25">
      <c r="BA225" s="623" t="str">
        <f t="shared" si="18"/>
        <v>VALIDATION  FOR PART–II WITH PROFORMA–II [Sl.– 12.3 (Railway Accidents)]</v>
      </c>
      <c r="BB225" s="624"/>
      <c r="BC225" s="136" t="str">
        <f t="shared" si="19"/>
        <v/>
      </c>
      <c r="BD225" s="136"/>
      <c r="BE225" s="136" t="str">
        <f t="shared" si="20"/>
        <v/>
      </c>
      <c r="BF225" s="136" t="str">
        <f t="shared" si="20"/>
        <v/>
      </c>
      <c r="BG225" s="136" t="str">
        <f t="shared" si="20"/>
        <v/>
      </c>
      <c r="BH225" s="136" t="str">
        <f t="shared" si="20"/>
        <v/>
      </c>
      <c r="BI225" s="136" t="str">
        <f t="shared" si="20"/>
        <v/>
      </c>
      <c r="BJ225" s="136" t="str">
        <f t="shared" si="20"/>
        <v/>
      </c>
      <c r="BK225" s="136" t="str">
        <f t="shared" si="20"/>
        <v/>
      </c>
      <c r="BL225" s="136" t="str">
        <f t="shared" si="20"/>
        <v/>
      </c>
      <c r="BM225" s="132"/>
    </row>
    <row r="226" spans="53:66" x14ac:dyDescent="0.25">
      <c r="BA226" s="622" t="str">
        <f t="shared" si="18"/>
        <v>SL-1 ABNORMAL VARIATION IN "TRAIN COLLISIONS" DATA</v>
      </c>
      <c r="BB226" s="622"/>
      <c r="BC226" s="310" t="str">
        <f t="shared" si="19"/>
        <v/>
      </c>
      <c r="BD226" s="310"/>
      <c r="BE226" s="310"/>
      <c r="BF226" s="310"/>
      <c r="BG226" s="310"/>
      <c r="BH226" s="310" t="str">
        <f t="shared" si="20"/>
        <v/>
      </c>
      <c r="BI226" s="310"/>
      <c r="BJ226" s="310"/>
      <c r="BK226" s="310"/>
      <c r="BL226" s="310" t="str">
        <f t="shared" si="20"/>
        <v/>
      </c>
      <c r="BM226" s="132"/>
    </row>
    <row r="227" spans="53:66" x14ac:dyDescent="0.25">
      <c r="BA227" s="622" t="str">
        <f t="shared" si="18"/>
        <v>SL-2 ABNORMAL VARIATION IN "TRAIN DERAILMENTS" DATA</v>
      </c>
      <c r="BB227" s="622"/>
      <c r="BC227" s="310" t="str">
        <f t="shared" si="19"/>
        <v/>
      </c>
      <c r="BD227" s="310"/>
      <c r="BE227" s="310"/>
      <c r="BF227" s="310"/>
      <c r="BG227" s="310"/>
      <c r="BH227" s="310" t="str">
        <f t="shared" ref="BH227" si="21">I28</f>
        <v/>
      </c>
      <c r="BI227" s="310"/>
      <c r="BJ227" s="310"/>
      <c r="BK227" s="310"/>
      <c r="BL227" s="310" t="str">
        <f t="shared" ref="BL227" si="22">M28</f>
        <v/>
      </c>
      <c r="BM227" s="132"/>
    </row>
    <row r="228" spans="53:66" x14ac:dyDescent="0.25">
      <c r="BA228" s="622" t="str">
        <f t="shared" si="18"/>
        <v>SL-5 ABNORMAL VARIATION IN "OTHER CLASSIFICATIONS" DATA</v>
      </c>
      <c r="BB228" s="622"/>
      <c r="BC228" s="310" t="str">
        <f t="shared" si="19"/>
        <v/>
      </c>
      <c r="BD228" s="310"/>
      <c r="BE228" s="310" t="str">
        <f t="shared" ref="BE228:BL229" si="23">F29</f>
        <v/>
      </c>
      <c r="BF228" s="310" t="str">
        <f t="shared" si="23"/>
        <v/>
      </c>
      <c r="BG228" s="310" t="str">
        <f t="shared" si="23"/>
        <v/>
      </c>
      <c r="BH228" s="310" t="str">
        <f t="shared" si="23"/>
        <v/>
      </c>
      <c r="BI228" s="310" t="str">
        <f t="shared" si="23"/>
        <v/>
      </c>
      <c r="BJ228" s="310" t="str">
        <f t="shared" si="23"/>
        <v/>
      </c>
      <c r="BK228" s="310" t="str">
        <f t="shared" si="23"/>
        <v/>
      </c>
      <c r="BL228" s="310" t="str">
        <f t="shared" si="23"/>
        <v/>
      </c>
      <c r="BM228" s="132"/>
      <c r="BN228" s="132"/>
    </row>
    <row r="229" spans="53:66" x14ac:dyDescent="0.25">
      <c r="BA229" s="622" t="str">
        <f t="shared" si="18"/>
        <v>SL-11 ABNORMAL VARIATION IN "OTHER CAUSES" DATA</v>
      </c>
      <c r="BB229" s="622"/>
      <c r="BC229" s="310" t="str">
        <f t="shared" si="19"/>
        <v>ABVAR</v>
      </c>
      <c r="BD229" s="310"/>
      <c r="BE229" s="310" t="str">
        <f t="shared" si="23"/>
        <v/>
      </c>
      <c r="BF229" s="310" t="str">
        <f t="shared" si="23"/>
        <v/>
      </c>
      <c r="BG229" s="310" t="str">
        <f t="shared" si="23"/>
        <v/>
      </c>
      <c r="BH229" s="310" t="str">
        <f t="shared" si="23"/>
        <v/>
      </c>
      <c r="BI229" s="310" t="str">
        <f t="shared" si="23"/>
        <v>ABVAR</v>
      </c>
      <c r="BJ229" s="310" t="str">
        <f t="shared" si="23"/>
        <v>ABVAR</v>
      </c>
      <c r="BK229" s="310" t="str">
        <f t="shared" si="23"/>
        <v/>
      </c>
      <c r="BL229" s="310" t="str">
        <f t="shared" si="23"/>
        <v>ABVAR</v>
      </c>
    </row>
    <row r="500" spans="1:14" s="352" customFormat="1" x14ac:dyDescent="0.25">
      <c r="A500" s="197" t="s">
        <v>450</v>
      </c>
      <c r="B500" s="197" t="s">
        <v>451</v>
      </c>
      <c r="C500" s="197" t="s">
        <v>452</v>
      </c>
      <c r="D500" s="197" t="s">
        <v>453</v>
      </c>
      <c r="E500" s="197" t="s">
        <v>472</v>
      </c>
      <c r="F500" s="197" t="s">
        <v>473</v>
      </c>
      <c r="G500" s="197" t="s">
        <v>474</v>
      </c>
      <c r="H500" s="197" t="s">
        <v>475</v>
      </c>
      <c r="I500" s="197" t="s">
        <v>476</v>
      </c>
      <c r="J500" s="197" t="s">
        <v>477</v>
      </c>
      <c r="K500" s="197" t="s">
        <v>478</v>
      </c>
      <c r="L500" s="197" t="s">
        <v>479</v>
      </c>
      <c r="M500" s="197" t="s">
        <v>480</v>
      </c>
      <c r="N500" s="362"/>
    </row>
    <row r="501" spans="1:14" s="352" customFormat="1" ht="12.75" x14ac:dyDescent="0.2">
      <c r="A501" s="348">
        <f>IF(ADSI!$G$12="",ADSI!$H$16,ADSI!$H$12)</f>
        <v>6</v>
      </c>
      <c r="B501" s="348" t="str">
        <f ca="1">IF(ADSI!$G$12="",ADSI!$H$16,ADSI!$H$14)</f>
        <v/>
      </c>
      <c r="C501" s="390">
        <f>A9</f>
        <v>650</v>
      </c>
      <c r="D501" s="348">
        <f>ADSI!$K$12</f>
        <v>2021</v>
      </c>
      <c r="E501" s="363">
        <f>D9</f>
        <v>0</v>
      </c>
      <c r="F501" s="364">
        <f>F9</f>
        <v>0</v>
      </c>
      <c r="G501" s="364">
        <f t="shared" ref="G501:M501" si="24">G9</f>
        <v>0</v>
      </c>
      <c r="H501" s="364">
        <f t="shared" si="24"/>
        <v>0</v>
      </c>
      <c r="I501" s="364">
        <f t="shared" si="24"/>
        <v>0</v>
      </c>
      <c r="J501" s="364">
        <f t="shared" si="24"/>
        <v>0</v>
      </c>
      <c r="K501" s="364">
        <f t="shared" si="24"/>
        <v>0</v>
      </c>
      <c r="L501" s="364">
        <f t="shared" si="24"/>
        <v>0</v>
      </c>
      <c r="M501" s="364">
        <f t="shared" si="24"/>
        <v>0</v>
      </c>
      <c r="N501" s="362"/>
    </row>
    <row r="502" spans="1:14" s="352" customFormat="1" ht="12.75" x14ac:dyDescent="0.2">
      <c r="A502" s="348">
        <f>IF(ADSI!$G$12="",ADSI!$H$16,ADSI!$H$12)</f>
        <v>6</v>
      </c>
      <c r="B502" s="348" t="str">
        <f ca="1">IF(ADSI!$G$12="",ADSI!$H$16,ADSI!$H$14)</f>
        <v/>
      </c>
      <c r="C502" s="390">
        <f t="shared" ref="C502:C506" si="25">A10</f>
        <v>651</v>
      </c>
      <c r="D502" s="348">
        <f>ADSI!$K$12</f>
        <v>2021</v>
      </c>
      <c r="E502" s="363">
        <f t="shared" ref="E502:E506" si="26">D10</f>
        <v>0</v>
      </c>
      <c r="F502" s="364">
        <f t="shared" ref="F502:M502" si="27">F10</f>
        <v>0</v>
      </c>
      <c r="G502" s="364">
        <f t="shared" si="27"/>
        <v>0</v>
      </c>
      <c r="H502" s="364">
        <f t="shared" si="27"/>
        <v>0</v>
      </c>
      <c r="I502" s="364">
        <f t="shared" si="27"/>
        <v>0</v>
      </c>
      <c r="J502" s="364">
        <f t="shared" si="27"/>
        <v>0</v>
      </c>
      <c r="K502" s="364">
        <f t="shared" si="27"/>
        <v>0</v>
      </c>
      <c r="L502" s="364">
        <f t="shared" si="27"/>
        <v>0</v>
      </c>
      <c r="M502" s="364">
        <f t="shared" si="27"/>
        <v>0</v>
      </c>
      <c r="N502" s="362"/>
    </row>
    <row r="503" spans="1:14" s="352" customFormat="1" ht="12.75" x14ac:dyDescent="0.2">
      <c r="A503" s="348">
        <f>IF(ADSI!$G$12="",ADSI!$H$16,ADSI!$H$12)</f>
        <v>6</v>
      </c>
      <c r="B503" s="348" t="str">
        <f ca="1">IF(ADSI!$G$12="",ADSI!$H$16,ADSI!$H$14)</f>
        <v/>
      </c>
      <c r="C503" s="390">
        <f t="shared" si="25"/>
        <v>652</v>
      </c>
      <c r="D503" s="348">
        <f>ADSI!$K$12</f>
        <v>2021</v>
      </c>
      <c r="E503" s="363">
        <f t="shared" si="26"/>
        <v>49</v>
      </c>
      <c r="F503" s="364">
        <f t="shared" ref="F503:M503" si="28">F11</f>
        <v>0</v>
      </c>
      <c r="G503" s="364">
        <f t="shared" si="28"/>
        <v>0</v>
      </c>
      <c r="H503" s="364">
        <f t="shared" si="28"/>
        <v>0</v>
      </c>
      <c r="I503" s="364">
        <f t="shared" si="28"/>
        <v>0</v>
      </c>
      <c r="J503" s="364">
        <f t="shared" si="28"/>
        <v>45</v>
      </c>
      <c r="K503" s="364">
        <f t="shared" si="28"/>
        <v>4</v>
      </c>
      <c r="L503" s="364">
        <f t="shared" si="28"/>
        <v>0</v>
      </c>
      <c r="M503" s="364">
        <f t="shared" si="28"/>
        <v>49</v>
      </c>
      <c r="N503" s="362"/>
    </row>
    <row r="504" spans="1:14" s="352" customFormat="1" ht="12.75" x14ac:dyDescent="0.2">
      <c r="A504" s="348">
        <f>IF(ADSI!$G$12="",ADSI!$H$16,ADSI!$H$12)</f>
        <v>6</v>
      </c>
      <c r="B504" s="348" t="str">
        <f ca="1">IF(ADSI!$G$12="",ADSI!$H$16,ADSI!$H$14)</f>
        <v/>
      </c>
      <c r="C504" s="390">
        <f t="shared" si="25"/>
        <v>653</v>
      </c>
      <c r="D504" s="348">
        <f>ADSI!$K$12</f>
        <v>2021</v>
      </c>
      <c r="E504" s="363">
        <f t="shared" si="26"/>
        <v>0</v>
      </c>
      <c r="F504" s="364">
        <f t="shared" ref="F504:M504" si="29">F12</f>
        <v>0</v>
      </c>
      <c r="G504" s="364">
        <f t="shared" si="29"/>
        <v>0</v>
      </c>
      <c r="H504" s="364">
        <f t="shared" si="29"/>
        <v>0</v>
      </c>
      <c r="I504" s="364">
        <f t="shared" si="29"/>
        <v>0</v>
      </c>
      <c r="J504" s="364">
        <f t="shared" si="29"/>
        <v>0</v>
      </c>
      <c r="K504" s="364">
        <f t="shared" si="29"/>
        <v>0</v>
      </c>
      <c r="L504" s="364">
        <f t="shared" si="29"/>
        <v>0</v>
      </c>
      <c r="M504" s="364">
        <f t="shared" si="29"/>
        <v>0</v>
      </c>
      <c r="N504" s="362"/>
    </row>
    <row r="505" spans="1:14" s="352" customFormat="1" ht="12.75" x14ac:dyDescent="0.2">
      <c r="A505" s="348">
        <f>IF(ADSI!$G$12="",ADSI!$H$16,ADSI!$H$12)</f>
        <v>6</v>
      </c>
      <c r="B505" s="348" t="str">
        <f ca="1">IF(ADSI!$G$12="",ADSI!$H$16,ADSI!$H$14)</f>
        <v/>
      </c>
      <c r="C505" s="390">
        <f t="shared" si="25"/>
        <v>654</v>
      </c>
      <c r="D505" s="348">
        <f>ADSI!$K$12</f>
        <v>2021</v>
      </c>
      <c r="E505" s="363">
        <f t="shared" si="26"/>
        <v>0</v>
      </c>
      <c r="F505" s="364">
        <f t="shared" ref="F505:M505" si="30">F13</f>
        <v>0</v>
      </c>
      <c r="G505" s="364">
        <f t="shared" si="30"/>
        <v>0</v>
      </c>
      <c r="H505" s="364">
        <f t="shared" si="30"/>
        <v>0</v>
      </c>
      <c r="I505" s="364">
        <f t="shared" si="30"/>
        <v>0</v>
      </c>
      <c r="J505" s="364">
        <f t="shared" si="30"/>
        <v>0</v>
      </c>
      <c r="K505" s="364">
        <f t="shared" si="30"/>
        <v>0</v>
      </c>
      <c r="L505" s="364">
        <f t="shared" si="30"/>
        <v>0</v>
      </c>
      <c r="M505" s="364">
        <f t="shared" si="30"/>
        <v>0</v>
      </c>
      <c r="N505" s="362"/>
    </row>
    <row r="506" spans="1:14" s="352" customFormat="1" ht="12.75" x14ac:dyDescent="0.2">
      <c r="A506" s="348">
        <f>IF(ADSI!$G$12="",ADSI!$H$16,ADSI!$H$12)</f>
        <v>6</v>
      </c>
      <c r="B506" s="348" t="str">
        <f ca="1">IF(ADSI!$G$12="",ADSI!$H$16,ADSI!$H$14)</f>
        <v/>
      </c>
      <c r="C506" s="390">
        <f t="shared" si="25"/>
        <v>665</v>
      </c>
      <c r="D506" s="348">
        <f>ADSI!$K$12</f>
        <v>2021</v>
      </c>
      <c r="E506" s="363">
        <f t="shared" si="26"/>
        <v>49</v>
      </c>
      <c r="F506" s="364">
        <f t="shared" ref="F506:M506" si="31">F14</f>
        <v>0</v>
      </c>
      <c r="G506" s="364">
        <f t="shared" si="31"/>
        <v>0</v>
      </c>
      <c r="H506" s="364">
        <f t="shared" si="31"/>
        <v>0</v>
      </c>
      <c r="I506" s="364">
        <f t="shared" si="31"/>
        <v>0</v>
      </c>
      <c r="J506" s="364">
        <f t="shared" si="31"/>
        <v>45</v>
      </c>
      <c r="K506" s="364">
        <f t="shared" si="31"/>
        <v>4</v>
      </c>
      <c r="L506" s="364">
        <f t="shared" si="31"/>
        <v>0</v>
      </c>
      <c r="M506" s="364">
        <f t="shared" si="31"/>
        <v>49</v>
      </c>
      <c r="N506" s="362"/>
    </row>
    <row r="507" spans="1:14" s="352" customFormat="1" ht="12.75" x14ac:dyDescent="0.2">
      <c r="A507" s="348">
        <f>IF(ADSI!$G$12="",ADSI!$H$16,ADSI!$H$12)</f>
        <v>6</v>
      </c>
      <c r="B507" s="348" t="str">
        <f ca="1">IF(ADSI!$G$12="",ADSI!$H$16,ADSI!$H$14)</f>
        <v/>
      </c>
      <c r="C507" s="390">
        <f>A18</f>
        <v>675</v>
      </c>
      <c r="D507" s="348">
        <f>ADSI!$K$12</f>
        <v>2021</v>
      </c>
      <c r="E507" s="363">
        <f>D18</f>
        <v>0</v>
      </c>
      <c r="F507" s="364">
        <f>F18</f>
        <v>0</v>
      </c>
      <c r="G507" s="364">
        <f t="shared" ref="G507:M507" si="32">G18</f>
        <v>0</v>
      </c>
      <c r="H507" s="364">
        <f t="shared" si="32"/>
        <v>0</v>
      </c>
      <c r="I507" s="364">
        <f t="shared" si="32"/>
        <v>0</v>
      </c>
      <c r="J507" s="364">
        <f t="shared" si="32"/>
        <v>0</v>
      </c>
      <c r="K507" s="364">
        <f t="shared" si="32"/>
        <v>0</v>
      </c>
      <c r="L507" s="364">
        <f t="shared" si="32"/>
        <v>0</v>
      </c>
      <c r="M507" s="364">
        <f t="shared" si="32"/>
        <v>0</v>
      </c>
      <c r="N507" s="362"/>
    </row>
    <row r="508" spans="1:14" s="352" customFormat="1" ht="12.75" x14ac:dyDescent="0.2">
      <c r="A508" s="348">
        <f>IF(ADSI!$G$12="",ADSI!$H$16,ADSI!$H$12)</f>
        <v>6</v>
      </c>
      <c r="B508" s="348" t="str">
        <f ca="1">IF(ADSI!$G$12="",ADSI!$H$16,ADSI!$H$14)</f>
        <v/>
      </c>
      <c r="C508" s="390">
        <f t="shared" ref="C508:C512" si="33">A19</f>
        <v>676</v>
      </c>
      <c r="D508" s="348">
        <f>ADSI!$K$12</f>
        <v>2021</v>
      </c>
      <c r="E508" s="363">
        <f t="shared" ref="E508:E512" si="34">D19</f>
        <v>0</v>
      </c>
      <c r="F508" s="364">
        <f t="shared" ref="F508:M508" si="35">F19</f>
        <v>0</v>
      </c>
      <c r="G508" s="364">
        <f t="shared" si="35"/>
        <v>0</v>
      </c>
      <c r="H508" s="364">
        <f t="shared" si="35"/>
        <v>0</v>
      </c>
      <c r="I508" s="364">
        <f t="shared" si="35"/>
        <v>0</v>
      </c>
      <c r="J508" s="364">
        <f t="shared" si="35"/>
        <v>0</v>
      </c>
      <c r="K508" s="364">
        <f t="shared" si="35"/>
        <v>0</v>
      </c>
      <c r="L508" s="364">
        <f t="shared" si="35"/>
        <v>0</v>
      </c>
      <c r="M508" s="364">
        <f t="shared" si="35"/>
        <v>0</v>
      </c>
      <c r="N508" s="362"/>
    </row>
    <row r="509" spans="1:14" s="352" customFormat="1" ht="12.75" x14ac:dyDescent="0.2">
      <c r="A509" s="348">
        <f>IF(ADSI!$G$12="",ADSI!$H$16,ADSI!$H$12)</f>
        <v>6</v>
      </c>
      <c r="B509" s="348" t="str">
        <f ca="1">IF(ADSI!$G$12="",ADSI!$H$16,ADSI!$H$14)</f>
        <v/>
      </c>
      <c r="C509" s="390">
        <f t="shared" si="33"/>
        <v>677</v>
      </c>
      <c r="D509" s="348">
        <f>ADSI!$K$12</f>
        <v>2021</v>
      </c>
      <c r="E509" s="363">
        <f t="shared" si="34"/>
        <v>0</v>
      </c>
      <c r="F509" s="364">
        <f t="shared" ref="F509:M509" si="36">F20</f>
        <v>0</v>
      </c>
      <c r="G509" s="364">
        <f t="shared" si="36"/>
        <v>0</v>
      </c>
      <c r="H509" s="364">
        <f t="shared" si="36"/>
        <v>0</v>
      </c>
      <c r="I509" s="364">
        <f t="shared" si="36"/>
        <v>0</v>
      </c>
      <c r="J509" s="364">
        <f t="shared" si="36"/>
        <v>0</v>
      </c>
      <c r="K509" s="364">
        <f t="shared" si="36"/>
        <v>0</v>
      </c>
      <c r="L509" s="364">
        <f t="shared" si="36"/>
        <v>0</v>
      </c>
      <c r="M509" s="364">
        <f t="shared" si="36"/>
        <v>0</v>
      </c>
    </row>
    <row r="510" spans="1:14" s="352" customFormat="1" ht="12.75" x14ac:dyDescent="0.2">
      <c r="A510" s="348">
        <f>IF(ADSI!$G$12="",ADSI!$H$16,ADSI!$H$12)</f>
        <v>6</v>
      </c>
      <c r="B510" s="348" t="str">
        <f ca="1">IF(ADSI!$G$12="",ADSI!$H$16,ADSI!$H$14)</f>
        <v/>
      </c>
      <c r="C510" s="390">
        <f t="shared" si="33"/>
        <v>678</v>
      </c>
      <c r="D510" s="348">
        <f>ADSI!$K$12</f>
        <v>2021</v>
      </c>
      <c r="E510" s="363">
        <f t="shared" si="34"/>
        <v>1</v>
      </c>
      <c r="F510" s="364">
        <f t="shared" ref="F510:M510" si="37">F21</f>
        <v>0</v>
      </c>
      <c r="G510" s="364">
        <f t="shared" si="37"/>
        <v>0</v>
      </c>
      <c r="H510" s="364">
        <f t="shared" si="37"/>
        <v>0</v>
      </c>
      <c r="I510" s="364">
        <f t="shared" si="37"/>
        <v>0</v>
      </c>
      <c r="J510" s="364">
        <f t="shared" si="37"/>
        <v>0</v>
      </c>
      <c r="K510" s="364">
        <f t="shared" si="37"/>
        <v>1</v>
      </c>
      <c r="L510" s="364">
        <f t="shared" si="37"/>
        <v>0</v>
      </c>
      <c r="M510" s="364">
        <f t="shared" si="37"/>
        <v>1</v>
      </c>
    </row>
    <row r="511" spans="1:14" s="352" customFormat="1" ht="12.75" x14ac:dyDescent="0.2">
      <c r="A511" s="348">
        <f>IF(ADSI!$G$12="",ADSI!$H$16,ADSI!$H$12)</f>
        <v>6</v>
      </c>
      <c r="B511" s="348" t="str">
        <f ca="1">IF(ADSI!$G$12="",ADSI!$H$16,ADSI!$H$14)</f>
        <v/>
      </c>
      <c r="C511" s="390">
        <f t="shared" si="33"/>
        <v>679</v>
      </c>
      <c r="D511" s="348">
        <f>ADSI!$K$12</f>
        <v>2021</v>
      </c>
      <c r="E511" s="363">
        <f t="shared" si="34"/>
        <v>48</v>
      </c>
      <c r="F511" s="364">
        <f t="shared" ref="F511:M511" si="38">F22</f>
        <v>0</v>
      </c>
      <c r="G511" s="364">
        <f t="shared" si="38"/>
        <v>0</v>
      </c>
      <c r="H511" s="364">
        <f t="shared" si="38"/>
        <v>0</v>
      </c>
      <c r="I511" s="364">
        <f t="shared" si="38"/>
        <v>0</v>
      </c>
      <c r="J511" s="364">
        <f t="shared" si="38"/>
        <v>45</v>
      </c>
      <c r="K511" s="364">
        <f t="shared" si="38"/>
        <v>3</v>
      </c>
      <c r="L511" s="364">
        <f t="shared" si="38"/>
        <v>0</v>
      </c>
      <c r="M511" s="364">
        <f t="shared" si="38"/>
        <v>48</v>
      </c>
    </row>
    <row r="512" spans="1:14" s="352" customFormat="1" ht="12.75" x14ac:dyDescent="0.2">
      <c r="A512" s="348">
        <f>IF(ADSI!$G$12="",ADSI!$H$16,ADSI!$H$12)</f>
        <v>6</v>
      </c>
      <c r="B512" s="348" t="str">
        <f ca="1">IF(ADSI!$G$12="",ADSI!$H$16,ADSI!$H$14)</f>
        <v/>
      </c>
      <c r="C512" s="390">
        <f t="shared" si="33"/>
        <v>690</v>
      </c>
      <c r="D512" s="348">
        <f>ADSI!$K$12</f>
        <v>2021</v>
      </c>
      <c r="E512" s="363">
        <f t="shared" si="34"/>
        <v>49</v>
      </c>
      <c r="F512" s="364">
        <f t="shared" ref="F512:M512" si="39">F23</f>
        <v>0</v>
      </c>
      <c r="G512" s="364">
        <f t="shared" si="39"/>
        <v>0</v>
      </c>
      <c r="H512" s="364">
        <f t="shared" si="39"/>
        <v>0</v>
      </c>
      <c r="I512" s="364">
        <f t="shared" si="39"/>
        <v>0</v>
      </c>
      <c r="J512" s="364">
        <f t="shared" si="39"/>
        <v>45</v>
      </c>
      <c r="K512" s="364">
        <f t="shared" si="39"/>
        <v>4</v>
      </c>
      <c r="L512" s="364">
        <f t="shared" si="39"/>
        <v>0</v>
      </c>
      <c r="M512" s="364">
        <f t="shared" si="39"/>
        <v>49</v>
      </c>
    </row>
    <row r="513" spans="3:3" s="352" customFormat="1" ht="12.75" x14ac:dyDescent="0.2">
      <c r="C513" s="187"/>
    </row>
    <row r="514" spans="3:3" s="352" customFormat="1" ht="12.75" x14ac:dyDescent="0.2"/>
    <row r="515" spans="3:3" s="352" customFormat="1" ht="12.75" x14ac:dyDescent="0.2"/>
    <row r="516" spans="3:3" s="352" customFormat="1" ht="12.75" x14ac:dyDescent="0.2"/>
  </sheetData>
  <sheetProtection password="C614" sheet="1" objects="1" scenarios="1" selectLockedCells="1"/>
  <mergeCells count="35">
    <mergeCell ref="BA228:BB228"/>
    <mergeCell ref="BA229:BB229"/>
    <mergeCell ref="A5:A6"/>
    <mergeCell ref="A26:C26"/>
    <mergeCell ref="A8:M8"/>
    <mergeCell ref="A17:M17"/>
    <mergeCell ref="A16:C16"/>
    <mergeCell ref="A25:C25"/>
    <mergeCell ref="A15:C15"/>
    <mergeCell ref="A24:C24"/>
    <mergeCell ref="B5:B6"/>
    <mergeCell ref="C5:C6"/>
    <mergeCell ref="D5:D6"/>
    <mergeCell ref="F5:I5"/>
    <mergeCell ref="J5:M5"/>
    <mergeCell ref="E5:E6"/>
    <mergeCell ref="BE216:BL216"/>
    <mergeCell ref="BA223:BB223"/>
    <mergeCell ref="BA224:BB224"/>
    <mergeCell ref="BA207:BC207"/>
    <mergeCell ref="BE207:BL207"/>
    <mergeCell ref="BD204:BD207"/>
    <mergeCell ref="BA204:BA205"/>
    <mergeCell ref="BE204:BH204"/>
    <mergeCell ref="BI204:BL204"/>
    <mergeCell ref="BC204:BC205"/>
    <mergeCell ref="BB204:BB205"/>
    <mergeCell ref="BA226:BB226"/>
    <mergeCell ref="BA227:BB227"/>
    <mergeCell ref="A27:C27"/>
    <mergeCell ref="A28:C28"/>
    <mergeCell ref="A29:C29"/>
    <mergeCell ref="A30:C30"/>
    <mergeCell ref="BA225:BB225"/>
    <mergeCell ref="BA216:BC216"/>
  </mergeCells>
  <conditionalFormatting sqref="D24 F24:M24">
    <cfRule type="cellIs" dxfId="85" priority="29" operator="equal">
      <formula>FALSE</formula>
    </cfRule>
  </conditionalFormatting>
  <conditionalFormatting sqref="D16 F16:M16">
    <cfRule type="cellIs" dxfId="84" priority="28" operator="equal">
      <formula>FALSE</formula>
    </cfRule>
  </conditionalFormatting>
  <conditionalFormatting sqref="D26 F26:M26">
    <cfRule type="cellIs" dxfId="83" priority="27" operator="equal">
      <formula>FALSE</formula>
    </cfRule>
  </conditionalFormatting>
  <conditionalFormatting sqref="E9:E14">
    <cfRule type="cellIs" dxfId="82" priority="26" operator="equal">
      <formula>FALSE</formula>
    </cfRule>
  </conditionalFormatting>
  <conditionalFormatting sqref="E18:E23">
    <cfRule type="cellIs" dxfId="81" priority="25" operator="equal">
      <formula>FALSE</formula>
    </cfRule>
  </conditionalFormatting>
  <conditionalFormatting sqref="D29:D30 F29:M30">
    <cfRule type="cellIs" dxfId="80" priority="23" operator="equal">
      <formula>"ABVAR"</formula>
    </cfRule>
    <cfRule type="cellIs" dxfId="79" priority="24" operator="equal">
      <formula>FALSE</formula>
    </cfRule>
  </conditionalFormatting>
  <conditionalFormatting sqref="D27 F27:M27">
    <cfRule type="cellIs" dxfId="78" priority="19" operator="equal">
      <formula>"ABVAR"</formula>
    </cfRule>
    <cfRule type="cellIs" dxfId="77" priority="20" operator="equal">
      <formula>FALSE</formula>
    </cfRule>
  </conditionalFormatting>
  <conditionalFormatting sqref="F28:H28 J28:L28">
    <cfRule type="cellIs" dxfId="76" priority="17" operator="equal">
      <formula>"ABVAR"</formula>
    </cfRule>
    <cfRule type="cellIs" dxfId="75" priority="18" operator="equal">
      <formula>FALSE</formula>
    </cfRule>
  </conditionalFormatting>
  <conditionalFormatting sqref="D28">
    <cfRule type="cellIs" dxfId="74" priority="5" operator="equal">
      <formula>"ABVAR"</formula>
    </cfRule>
    <cfRule type="cellIs" dxfId="73" priority="6" operator="equal">
      <formula>FALSE</formula>
    </cfRule>
  </conditionalFormatting>
  <conditionalFormatting sqref="M28">
    <cfRule type="cellIs" dxfId="72" priority="3" operator="equal">
      <formula>"ABVAR"</formula>
    </cfRule>
    <cfRule type="cellIs" dxfId="71" priority="4" operator="equal">
      <formula>FALSE</formula>
    </cfRule>
  </conditionalFormatting>
  <conditionalFormatting sqref="I28">
    <cfRule type="cellIs" dxfId="70" priority="1" operator="equal">
      <formula>"ABVAR"</formula>
    </cfRule>
    <cfRule type="cellIs" dxfId="69" priority="2" operator="equal">
      <formula>FALSE</formula>
    </cfRule>
  </conditionalFormatting>
  <dataValidations count="1">
    <dataValidation type="whole" allowBlank="1" showInputMessage="1" showErrorMessage="1" sqref="J18:L22 F9:H13 J9:L13 D9:D13 D18:D22 F18:H22">
      <formula1>0</formula1>
      <formula2>999999999</formula2>
    </dataValidation>
  </dataValidations>
  <pageMargins left="1.1811023622047245" right="0.70866141732283472" top="0.78740157480314965" bottom="0.74803149606299213" header="0.31496062992125984" footer="0.19685039370078741"/>
  <pageSetup paperSize="5" orientation="landscape" r:id="rId1"/>
  <headerFooter>
    <oddFooter>&amp;L&amp;9ADSI - &amp;A&amp;C&amp;9&amp;D &amp;T&amp;R&amp;9Page &amp;P of &amp;N</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BS508"/>
  <sheetViews>
    <sheetView showGridLines="0" workbookViewId="0">
      <pane xSplit="3" ySplit="8" topLeftCell="D9" activePane="bottomRight" state="frozen"/>
      <selection activeCell="D9" sqref="D9"/>
      <selection pane="topRight" activeCell="D9" sqref="D9"/>
      <selection pane="bottomLeft" activeCell="D9" sqref="D9"/>
      <selection pane="bottomRight" activeCell="F11" sqref="F11"/>
    </sheetView>
  </sheetViews>
  <sheetFormatPr defaultRowHeight="15" x14ac:dyDescent="0.25"/>
  <cols>
    <col min="1" max="2" width="6.7109375" style="2" customWidth="1"/>
    <col min="3" max="3" width="35.7109375" style="2" bestFit="1" customWidth="1"/>
    <col min="4" max="7" width="12.7109375" style="2" customWidth="1"/>
    <col min="8" max="8" width="13.7109375" style="2" customWidth="1"/>
    <col min="9" max="12" width="12.7109375" style="2" customWidth="1"/>
    <col min="13" max="13" width="13.7109375" style="2" customWidth="1"/>
    <col min="14" max="18" width="12.7109375" style="2" customWidth="1"/>
    <col min="19" max="19" width="13.7109375" style="2" customWidth="1"/>
    <col min="20" max="20" width="9.7109375" style="2" customWidth="1"/>
    <col min="21" max="52" width="9.140625" style="2"/>
    <col min="53" max="53" width="5" style="2" customWidth="1"/>
    <col min="54" max="54" width="17.7109375" style="2" customWidth="1"/>
    <col min="55" max="57" width="9.140625" style="2"/>
    <col min="58" max="58" width="8.42578125" style="2" customWidth="1"/>
    <col min="59" max="62" width="9.140625" style="2"/>
    <col min="63" max="63" width="8.42578125" style="2" customWidth="1"/>
    <col min="64" max="64" width="9.140625" style="2"/>
    <col min="65" max="67" width="8.5703125" style="2" customWidth="1"/>
    <col min="68" max="68" width="7.42578125" style="2" customWidth="1"/>
    <col min="69" max="69" width="8.5703125" style="2" customWidth="1"/>
    <col min="70" max="16384" width="9.140625" style="2"/>
  </cols>
  <sheetData>
    <row r="1" spans="1:20" ht="15.75" x14ac:dyDescent="0.25">
      <c r="A1" s="285" t="str">
        <f>ADSI!$B$1</f>
        <v>Goa, , ADSI-2021</v>
      </c>
    </row>
    <row r="2" spans="1:20" ht="15.75" x14ac:dyDescent="0.25">
      <c r="A2" s="286" t="s">
        <v>657</v>
      </c>
      <c r="C2" s="291">
        <f>COUNTIF(D17:S17,FALSE)</f>
        <v>0</v>
      </c>
      <c r="E2" s="465" t="s">
        <v>1570</v>
      </c>
      <c r="F2" s="464">
        <f>COUNTIF(D18:S18,"ABVAR")</f>
        <v>0</v>
      </c>
    </row>
    <row r="3" spans="1:20" ht="15.75" x14ac:dyDescent="0.25">
      <c r="A3" s="296" t="s">
        <v>106</v>
      </c>
      <c r="C3" s="61"/>
      <c r="D3" s="61"/>
      <c r="E3" s="61"/>
      <c r="F3" s="61"/>
      <c r="G3" s="61"/>
      <c r="H3" s="61"/>
      <c r="I3" s="61"/>
      <c r="J3" s="61"/>
      <c r="K3" s="61"/>
      <c r="L3" s="61"/>
      <c r="M3" s="61"/>
      <c r="N3" s="35"/>
      <c r="P3" s="61"/>
      <c r="Q3" s="61"/>
      <c r="R3" s="61"/>
      <c r="S3" s="61"/>
    </row>
    <row r="4" spans="1:20" x14ac:dyDescent="0.25">
      <c r="A4" s="296" t="s">
        <v>623</v>
      </c>
      <c r="C4" s="61"/>
      <c r="D4" s="61"/>
      <c r="E4" s="61"/>
      <c r="F4" s="61"/>
      <c r="G4" s="61"/>
      <c r="H4" s="61"/>
      <c r="I4" s="61"/>
      <c r="J4" s="61"/>
      <c r="K4" s="61"/>
      <c r="L4" s="61"/>
      <c r="M4" s="61"/>
      <c r="P4" s="61"/>
      <c r="Q4" s="61"/>
      <c r="R4" s="61"/>
      <c r="S4" s="61"/>
    </row>
    <row r="5" spans="1:20" ht="21" customHeight="1" x14ac:dyDescent="0.25">
      <c r="A5" s="263" t="s">
        <v>249</v>
      </c>
      <c r="B5" s="636" t="s">
        <v>0</v>
      </c>
      <c r="C5" s="696" t="s">
        <v>34</v>
      </c>
      <c r="D5" s="641" t="s">
        <v>447</v>
      </c>
      <c r="E5" s="642"/>
      <c r="F5" s="642"/>
      <c r="G5" s="642"/>
      <c r="H5" s="642"/>
      <c r="I5" s="642"/>
      <c r="J5" s="642"/>
      <c r="K5" s="642"/>
      <c r="L5" s="642"/>
      <c r="M5" s="642"/>
      <c r="N5" s="642"/>
      <c r="O5" s="642"/>
      <c r="P5" s="642"/>
      <c r="Q5" s="642"/>
      <c r="R5" s="643"/>
      <c r="S5" s="634" t="s">
        <v>272</v>
      </c>
    </row>
    <row r="6" spans="1:20" ht="20.100000000000001" customHeight="1" x14ac:dyDescent="0.25">
      <c r="A6" s="269"/>
      <c r="B6" s="644"/>
      <c r="C6" s="709"/>
      <c r="D6" s="641" t="s">
        <v>38</v>
      </c>
      <c r="E6" s="642"/>
      <c r="F6" s="642"/>
      <c r="G6" s="642"/>
      <c r="H6" s="643"/>
      <c r="I6" s="638" t="s">
        <v>39</v>
      </c>
      <c r="J6" s="639"/>
      <c r="K6" s="639"/>
      <c r="L6" s="639"/>
      <c r="M6" s="640"/>
      <c r="N6" s="641" t="s">
        <v>240</v>
      </c>
      <c r="O6" s="642"/>
      <c r="P6" s="642"/>
      <c r="Q6" s="642"/>
      <c r="R6" s="643"/>
      <c r="S6" s="645"/>
    </row>
    <row r="7" spans="1:20" ht="45" x14ac:dyDescent="0.25">
      <c r="A7" s="264"/>
      <c r="B7" s="637"/>
      <c r="C7" s="697"/>
      <c r="D7" s="210" t="s">
        <v>171</v>
      </c>
      <c r="E7" s="210" t="s">
        <v>15</v>
      </c>
      <c r="F7" s="210" t="s">
        <v>178</v>
      </c>
      <c r="G7" s="210" t="s">
        <v>16</v>
      </c>
      <c r="H7" s="210" t="s">
        <v>275</v>
      </c>
      <c r="I7" s="217" t="s">
        <v>171</v>
      </c>
      <c r="J7" s="217" t="s">
        <v>15</v>
      </c>
      <c r="K7" s="217" t="s">
        <v>178</v>
      </c>
      <c r="L7" s="217" t="s">
        <v>16</v>
      </c>
      <c r="M7" s="217" t="s">
        <v>274</v>
      </c>
      <c r="N7" s="210" t="s">
        <v>171</v>
      </c>
      <c r="O7" s="210" t="s">
        <v>15</v>
      </c>
      <c r="P7" s="210" t="s">
        <v>178</v>
      </c>
      <c r="Q7" s="210" t="s">
        <v>16</v>
      </c>
      <c r="R7" s="210" t="s">
        <v>273</v>
      </c>
      <c r="S7" s="635"/>
    </row>
    <row r="8" spans="1:20" ht="20.100000000000001" customHeight="1" x14ac:dyDescent="0.25">
      <c r="A8" s="9"/>
      <c r="B8" s="9" t="s">
        <v>181</v>
      </c>
      <c r="C8" s="218" t="s">
        <v>182</v>
      </c>
      <c r="D8" s="8" t="s">
        <v>183</v>
      </c>
      <c r="E8" s="9" t="s">
        <v>184</v>
      </c>
      <c r="F8" s="9" t="s">
        <v>185</v>
      </c>
      <c r="G8" s="9" t="s">
        <v>186</v>
      </c>
      <c r="H8" s="8" t="s">
        <v>187</v>
      </c>
      <c r="I8" s="219" t="s">
        <v>188</v>
      </c>
      <c r="J8" s="219" t="s">
        <v>189</v>
      </c>
      <c r="K8" s="219" t="s">
        <v>190</v>
      </c>
      <c r="L8" s="219" t="s">
        <v>191</v>
      </c>
      <c r="M8" s="219" t="s">
        <v>192</v>
      </c>
      <c r="N8" s="8" t="s">
        <v>193</v>
      </c>
      <c r="O8" s="8" t="s">
        <v>194</v>
      </c>
      <c r="P8" s="8" t="s">
        <v>195</v>
      </c>
      <c r="Q8" s="8" t="s">
        <v>196</v>
      </c>
      <c r="R8" s="8" t="s">
        <v>197</v>
      </c>
      <c r="S8" s="219" t="s">
        <v>204</v>
      </c>
    </row>
    <row r="9" spans="1:20" ht="20.100000000000001" customHeight="1" x14ac:dyDescent="0.25">
      <c r="A9" s="54">
        <v>700</v>
      </c>
      <c r="B9" s="262">
        <v>1</v>
      </c>
      <c r="C9" s="538" t="s">
        <v>104</v>
      </c>
      <c r="D9" s="234">
        <v>0</v>
      </c>
      <c r="E9" s="234">
        <v>0</v>
      </c>
      <c r="F9" s="234">
        <v>0</v>
      </c>
      <c r="G9" s="234">
        <v>0</v>
      </c>
      <c r="H9" s="458">
        <f>SUM(D9:G9)</f>
        <v>0</v>
      </c>
      <c r="I9" s="234">
        <v>0</v>
      </c>
      <c r="J9" s="234">
        <v>0</v>
      </c>
      <c r="K9" s="234">
        <v>0</v>
      </c>
      <c r="L9" s="234">
        <v>0</v>
      </c>
      <c r="M9" s="458">
        <f>SUM(I9:L9)</f>
        <v>0</v>
      </c>
      <c r="N9" s="251">
        <v>0</v>
      </c>
      <c r="O9" s="251">
        <v>0</v>
      </c>
      <c r="P9" s="251">
        <v>0</v>
      </c>
      <c r="Q9" s="251">
        <v>0</v>
      </c>
      <c r="R9" s="458">
        <f>SUM(N9:Q9)</f>
        <v>0</v>
      </c>
      <c r="S9" s="458">
        <f>SUM(H9+M9+R9)</f>
        <v>0</v>
      </c>
      <c r="T9" s="336"/>
    </row>
    <row r="10" spans="1:20" ht="20.100000000000001" customHeight="1" x14ac:dyDescent="0.25">
      <c r="A10" s="66">
        <v>701</v>
      </c>
      <c r="B10" s="118">
        <v>1</v>
      </c>
      <c r="C10" s="12" t="s">
        <v>277</v>
      </c>
      <c r="D10" s="234">
        <v>0</v>
      </c>
      <c r="E10" s="234">
        <v>0</v>
      </c>
      <c r="F10" s="234">
        <v>0</v>
      </c>
      <c r="G10" s="234">
        <v>0</v>
      </c>
      <c r="H10" s="458">
        <f t="shared" ref="H10:H14" si="0">SUM(D10:G10)</f>
        <v>0</v>
      </c>
      <c r="I10" s="234">
        <v>0</v>
      </c>
      <c r="J10" s="234">
        <v>0</v>
      </c>
      <c r="K10" s="234">
        <v>0</v>
      </c>
      <c r="L10" s="234">
        <v>0</v>
      </c>
      <c r="M10" s="458">
        <f t="shared" ref="M10:M14" si="1">SUM(I10:L10)</f>
        <v>0</v>
      </c>
      <c r="N10" s="251">
        <v>0</v>
      </c>
      <c r="O10" s="251">
        <v>0</v>
      </c>
      <c r="P10" s="251">
        <v>0</v>
      </c>
      <c r="Q10" s="251">
        <v>0</v>
      </c>
      <c r="R10" s="458">
        <f t="shared" ref="R10:R14" si="2">SUM(N10:Q10)</f>
        <v>0</v>
      </c>
      <c r="S10" s="458">
        <f t="shared" ref="S10:S14" si="3">SUM(H10+M10+R10)</f>
        <v>0</v>
      </c>
      <c r="T10" s="336"/>
    </row>
    <row r="11" spans="1:20" ht="20.100000000000001" customHeight="1" x14ac:dyDescent="0.25">
      <c r="A11" s="262">
        <v>702</v>
      </c>
      <c r="B11" s="118">
        <v>2</v>
      </c>
      <c r="C11" s="12" t="s">
        <v>105</v>
      </c>
      <c r="D11" s="234">
        <v>0</v>
      </c>
      <c r="E11" s="234">
        <v>0</v>
      </c>
      <c r="F11" s="234">
        <v>0</v>
      </c>
      <c r="G11" s="234">
        <v>0</v>
      </c>
      <c r="H11" s="458">
        <f t="shared" si="0"/>
        <v>0</v>
      </c>
      <c r="I11" s="234">
        <v>0</v>
      </c>
      <c r="J11" s="235">
        <v>0</v>
      </c>
      <c r="K11" s="234">
        <v>0</v>
      </c>
      <c r="L11" s="234">
        <v>0</v>
      </c>
      <c r="M11" s="458">
        <f t="shared" si="1"/>
        <v>0</v>
      </c>
      <c r="N11" s="251">
        <v>0</v>
      </c>
      <c r="O11" s="251">
        <v>0</v>
      </c>
      <c r="P11" s="251">
        <v>0</v>
      </c>
      <c r="Q11" s="251">
        <v>0</v>
      </c>
      <c r="R11" s="458">
        <f t="shared" si="2"/>
        <v>0</v>
      </c>
      <c r="S11" s="458">
        <f t="shared" si="3"/>
        <v>0</v>
      </c>
      <c r="T11" s="336"/>
    </row>
    <row r="12" spans="1:20" ht="30" x14ac:dyDescent="0.25">
      <c r="A12" s="118">
        <v>703</v>
      </c>
      <c r="B12" s="118">
        <v>3</v>
      </c>
      <c r="C12" s="12" t="s">
        <v>276</v>
      </c>
      <c r="D12" s="234">
        <v>0</v>
      </c>
      <c r="E12" s="234">
        <v>0</v>
      </c>
      <c r="F12" s="234">
        <v>0</v>
      </c>
      <c r="G12" s="234">
        <v>0</v>
      </c>
      <c r="H12" s="458">
        <f t="shared" si="0"/>
        <v>0</v>
      </c>
      <c r="I12" s="234">
        <v>0</v>
      </c>
      <c r="J12" s="235">
        <v>0</v>
      </c>
      <c r="K12" s="234">
        <v>0</v>
      </c>
      <c r="L12" s="234">
        <v>0</v>
      </c>
      <c r="M12" s="458">
        <f t="shared" si="1"/>
        <v>0</v>
      </c>
      <c r="N12" s="251">
        <v>0</v>
      </c>
      <c r="O12" s="251">
        <v>0</v>
      </c>
      <c r="P12" s="251">
        <v>0</v>
      </c>
      <c r="Q12" s="251">
        <v>0</v>
      </c>
      <c r="R12" s="458">
        <f t="shared" si="2"/>
        <v>0</v>
      </c>
      <c r="S12" s="458">
        <f t="shared" si="3"/>
        <v>0</v>
      </c>
      <c r="T12" s="336"/>
    </row>
    <row r="13" spans="1:20" ht="30" x14ac:dyDescent="0.25">
      <c r="A13" s="262">
        <v>704</v>
      </c>
      <c r="B13" s="118">
        <v>4</v>
      </c>
      <c r="C13" s="12" t="s">
        <v>271</v>
      </c>
      <c r="D13" s="234">
        <v>0</v>
      </c>
      <c r="E13" s="234">
        <v>0</v>
      </c>
      <c r="F13" s="234">
        <v>0</v>
      </c>
      <c r="G13" s="234">
        <v>0</v>
      </c>
      <c r="H13" s="458">
        <f t="shared" si="0"/>
        <v>0</v>
      </c>
      <c r="I13" s="234">
        <v>0</v>
      </c>
      <c r="J13" s="234">
        <v>0</v>
      </c>
      <c r="K13" s="234">
        <v>0</v>
      </c>
      <c r="L13" s="234">
        <v>0</v>
      </c>
      <c r="M13" s="458">
        <f t="shared" si="1"/>
        <v>0</v>
      </c>
      <c r="N13" s="251">
        <v>0</v>
      </c>
      <c r="O13" s="251">
        <v>0</v>
      </c>
      <c r="P13" s="251">
        <v>0</v>
      </c>
      <c r="Q13" s="251">
        <v>0</v>
      </c>
      <c r="R13" s="458">
        <f t="shared" si="2"/>
        <v>0</v>
      </c>
      <c r="S13" s="458">
        <f t="shared" si="3"/>
        <v>0</v>
      </c>
      <c r="T13" s="336"/>
    </row>
    <row r="14" spans="1:20" ht="20.100000000000001" customHeight="1" x14ac:dyDescent="0.25">
      <c r="A14" s="262">
        <v>705</v>
      </c>
      <c r="B14" s="118">
        <v>5</v>
      </c>
      <c r="C14" s="12" t="s">
        <v>1503</v>
      </c>
      <c r="D14" s="234">
        <v>0</v>
      </c>
      <c r="E14" s="234">
        <v>0</v>
      </c>
      <c r="F14" s="234">
        <v>0</v>
      </c>
      <c r="G14" s="234">
        <v>0</v>
      </c>
      <c r="H14" s="458">
        <f t="shared" si="0"/>
        <v>0</v>
      </c>
      <c r="I14" s="234">
        <v>0</v>
      </c>
      <c r="J14" s="234">
        <v>0</v>
      </c>
      <c r="K14" s="234">
        <v>0</v>
      </c>
      <c r="L14" s="234">
        <v>0</v>
      </c>
      <c r="M14" s="458">
        <f t="shared" si="1"/>
        <v>0</v>
      </c>
      <c r="N14" s="251">
        <v>0</v>
      </c>
      <c r="O14" s="251">
        <v>0</v>
      </c>
      <c r="P14" s="251">
        <v>0</v>
      </c>
      <c r="Q14" s="251">
        <v>0</v>
      </c>
      <c r="R14" s="458">
        <f t="shared" si="2"/>
        <v>0</v>
      </c>
      <c r="S14" s="458">
        <f t="shared" si="3"/>
        <v>0</v>
      </c>
      <c r="T14" s="336"/>
    </row>
    <row r="15" spans="1:20" ht="20.100000000000001" customHeight="1" x14ac:dyDescent="0.25">
      <c r="A15" s="118">
        <v>715</v>
      </c>
      <c r="B15" s="266">
        <v>6</v>
      </c>
      <c r="C15" s="440" t="s">
        <v>1502</v>
      </c>
      <c r="D15" s="455">
        <f>SUM(D9:D14)</f>
        <v>0</v>
      </c>
      <c r="E15" s="455">
        <f t="shared" ref="E15:G15" si="4">SUM(E9:E14)</f>
        <v>0</v>
      </c>
      <c r="F15" s="455">
        <f t="shared" si="4"/>
        <v>0</v>
      </c>
      <c r="G15" s="455">
        <f t="shared" si="4"/>
        <v>0</v>
      </c>
      <c r="H15" s="455">
        <f t="shared" ref="H15" si="5">SUM(H9:H14)</f>
        <v>0</v>
      </c>
      <c r="I15" s="455">
        <f t="shared" ref="I15" si="6">SUM(I9:I14)</f>
        <v>0</v>
      </c>
      <c r="J15" s="455">
        <f t="shared" ref="J15" si="7">SUM(J9:J14)</f>
        <v>0</v>
      </c>
      <c r="K15" s="455">
        <f t="shared" ref="K15" si="8">SUM(K9:K14)</f>
        <v>0</v>
      </c>
      <c r="L15" s="455">
        <f t="shared" ref="L15" si="9">SUM(L9:L14)</f>
        <v>0</v>
      </c>
      <c r="M15" s="455">
        <f t="shared" ref="M15" si="10">SUM(M9:M14)</f>
        <v>0</v>
      </c>
      <c r="N15" s="455">
        <f t="shared" ref="N15" si="11">SUM(N9:N14)</f>
        <v>0</v>
      </c>
      <c r="O15" s="455">
        <f t="shared" ref="O15" si="12">SUM(O9:O14)</f>
        <v>0</v>
      </c>
      <c r="P15" s="455">
        <f t="shared" ref="P15" si="13">SUM(P9:P14)</f>
        <v>0</v>
      </c>
      <c r="Q15" s="455">
        <f t="shared" ref="Q15" si="14">SUM(Q9:Q14)</f>
        <v>0</v>
      </c>
      <c r="R15" s="455">
        <f t="shared" ref="R15:S15" si="15">SUM(R9:R14)</f>
        <v>0</v>
      </c>
      <c r="S15" s="455">
        <f t="shared" si="15"/>
        <v>0</v>
      </c>
      <c r="T15" s="336"/>
    </row>
    <row r="16" spans="1:20" ht="24.95" customHeight="1" x14ac:dyDescent="0.25">
      <c r="A16" s="707" t="s">
        <v>661</v>
      </c>
      <c r="B16" s="707"/>
      <c r="C16" s="708"/>
      <c r="D16" s="402">
        <f>'P-III'!F52</f>
        <v>152</v>
      </c>
      <c r="E16" s="402">
        <f>'P-III'!G52</f>
        <v>155</v>
      </c>
      <c r="F16" s="402">
        <f>'P-III'!H52</f>
        <v>103</v>
      </c>
      <c r="G16" s="402">
        <f>'P-III'!I52</f>
        <v>70</v>
      </c>
      <c r="H16" s="402">
        <f>'P-III'!J52</f>
        <v>489</v>
      </c>
      <c r="I16" s="402">
        <f>'P-III'!O52</f>
        <v>14</v>
      </c>
      <c r="J16" s="402">
        <f>'P-III'!P52</f>
        <v>18</v>
      </c>
      <c r="K16" s="402">
        <f>'P-III'!Q52</f>
        <v>15</v>
      </c>
      <c r="L16" s="402">
        <f>'P-III'!R52</f>
        <v>22</v>
      </c>
      <c r="M16" s="402">
        <f>'P-III'!S52</f>
        <v>73</v>
      </c>
      <c r="N16" s="402">
        <f>'P-III'!X52</f>
        <v>0</v>
      </c>
      <c r="O16" s="402">
        <f>'P-III'!Y52</f>
        <v>0</v>
      </c>
      <c r="P16" s="402">
        <f>'P-III'!Z52</f>
        <v>0</v>
      </c>
      <c r="Q16" s="402">
        <f>'P-III'!AA52</f>
        <v>0</v>
      </c>
      <c r="R16" s="402">
        <f>'P-III'!AB52</f>
        <v>0</v>
      </c>
      <c r="S16" s="284">
        <f>'P-III'!AE52</f>
        <v>562</v>
      </c>
    </row>
    <row r="17" spans="1:20" ht="24.95" customHeight="1" x14ac:dyDescent="0.25">
      <c r="A17" s="722" t="s">
        <v>662</v>
      </c>
      <c r="B17" s="722"/>
      <c r="C17" s="723"/>
      <c r="D17" s="399" t="str">
        <f>IF(D15&lt;='P-III'!F52,"",FALSE)</f>
        <v/>
      </c>
      <c r="E17" s="399" t="str">
        <f>IF(E15&lt;='P-III'!G52,"",FALSE)</f>
        <v/>
      </c>
      <c r="F17" s="399" t="str">
        <f>IF(F15&lt;='P-III'!H52,"",FALSE)</f>
        <v/>
      </c>
      <c r="G17" s="399" t="str">
        <f>IF(G15&lt;='P-III'!I52,"",FALSE)</f>
        <v/>
      </c>
      <c r="H17" s="399" t="str">
        <f>IF(H15&lt;='P-III'!J52,"",FALSE)</f>
        <v/>
      </c>
      <c r="I17" s="399" t="str">
        <f>IF(I15&lt;='P-III'!O52,"",FALSE)</f>
        <v/>
      </c>
      <c r="J17" s="399" t="str">
        <f>IF(J15&lt;='P-III'!P52,"",FALSE)</f>
        <v/>
      </c>
      <c r="K17" s="399" t="str">
        <f>IF(K15&lt;='P-III'!Q52,"",FALSE)</f>
        <v/>
      </c>
      <c r="L17" s="399" t="str">
        <f>IF(L15&lt;='P-III'!R52,"",FALSE)</f>
        <v/>
      </c>
      <c r="M17" s="399" t="str">
        <f>IF(M15&lt;='P-III'!S52,"",FALSE)</f>
        <v/>
      </c>
      <c r="N17" s="399" t="str">
        <f>IF(N15&lt;='P-III'!X52,"",FALSE)</f>
        <v/>
      </c>
      <c r="O17" s="399" t="str">
        <f>IF(O15&lt;='P-III'!Y52,"",FALSE)</f>
        <v/>
      </c>
      <c r="P17" s="399" t="str">
        <f>IF(P15&lt;='P-III'!Z52,"",FALSE)</f>
        <v/>
      </c>
      <c r="Q17" s="399" t="str">
        <f>IF(Q15&lt;='P-III'!AA52,"",FALSE)</f>
        <v/>
      </c>
      <c r="R17" s="399" t="str">
        <f>IF(R15&lt;='P-III'!AB52,"",FALSE)</f>
        <v/>
      </c>
      <c r="S17" s="399" t="str">
        <f>IF(S15&lt;='P-III'!AE52,"",FALSE)</f>
        <v/>
      </c>
    </row>
    <row r="18" spans="1:20" ht="30" customHeight="1" x14ac:dyDescent="0.25">
      <c r="A18" s="595" t="s">
        <v>1583</v>
      </c>
      <c r="B18" s="596"/>
      <c r="C18" s="597"/>
      <c r="D18" s="463" t="str">
        <f>IF(D15&gt;0,IF((D14/D15*100)&gt;10,"ABVAR",""),"")</f>
        <v/>
      </c>
      <c r="E18" s="463" t="str">
        <f t="shared" ref="E18:T18" si="16">IF(E15&gt;0,IF((E14/E15*100)&gt;10,"ABVAR",""),"")</f>
        <v/>
      </c>
      <c r="F18" s="463" t="str">
        <f t="shared" si="16"/>
        <v/>
      </c>
      <c r="G18" s="463" t="str">
        <f t="shared" si="16"/>
        <v/>
      </c>
      <c r="H18" s="463" t="str">
        <f t="shared" si="16"/>
        <v/>
      </c>
      <c r="I18" s="463" t="str">
        <f t="shared" si="16"/>
        <v/>
      </c>
      <c r="J18" s="463" t="str">
        <f t="shared" si="16"/>
        <v/>
      </c>
      <c r="K18" s="463" t="str">
        <f t="shared" si="16"/>
        <v/>
      </c>
      <c r="L18" s="463" t="str">
        <f t="shared" si="16"/>
        <v/>
      </c>
      <c r="M18" s="463" t="str">
        <f t="shared" si="16"/>
        <v/>
      </c>
      <c r="N18" s="463" t="str">
        <f t="shared" si="16"/>
        <v/>
      </c>
      <c r="O18" s="463" t="str">
        <f t="shared" si="16"/>
        <v/>
      </c>
      <c r="P18" s="463" t="str">
        <f t="shared" si="16"/>
        <v/>
      </c>
      <c r="Q18" s="463" t="str">
        <f t="shared" si="16"/>
        <v/>
      </c>
      <c r="R18" s="463" t="str">
        <f t="shared" si="16"/>
        <v/>
      </c>
      <c r="S18" s="463" t="str">
        <f t="shared" si="16"/>
        <v/>
      </c>
      <c r="T18" s="2" t="str">
        <f t="shared" si="16"/>
        <v/>
      </c>
    </row>
    <row r="19" spans="1:20" ht="50.1" customHeight="1" x14ac:dyDescent="0.25">
      <c r="D19" s="724" t="s">
        <v>624</v>
      </c>
      <c r="E19" s="724"/>
      <c r="F19" s="724"/>
      <c r="G19" s="724"/>
      <c r="H19" s="724"/>
      <c r="I19" s="724"/>
      <c r="J19" s="724"/>
      <c r="K19" s="724"/>
      <c r="L19" s="724"/>
      <c r="M19" s="724"/>
      <c r="N19" s="724"/>
      <c r="O19" s="270"/>
      <c r="P19" s="270"/>
      <c r="Q19" s="270"/>
      <c r="R19" s="270"/>
      <c r="S19" s="270"/>
      <c r="T19" s="270"/>
    </row>
    <row r="200" spans="53:71" x14ac:dyDescent="0.25">
      <c r="BA200" s="141" t="str">
        <f>A1</f>
        <v>Goa, , ADSI-2021</v>
      </c>
      <c r="BB200" s="141"/>
    </row>
    <row r="201" spans="53:71" x14ac:dyDescent="0.25">
      <c r="BA201" s="141" t="str">
        <f>A2</f>
        <v>Errors</v>
      </c>
      <c r="BB201" s="309">
        <f>C2</f>
        <v>0</v>
      </c>
      <c r="BD201" s="472" t="str">
        <f>E2</f>
        <v>Abnormal Variations</v>
      </c>
      <c r="BE201" s="141">
        <f>F2</f>
        <v>0</v>
      </c>
    </row>
    <row r="202" spans="53:71" x14ac:dyDescent="0.25">
      <c r="BA202" s="141" t="str">
        <f>A3</f>
        <v>Proforma–XIII</v>
      </c>
      <c r="BB202" s="132"/>
      <c r="BC202" s="132"/>
      <c r="BD202" s="132"/>
      <c r="BE202" s="132"/>
      <c r="BF202" s="132"/>
      <c r="BG202" s="132"/>
      <c r="BH202" s="132"/>
      <c r="BI202" s="132"/>
      <c r="BJ202" s="132"/>
      <c r="BK202" s="132"/>
      <c r="BL202" s="132"/>
      <c r="BM202" s="132"/>
      <c r="BO202" s="132"/>
      <c r="BP202" s="132"/>
      <c r="BQ202" s="132"/>
      <c r="BR202" s="132"/>
      <c r="BS202" s="132"/>
    </row>
    <row r="203" spans="53:71" x14ac:dyDescent="0.25">
      <c r="BA203" s="141" t="str">
        <f>A4</f>
        <v>Details on Deaths of Central Armed Police Force (CAPF) Personnel</v>
      </c>
      <c r="BB203" s="132"/>
      <c r="BC203" s="132"/>
      <c r="BD203" s="132"/>
      <c r="BE203" s="132"/>
      <c r="BF203" s="132"/>
      <c r="BG203" s="132"/>
      <c r="BH203" s="132"/>
      <c r="BI203" s="132"/>
      <c r="BJ203" s="132"/>
      <c r="BK203" s="132"/>
      <c r="BL203" s="132"/>
      <c r="BO203" s="132"/>
      <c r="BP203" s="132"/>
      <c r="BQ203" s="132"/>
      <c r="BR203" s="132"/>
      <c r="BS203" s="132"/>
    </row>
    <row r="204" spans="53:71" x14ac:dyDescent="0.25">
      <c r="BA204" s="602" t="str">
        <f>B5</f>
        <v>Sl. No.</v>
      </c>
      <c r="BB204" s="602" t="str">
        <f>C5</f>
        <v>Causes</v>
      </c>
      <c r="BC204" s="619" t="str">
        <f>D5</f>
        <v>Number of Accidental Deaths</v>
      </c>
      <c r="BD204" s="620"/>
      <c r="BE204" s="620"/>
      <c r="BF204" s="620"/>
      <c r="BG204" s="620"/>
      <c r="BH204" s="620"/>
      <c r="BI204" s="620"/>
      <c r="BJ204" s="620"/>
      <c r="BK204" s="620"/>
      <c r="BL204" s="620"/>
      <c r="BM204" s="620"/>
      <c r="BN204" s="620"/>
      <c r="BO204" s="620"/>
      <c r="BP204" s="620"/>
      <c r="BQ204" s="621"/>
      <c r="BR204" s="602" t="str">
        <f>S5</f>
        <v>Grand Total [col. (7)+(12)+(17)]</v>
      </c>
      <c r="BS204" s="132"/>
    </row>
    <row r="205" spans="53:71" x14ac:dyDescent="0.25">
      <c r="BA205" s="603"/>
      <c r="BB205" s="603"/>
      <c r="BC205" s="619" t="str">
        <f t="shared" ref="BC205:BC211" si="17">D6</f>
        <v>Male</v>
      </c>
      <c r="BD205" s="620"/>
      <c r="BE205" s="620"/>
      <c r="BF205" s="620"/>
      <c r="BG205" s="621"/>
      <c r="BH205" s="619" t="str">
        <f t="shared" ref="BH205:BH211" si="18">I6</f>
        <v>Female</v>
      </c>
      <c r="BI205" s="620"/>
      <c r="BJ205" s="620"/>
      <c r="BK205" s="620"/>
      <c r="BL205" s="621"/>
      <c r="BM205" s="619" t="str">
        <f t="shared" ref="BM205:BM211" si="19">N6</f>
        <v>Transgender</v>
      </c>
      <c r="BN205" s="620"/>
      <c r="BO205" s="620"/>
      <c r="BP205" s="620"/>
      <c r="BQ205" s="621"/>
      <c r="BR205" s="603"/>
      <c r="BS205" s="132"/>
    </row>
    <row r="206" spans="53:71" ht="51" x14ac:dyDescent="0.25">
      <c r="BA206" s="604"/>
      <c r="BB206" s="604"/>
      <c r="BC206" s="152" t="str">
        <f t="shared" si="17"/>
        <v>18 and above – below 30 years</v>
      </c>
      <c r="BD206" s="152" t="str">
        <f t="shared" ref="BD206:BG211" si="20">E7</f>
        <v>30 and above – below 45 years</v>
      </c>
      <c r="BE206" s="152" t="str">
        <f t="shared" si="20"/>
        <v>45 and above – below 60 years</v>
      </c>
      <c r="BF206" s="152" t="str">
        <f t="shared" si="20"/>
        <v>60 years &amp; above</v>
      </c>
      <c r="BG206" s="152" t="str">
        <f t="shared" si="20"/>
        <v xml:space="preserve"> Total [(sum of (3) to (6)]</v>
      </c>
      <c r="BH206" s="152" t="str">
        <f t="shared" si="18"/>
        <v>18 and above – below 30 years</v>
      </c>
      <c r="BI206" s="152" t="str">
        <f t="shared" ref="BI206:BL211" si="21">J7</f>
        <v>30 and above – below 45 years</v>
      </c>
      <c r="BJ206" s="152" t="str">
        <f t="shared" si="21"/>
        <v>45 and above – below 60 years</v>
      </c>
      <c r="BK206" s="152" t="str">
        <f t="shared" si="21"/>
        <v>60 years &amp; above</v>
      </c>
      <c r="BL206" s="152" t="str">
        <f t="shared" si="21"/>
        <v>Total [sum of (8) to (11)]</v>
      </c>
      <c r="BM206" s="152" t="str">
        <f t="shared" si="19"/>
        <v>18 and above – below 30 years</v>
      </c>
      <c r="BN206" s="152" t="str">
        <f t="shared" ref="BN206:BQ211" si="22">O7</f>
        <v>30 and above – below 45 years</v>
      </c>
      <c r="BO206" s="152" t="str">
        <f t="shared" si="22"/>
        <v>45 and above – below 60 years</v>
      </c>
      <c r="BP206" s="152" t="str">
        <f t="shared" si="22"/>
        <v>60 years &amp; above</v>
      </c>
      <c r="BQ206" s="152" t="str">
        <f t="shared" si="22"/>
        <v>Total [sum of (13) to (16)]</v>
      </c>
      <c r="BR206" s="604"/>
      <c r="BS206" s="132"/>
    </row>
    <row r="207" spans="53:71" x14ac:dyDescent="0.25">
      <c r="BA207" s="135" t="str">
        <f t="shared" ref="BA207:BB211" si="23">B8</f>
        <v>(1)</v>
      </c>
      <c r="BB207" s="135" t="str">
        <f t="shared" si="23"/>
        <v>(2)</v>
      </c>
      <c r="BC207" s="137" t="str">
        <f t="shared" si="17"/>
        <v>(3)</v>
      </c>
      <c r="BD207" s="137" t="str">
        <f t="shared" si="20"/>
        <v>(4)</v>
      </c>
      <c r="BE207" s="137" t="str">
        <f t="shared" si="20"/>
        <v>(5)</v>
      </c>
      <c r="BF207" s="137" t="str">
        <f t="shared" si="20"/>
        <v>(6)</v>
      </c>
      <c r="BG207" s="137" t="str">
        <f t="shared" si="20"/>
        <v>(7)</v>
      </c>
      <c r="BH207" s="137" t="str">
        <f t="shared" si="18"/>
        <v>(8)</v>
      </c>
      <c r="BI207" s="137" t="str">
        <f t="shared" si="21"/>
        <v>(9)</v>
      </c>
      <c r="BJ207" s="137" t="str">
        <f t="shared" si="21"/>
        <v>(10)</v>
      </c>
      <c r="BK207" s="137" t="str">
        <f t="shared" si="21"/>
        <v>(11)</v>
      </c>
      <c r="BL207" s="137" t="str">
        <f t="shared" si="21"/>
        <v>(12)</v>
      </c>
      <c r="BM207" s="137" t="str">
        <f t="shared" si="19"/>
        <v>(13)</v>
      </c>
      <c r="BN207" s="137" t="str">
        <f t="shared" si="22"/>
        <v>(14)</v>
      </c>
      <c r="BO207" s="137" t="str">
        <f t="shared" si="22"/>
        <v>(15)</v>
      </c>
      <c r="BP207" s="137" t="str">
        <f t="shared" si="22"/>
        <v>(16)</v>
      </c>
      <c r="BQ207" s="137" t="str">
        <f t="shared" si="22"/>
        <v>(17)</v>
      </c>
      <c r="BR207" s="137" t="str">
        <f>S8</f>
        <v>(18)</v>
      </c>
    </row>
    <row r="208" spans="53:71" x14ac:dyDescent="0.25">
      <c r="BA208" s="138">
        <f t="shared" si="23"/>
        <v>1</v>
      </c>
      <c r="BB208" s="140" t="str">
        <f t="shared" si="23"/>
        <v>Fratricide</v>
      </c>
      <c r="BC208" s="136">
        <f t="shared" si="17"/>
        <v>0</v>
      </c>
      <c r="BD208" s="136">
        <f t="shared" si="20"/>
        <v>0</v>
      </c>
      <c r="BE208" s="136">
        <f t="shared" si="20"/>
        <v>0</v>
      </c>
      <c r="BF208" s="136">
        <f t="shared" si="20"/>
        <v>0</v>
      </c>
      <c r="BG208" s="136">
        <f t="shared" si="20"/>
        <v>0</v>
      </c>
      <c r="BH208" s="136">
        <f t="shared" si="18"/>
        <v>0</v>
      </c>
      <c r="BI208" s="136">
        <f t="shared" si="21"/>
        <v>0</v>
      </c>
      <c r="BJ208" s="136">
        <f t="shared" si="21"/>
        <v>0</v>
      </c>
      <c r="BK208" s="136">
        <f t="shared" si="21"/>
        <v>0</v>
      </c>
      <c r="BL208" s="136">
        <f t="shared" si="21"/>
        <v>0</v>
      </c>
      <c r="BM208" s="136">
        <f t="shared" si="19"/>
        <v>0</v>
      </c>
      <c r="BN208" s="136">
        <f t="shared" si="22"/>
        <v>0</v>
      </c>
      <c r="BO208" s="136">
        <f t="shared" si="22"/>
        <v>0</v>
      </c>
      <c r="BP208" s="136">
        <f t="shared" si="22"/>
        <v>0</v>
      </c>
      <c r="BQ208" s="136">
        <f t="shared" si="22"/>
        <v>0</v>
      </c>
      <c r="BR208" s="136">
        <f>S9</f>
        <v>0</v>
      </c>
    </row>
    <row r="209" spans="53:71" ht="25.5" x14ac:dyDescent="0.25">
      <c r="BA209" s="138">
        <f t="shared" si="23"/>
        <v>1</v>
      </c>
      <c r="BB209" s="140" t="str">
        <f t="shared" si="23"/>
        <v>Deaths due to Road/Railway Accidents</v>
      </c>
      <c r="BC209" s="136">
        <f t="shared" si="17"/>
        <v>0</v>
      </c>
      <c r="BD209" s="136">
        <f t="shared" si="20"/>
        <v>0</v>
      </c>
      <c r="BE209" s="136">
        <f t="shared" si="20"/>
        <v>0</v>
      </c>
      <c r="BF209" s="136">
        <f t="shared" si="20"/>
        <v>0</v>
      </c>
      <c r="BG209" s="136">
        <f t="shared" si="20"/>
        <v>0</v>
      </c>
      <c r="BH209" s="136">
        <f t="shared" si="18"/>
        <v>0</v>
      </c>
      <c r="BI209" s="136">
        <f t="shared" si="21"/>
        <v>0</v>
      </c>
      <c r="BJ209" s="136">
        <f t="shared" si="21"/>
        <v>0</v>
      </c>
      <c r="BK209" s="136">
        <f t="shared" si="21"/>
        <v>0</v>
      </c>
      <c r="BL209" s="136">
        <f t="shared" si="21"/>
        <v>0</v>
      </c>
      <c r="BM209" s="136">
        <f t="shared" si="19"/>
        <v>0</v>
      </c>
      <c r="BN209" s="136">
        <f t="shared" si="22"/>
        <v>0</v>
      </c>
      <c r="BO209" s="136">
        <f t="shared" si="22"/>
        <v>0</v>
      </c>
      <c r="BP209" s="136">
        <f t="shared" si="22"/>
        <v>0</v>
      </c>
      <c r="BQ209" s="136">
        <f t="shared" si="22"/>
        <v>0</v>
      </c>
      <c r="BR209" s="136">
        <f>S10</f>
        <v>0</v>
      </c>
    </row>
    <row r="210" spans="53:71" ht="25.5" x14ac:dyDescent="0.25">
      <c r="BA210" s="138">
        <f t="shared" si="23"/>
        <v>2</v>
      </c>
      <c r="BB210" s="140" t="str">
        <f t="shared" si="23"/>
        <v>Deaths due to Natural Calamities</v>
      </c>
      <c r="BC210" s="136">
        <f t="shared" si="17"/>
        <v>0</v>
      </c>
      <c r="BD210" s="136">
        <f t="shared" si="20"/>
        <v>0</v>
      </c>
      <c r="BE210" s="136">
        <f t="shared" si="20"/>
        <v>0</v>
      </c>
      <c r="BF210" s="136">
        <f t="shared" si="20"/>
        <v>0</v>
      </c>
      <c r="BG210" s="136">
        <f t="shared" si="20"/>
        <v>0</v>
      </c>
      <c r="BH210" s="136">
        <f t="shared" si="18"/>
        <v>0</v>
      </c>
      <c r="BI210" s="136">
        <f t="shared" si="21"/>
        <v>0</v>
      </c>
      <c r="BJ210" s="136">
        <f t="shared" si="21"/>
        <v>0</v>
      </c>
      <c r="BK210" s="136">
        <f t="shared" si="21"/>
        <v>0</v>
      </c>
      <c r="BL210" s="136">
        <f t="shared" si="21"/>
        <v>0</v>
      </c>
      <c r="BM210" s="136">
        <f t="shared" si="19"/>
        <v>0</v>
      </c>
      <c r="BN210" s="136">
        <f t="shared" si="22"/>
        <v>0</v>
      </c>
      <c r="BO210" s="136">
        <f t="shared" si="22"/>
        <v>0</v>
      </c>
      <c r="BP210" s="136">
        <f t="shared" si="22"/>
        <v>0</v>
      </c>
      <c r="BQ210" s="136">
        <f t="shared" si="22"/>
        <v>0</v>
      </c>
      <c r="BR210" s="136">
        <f>S11</f>
        <v>0</v>
      </c>
    </row>
    <row r="211" spans="53:71" ht="38.25" x14ac:dyDescent="0.25">
      <c r="BA211" s="138">
        <f t="shared" si="23"/>
        <v>3</v>
      </c>
      <c r="BB211" s="140" t="str">
        <f t="shared" si="23"/>
        <v>Deaths Due to Unnatural Causes (Except Road/Railway Accidents)</v>
      </c>
      <c r="BC211" s="136">
        <f t="shared" si="17"/>
        <v>0</v>
      </c>
      <c r="BD211" s="136">
        <f t="shared" si="20"/>
        <v>0</v>
      </c>
      <c r="BE211" s="136">
        <f t="shared" si="20"/>
        <v>0</v>
      </c>
      <c r="BF211" s="136">
        <f t="shared" si="20"/>
        <v>0</v>
      </c>
      <c r="BG211" s="136">
        <f t="shared" si="20"/>
        <v>0</v>
      </c>
      <c r="BH211" s="136">
        <f t="shared" si="18"/>
        <v>0</v>
      </c>
      <c r="BI211" s="136">
        <f t="shared" si="21"/>
        <v>0</v>
      </c>
      <c r="BJ211" s="136">
        <f t="shared" si="21"/>
        <v>0</v>
      </c>
      <c r="BK211" s="136">
        <f t="shared" si="21"/>
        <v>0</v>
      </c>
      <c r="BL211" s="136">
        <f t="shared" si="21"/>
        <v>0</v>
      </c>
      <c r="BM211" s="136">
        <f t="shared" si="19"/>
        <v>0</v>
      </c>
      <c r="BN211" s="136">
        <f t="shared" si="22"/>
        <v>0</v>
      </c>
      <c r="BO211" s="136">
        <f t="shared" si="22"/>
        <v>0</v>
      </c>
      <c r="BP211" s="136">
        <f t="shared" si="22"/>
        <v>0</v>
      </c>
      <c r="BQ211" s="136">
        <f t="shared" si="22"/>
        <v>0</v>
      </c>
      <c r="BR211" s="136">
        <f>S12</f>
        <v>0</v>
      </c>
    </row>
    <row r="212" spans="53:71" ht="25.5" x14ac:dyDescent="0.25">
      <c r="BA212" s="138">
        <f t="shared" ref="BA212:BB213" si="24">B13</f>
        <v>4</v>
      </c>
      <c r="BB212" s="140" t="str">
        <f t="shared" si="24"/>
        <v>Killed in Action/Operation/ Encounters/etc.</v>
      </c>
      <c r="BC212" s="136">
        <f t="shared" ref="BC212:BC213" si="25">D13</f>
        <v>0</v>
      </c>
      <c r="BD212" s="136">
        <f t="shared" ref="BD212:BG213" si="26">E13</f>
        <v>0</v>
      </c>
      <c r="BE212" s="136">
        <f t="shared" si="26"/>
        <v>0</v>
      </c>
      <c r="BF212" s="136">
        <f t="shared" si="26"/>
        <v>0</v>
      </c>
      <c r="BG212" s="136">
        <f t="shared" si="26"/>
        <v>0</v>
      </c>
      <c r="BH212" s="136">
        <f t="shared" ref="BH212:BH213" si="27">I13</f>
        <v>0</v>
      </c>
      <c r="BI212" s="136">
        <f t="shared" ref="BI212:BL213" si="28">J13</f>
        <v>0</v>
      </c>
      <c r="BJ212" s="136">
        <f t="shared" si="28"/>
        <v>0</v>
      </c>
      <c r="BK212" s="136">
        <f t="shared" si="28"/>
        <v>0</v>
      </c>
      <c r="BL212" s="136">
        <f t="shared" si="28"/>
        <v>0</v>
      </c>
      <c r="BM212" s="136">
        <f t="shared" ref="BM212:BM213" si="29">N13</f>
        <v>0</v>
      </c>
      <c r="BN212" s="136">
        <f t="shared" ref="BN212:BQ213" si="30">O13</f>
        <v>0</v>
      </c>
      <c r="BO212" s="136">
        <f t="shared" si="30"/>
        <v>0</v>
      </c>
      <c r="BP212" s="136">
        <f t="shared" si="30"/>
        <v>0</v>
      </c>
      <c r="BQ212" s="136">
        <f t="shared" si="30"/>
        <v>0</v>
      </c>
      <c r="BR212" s="136">
        <f t="shared" ref="BR212:BR213" si="31">S13</f>
        <v>0</v>
      </c>
    </row>
    <row r="213" spans="53:71" x14ac:dyDescent="0.25">
      <c r="BA213" s="485">
        <f t="shared" si="24"/>
        <v>5</v>
      </c>
      <c r="BB213" s="487" t="str">
        <f t="shared" ref="BB213" si="32">C14</f>
        <v>Other/Unknown Causes</v>
      </c>
      <c r="BC213" s="488">
        <f t="shared" si="25"/>
        <v>0</v>
      </c>
      <c r="BD213" s="488">
        <f t="shared" si="26"/>
        <v>0</v>
      </c>
      <c r="BE213" s="488">
        <f t="shared" si="26"/>
        <v>0</v>
      </c>
      <c r="BF213" s="488">
        <f t="shared" si="26"/>
        <v>0</v>
      </c>
      <c r="BG213" s="488">
        <f t="shared" si="26"/>
        <v>0</v>
      </c>
      <c r="BH213" s="488">
        <f t="shared" si="27"/>
        <v>0</v>
      </c>
      <c r="BI213" s="488">
        <f t="shared" si="28"/>
        <v>0</v>
      </c>
      <c r="BJ213" s="488">
        <f t="shared" si="28"/>
        <v>0</v>
      </c>
      <c r="BK213" s="488">
        <f t="shared" si="28"/>
        <v>0</v>
      </c>
      <c r="BL213" s="488">
        <f t="shared" si="28"/>
        <v>0</v>
      </c>
      <c r="BM213" s="488">
        <f t="shared" si="29"/>
        <v>0</v>
      </c>
      <c r="BN213" s="488">
        <f t="shared" si="30"/>
        <v>0</v>
      </c>
      <c r="BO213" s="488">
        <f t="shared" si="30"/>
        <v>0</v>
      </c>
      <c r="BP213" s="488">
        <f t="shared" si="30"/>
        <v>0</v>
      </c>
      <c r="BQ213" s="488">
        <f t="shared" si="30"/>
        <v>0</v>
      </c>
      <c r="BR213" s="488">
        <f t="shared" si="31"/>
        <v>0</v>
      </c>
    </row>
    <row r="214" spans="53:71" x14ac:dyDescent="0.25">
      <c r="BA214" s="138">
        <f>B15</f>
        <v>6</v>
      </c>
      <c r="BB214" s="136" t="str">
        <f t="shared" ref="BB214:BO217" si="33">C15</f>
        <v>Total (sum of Sl. 1 to 6)</v>
      </c>
      <c r="BC214" s="136">
        <f t="shared" si="33"/>
        <v>0</v>
      </c>
      <c r="BD214" s="136">
        <f t="shared" si="33"/>
        <v>0</v>
      </c>
      <c r="BE214" s="136">
        <f t="shared" si="33"/>
        <v>0</v>
      </c>
      <c r="BF214" s="136">
        <f t="shared" si="33"/>
        <v>0</v>
      </c>
      <c r="BG214" s="156">
        <f t="shared" si="33"/>
        <v>0</v>
      </c>
      <c r="BH214" s="136">
        <f t="shared" si="33"/>
        <v>0</v>
      </c>
      <c r="BI214" s="136">
        <f t="shared" si="33"/>
        <v>0</v>
      </c>
      <c r="BJ214" s="136">
        <f t="shared" si="33"/>
        <v>0</v>
      </c>
      <c r="BK214" s="136">
        <f t="shared" si="33"/>
        <v>0</v>
      </c>
      <c r="BL214" s="136">
        <f t="shared" si="33"/>
        <v>0</v>
      </c>
      <c r="BM214" s="136">
        <f t="shared" si="33"/>
        <v>0</v>
      </c>
      <c r="BN214" s="136">
        <f t="shared" si="33"/>
        <v>0</v>
      </c>
      <c r="BO214" s="136">
        <f t="shared" si="33"/>
        <v>0</v>
      </c>
      <c r="BP214" s="136">
        <f t="shared" ref="BP214:BP217" si="34">Q15</f>
        <v>0</v>
      </c>
      <c r="BQ214" s="136">
        <f t="shared" ref="BQ214:BQ217" si="35">R15</f>
        <v>0</v>
      </c>
      <c r="BR214" s="136">
        <f t="shared" ref="BR214:BR217" si="36">S15</f>
        <v>0</v>
      </c>
    </row>
    <row r="215" spans="53:71" ht="24.95" customHeight="1" x14ac:dyDescent="0.25">
      <c r="BA215" s="678" t="str">
        <f>A16</f>
        <v>PROFORMA–III VALUES [Sl.– 16  (Total)]</v>
      </c>
      <c r="BB215" s="679"/>
      <c r="BC215" s="136">
        <f>D16</f>
        <v>152</v>
      </c>
      <c r="BD215" s="136">
        <f t="shared" si="33"/>
        <v>155</v>
      </c>
      <c r="BE215" s="136">
        <f t="shared" si="33"/>
        <v>103</v>
      </c>
      <c r="BF215" s="136">
        <f t="shared" si="33"/>
        <v>70</v>
      </c>
      <c r="BG215" s="136">
        <f t="shared" si="33"/>
        <v>489</v>
      </c>
      <c r="BH215" s="136">
        <f t="shared" si="33"/>
        <v>14</v>
      </c>
      <c r="BI215" s="136">
        <f t="shared" si="33"/>
        <v>18</v>
      </c>
      <c r="BJ215" s="136">
        <f t="shared" si="33"/>
        <v>15</v>
      </c>
      <c r="BK215" s="136">
        <f t="shared" si="33"/>
        <v>22</v>
      </c>
      <c r="BL215" s="136">
        <f t="shared" si="33"/>
        <v>73</v>
      </c>
      <c r="BM215" s="136">
        <f t="shared" si="33"/>
        <v>0</v>
      </c>
      <c r="BN215" s="136">
        <f t="shared" si="33"/>
        <v>0</v>
      </c>
      <c r="BO215" s="136">
        <f t="shared" si="33"/>
        <v>0</v>
      </c>
      <c r="BP215" s="136">
        <f t="shared" si="34"/>
        <v>0</v>
      </c>
      <c r="BQ215" s="136">
        <f t="shared" si="35"/>
        <v>0</v>
      </c>
      <c r="BR215" s="136">
        <f t="shared" si="36"/>
        <v>562</v>
      </c>
    </row>
    <row r="216" spans="53:71" ht="24.95" customHeight="1" x14ac:dyDescent="0.25">
      <c r="BA216" s="678" t="str">
        <f>A17</f>
        <v>VALIDATION  WITH PROFORMA–III [Sl.– 16 (Total)]</v>
      </c>
      <c r="BB216" s="679"/>
      <c r="BC216" s="136" t="str">
        <f>D17</f>
        <v/>
      </c>
      <c r="BD216" s="136" t="str">
        <f t="shared" si="33"/>
        <v/>
      </c>
      <c r="BE216" s="136" t="str">
        <f t="shared" si="33"/>
        <v/>
      </c>
      <c r="BF216" s="136" t="str">
        <f t="shared" si="33"/>
        <v/>
      </c>
      <c r="BG216" s="136" t="str">
        <f t="shared" si="33"/>
        <v/>
      </c>
      <c r="BH216" s="136" t="str">
        <f t="shared" si="33"/>
        <v/>
      </c>
      <c r="BI216" s="136" t="str">
        <f t="shared" si="33"/>
        <v/>
      </c>
      <c r="BJ216" s="136" t="str">
        <f t="shared" si="33"/>
        <v/>
      </c>
      <c r="BK216" s="136" t="str">
        <f t="shared" si="33"/>
        <v/>
      </c>
      <c r="BL216" s="136" t="str">
        <f t="shared" si="33"/>
        <v/>
      </c>
      <c r="BM216" s="136" t="str">
        <f t="shared" si="33"/>
        <v/>
      </c>
      <c r="BN216" s="136" t="str">
        <f t="shared" si="33"/>
        <v/>
      </c>
      <c r="BO216" s="136" t="str">
        <f t="shared" si="33"/>
        <v/>
      </c>
      <c r="BP216" s="136" t="str">
        <f t="shared" si="34"/>
        <v/>
      </c>
      <c r="BQ216" s="136" t="str">
        <f t="shared" si="35"/>
        <v/>
      </c>
      <c r="BR216" s="136" t="str">
        <f t="shared" si="36"/>
        <v/>
      </c>
    </row>
    <row r="217" spans="53:71" ht="24.95" customHeight="1" x14ac:dyDescent="0.25">
      <c r="BA217" s="618" t="str">
        <f>A18</f>
        <v>SL-6 ABNORMAL VARIATION IN "OTHER/UNKNOWN CAUSES" DATA</v>
      </c>
      <c r="BB217" s="618"/>
      <c r="BC217" s="310" t="str">
        <f>D18</f>
        <v/>
      </c>
      <c r="BD217" s="310" t="str">
        <f t="shared" si="33"/>
        <v/>
      </c>
      <c r="BE217" s="310" t="str">
        <f t="shared" si="33"/>
        <v/>
      </c>
      <c r="BF217" s="310" t="str">
        <f t="shared" si="33"/>
        <v/>
      </c>
      <c r="BG217" s="310" t="str">
        <f t="shared" si="33"/>
        <v/>
      </c>
      <c r="BH217" s="310" t="str">
        <f t="shared" si="33"/>
        <v/>
      </c>
      <c r="BI217" s="310" t="str">
        <f t="shared" si="33"/>
        <v/>
      </c>
      <c r="BJ217" s="310" t="str">
        <f t="shared" si="33"/>
        <v/>
      </c>
      <c r="BK217" s="310" t="str">
        <f t="shared" si="33"/>
        <v/>
      </c>
      <c r="BL217" s="310" t="str">
        <f t="shared" si="33"/>
        <v/>
      </c>
      <c r="BM217" s="310" t="str">
        <f t="shared" si="33"/>
        <v/>
      </c>
      <c r="BN217" s="310" t="str">
        <f t="shared" si="33"/>
        <v/>
      </c>
      <c r="BO217" s="310" t="str">
        <f t="shared" si="33"/>
        <v/>
      </c>
      <c r="BP217" s="310" t="str">
        <f t="shared" si="34"/>
        <v/>
      </c>
      <c r="BQ217" s="310" t="str">
        <f t="shared" si="35"/>
        <v/>
      </c>
      <c r="BR217" s="310" t="str">
        <f t="shared" si="36"/>
        <v/>
      </c>
    </row>
    <row r="218" spans="53:71" ht="15" customHeight="1" x14ac:dyDescent="0.25">
      <c r="BA218" s="721" t="str">
        <f>D19</f>
        <v>Central Armed Police Force (CAPF) includes Assam Rifles (AR), Border Security Force (BSF), Central Industrial Security Force (CISF), Central Reserve Police Force (CRPF), Indo Tibetan Border Police (ITBP), National Security Guard (NSG) and Sashastra Seema Bal (SSB)</v>
      </c>
      <c r="BB218" s="721"/>
      <c r="BC218" s="721"/>
      <c r="BD218" s="721"/>
      <c r="BE218" s="721"/>
      <c r="BF218" s="721"/>
      <c r="BG218" s="721"/>
      <c r="BH218" s="721"/>
      <c r="BI218" s="721"/>
      <c r="BJ218" s="721"/>
      <c r="BK218" s="721"/>
      <c r="BL218" s="721"/>
      <c r="BM218" s="721"/>
      <c r="BN218" s="721"/>
      <c r="BO218" s="721"/>
      <c r="BP218" s="721"/>
      <c r="BQ218" s="721"/>
      <c r="BR218" s="721"/>
      <c r="BS218" s="132"/>
    </row>
    <row r="219" spans="53:71" ht="21" customHeight="1" x14ac:dyDescent="0.25">
      <c r="BB219" s="132"/>
      <c r="BC219" s="132"/>
      <c r="BD219" s="132"/>
      <c r="BE219" s="132"/>
      <c r="BF219" s="132"/>
      <c r="BG219" s="132"/>
      <c r="BH219" s="132"/>
      <c r="BI219" s="132"/>
      <c r="BJ219" s="132"/>
      <c r="BK219" s="132"/>
      <c r="BL219" s="132"/>
      <c r="BM219" s="132"/>
      <c r="BN219" s="132"/>
      <c r="BO219" s="132"/>
      <c r="BP219" s="132"/>
      <c r="BQ219" s="132"/>
      <c r="BR219" s="132"/>
      <c r="BS219" s="132"/>
    </row>
    <row r="220" spans="53:71" x14ac:dyDescent="0.25">
      <c r="BA220" s="132"/>
      <c r="BB220" s="132"/>
      <c r="BC220" s="132"/>
      <c r="BD220" s="132"/>
      <c r="BE220" s="132"/>
      <c r="BF220" s="132"/>
      <c r="BG220" s="132"/>
      <c r="BH220" s="132"/>
      <c r="BI220" s="132"/>
      <c r="BJ220" s="132"/>
      <c r="BK220" s="132"/>
      <c r="BL220" s="132"/>
      <c r="BM220" s="132"/>
      <c r="BN220" s="132"/>
      <c r="BO220" s="132"/>
      <c r="BP220" s="132"/>
      <c r="BQ220" s="132"/>
      <c r="BR220" s="132"/>
      <c r="BS220" s="132"/>
    </row>
    <row r="221" spans="53:71" x14ac:dyDescent="0.25">
      <c r="BA221" s="132"/>
      <c r="BB221" s="132"/>
      <c r="BC221" s="132"/>
      <c r="BD221" s="132"/>
      <c r="BE221" s="132"/>
      <c r="BF221" s="132"/>
      <c r="BG221" s="132"/>
      <c r="BH221" s="132"/>
      <c r="BI221" s="132"/>
      <c r="BJ221" s="132"/>
      <c r="BK221" s="132"/>
      <c r="BL221" s="132"/>
      <c r="BM221" s="132"/>
      <c r="BN221" s="132"/>
      <c r="BO221" s="132"/>
      <c r="BP221" s="132"/>
      <c r="BQ221" s="132"/>
      <c r="BR221" s="132"/>
      <c r="BS221" s="132"/>
    </row>
    <row r="222" spans="53:71" x14ac:dyDescent="0.25">
      <c r="BA222" s="132"/>
      <c r="BB222" s="132"/>
      <c r="BC222" s="132"/>
      <c r="BD222" s="132"/>
      <c r="BE222" s="132"/>
      <c r="BF222" s="132"/>
      <c r="BG222" s="132"/>
      <c r="BH222" s="132"/>
      <c r="BI222" s="132"/>
      <c r="BJ222" s="132"/>
      <c r="BK222" s="132"/>
      <c r="BL222" s="132"/>
      <c r="BM222" s="132"/>
      <c r="BN222" s="132"/>
      <c r="BO222" s="132"/>
      <c r="BP222" s="132"/>
      <c r="BQ222" s="132"/>
      <c r="BR222" s="132"/>
      <c r="BS222" s="132"/>
    </row>
    <row r="223" spans="53:71" x14ac:dyDescent="0.25">
      <c r="BA223" s="132"/>
      <c r="BB223" s="132"/>
      <c r="BC223" s="132"/>
      <c r="BD223" s="132"/>
      <c r="BE223" s="132"/>
      <c r="BF223" s="132"/>
      <c r="BG223" s="132"/>
      <c r="BH223" s="132"/>
      <c r="BI223" s="132"/>
      <c r="BJ223" s="132"/>
      <c r="BK223" s="132"/>
      <c r="BL223" s="132"/>
      <c r="BM223" s="132"/>
      <c r="BN223" s="132"/>
      <c r="BO223" s="132"/>
      <c r="BP223" s="132"/>
      <c r="BQ223" s="132"/>
      <c r="BR223" s="132"/>
      <c r="BS223" s="132"/>
    </row>
    <row r="224" spans="53:71" x14ac:dyDescent="0.25">
      <c r="BA224" s="132"/>
      <c r="BB224" s="132"/>
      <c r="BC224" s="132"/>
      <c r="BD224" s="132"/>
      <c r="BE224" s="132"/>
      <c r="BF224" s="132"/>
      <c r="BG224" s="132"/>
      <c r="BH224" s="132"/>
      <c r="BI224" s="132"/>
      <c r="BJ224" s="132"/>
      <c r="BK224" s="132"/>
      <c r="BL224" s="132"/>
      <c r="BM224" s="132"/>
      <c r="BN224" s="132"/>
      <c r="BO224" s="132"/>
      <c r="BP224" s="132"/>
      <c r="BQ224" s="132"/>
      <c r="BR224" s="132"/>
      <c r="BS224" s="132"/>
    </row>
    <row r="500" spans="1:20" s="365" customFormat="1" x14ac:dyDescent="0.25">
      <c r="A500" s="198" t="s">
        <v>450</v>
      </c>
      <c r="B500" s="198" t="s">
        <v>451</v>
      </c>
      <c r="C500" s="198" t="s">
        <v>452</v>
      </c>
      <c r="D500" s="198" t="s">
        <v>453</v>
      </c>
      <c r="E500" s="198" t="s">
        <v>455</v>
      </c>
      <c r="F500" s="198" t="s">
        <v>456</v>
      </c>
      <c r="G500" s="198" t="s">
        <v>457</v>
      </c>
      <c r="H500" s="198" t="s">
        <v>458</v>
      </c>
      <c r="I500" s="198" t="s">
        <v>459</v>
      </c>
      <c r="J500" s="198" t="s">
        <v>461</v>
      </c>
      <c r="K500" s="198" t="s">
        <v>462</v>
      </c>
      <c r="L500" s="198" t="s">
        <v>463</v>
      </c>
      <c r="M500" s="198" t="s">
        <v>464</v>
      </c>
      <c r="N500" s="198" t="s">
        <v>465</v>
      </c>
      <c r="O500" s="198" t="s">
        <v>467</v>
      </c>
      <c r="P500" s="198" t="s">
        <v>468</v>
      </c>
      <c r="Q500" s="198" t="s">
        <v>469</v>
      </c>
      <c r="R500" s="198" t="s">
        <v>470</v>
      </c>
      <c r="S500" s="198" t="s">
        <v>471</v>
      </c>
      <c r="T500" s="198" t="s">
        <v>150</v>
      </c>
    </row>
    <row r="501" spans="1:20" s="365" customFormat="1" ht="12.75" x14ac:dyDescent="0.2">
      <c r="A501" s="348">
        <f>IF(ADSI!$G$12="",ADSI!$H$16,ADSI!$H$12)</f>
        <v>6</v>
      </c>
      <c r="B501" s="348" t="str">
        <f ca="1">IF(ADSI!$G$12="",ADSI!$H$16,ADSI!$H$14)</f>
        <v/>
      </c>
      <c r="C501" s="403">
        <f t="shared" ref="C501:C507" si="37">A9</f>
        <v>700</v>
      </c>
      <c r="D501" s="348">
        <f>ADSI!$K$12</f>
        <v>2021</v>
      </c>
      <c r="E501" s="367">
        <f t="shared" ref="E501:T501" si="38">D9</f>
        <v>0</v>
      </c>
      <c r="F501" s="367">
        <f t="shared" si="38"/>
        <v>0</v>
      </c>
      <c r="G501" s="367">
        <f t="shared" si="38"/>
        <v>0</v>
      </c>
      <c r="H501" s="367">
        <f t="shared" si="38"/>
        <v>0</v>
      </c>
      <c r="I501" s="367">
        <f t="shared" si="38"/>
        <v>0</v>
      </c>
      <c r="J501" s="367">
        <f t="shared" si="38"/>
        <v>0</v>
      </c>
      <c r="K501" s="367">
        <f t="shared" si="38"/>
        <v>0</v>
      </c>
      <c r="L501" s="367">
        <f t="shared" si="38"/>
        <v>0</v>
      </c>
      <c r="M501" s="367">
        <f t="shared" si="38"/>
        <v>0</v>
      </c>
      <c r="N501" s="367">
        <f t="shared" si="38"/>
        <v>0</v>
      </c>
      <c r="O501" s="367">
        <f t="shared" si="38"/>
        <v>0</v>
      </c>
      <c r="P501" s="367">
        <f t="shared" si="38"/>
        <v>0</v>
      </c>
      <c r="Q501" s="367">
        <f t="shared" si="38"/>
        <v>0</v>
      </c>
      <c r="R501" s="367">
        <f t="shared" si="38"/>
        <v>0</v>
      </c>
      <c r="S501" s="367">
        <f t="shared" si="38"/>
        <v>0</v>
      </c>
      <c r="T501" s="367">
        <f t="shared" si="38"/>
        <v>0</v>
      </c>
    </row>
    <row r="502" spans="1:20" s="365" customFormat="1" ht="12.75" x14ac:dyDescent="0.2">
      <c r="A502" s="348">
        <f>IF(ADSI!$G$12="",ADSI!$H$16,ADSI!$H$12)</f>
        <v>6</v>
      </c>
      <c r="B502" s="348" t="str">
        <f ca="1">IF(ADSI!$G$12="",ADSI!$H$16,ADSI!$H$14)</f>
        <v/>
      </c>
      <c r="C502" s="403">
        <f t="shared" si="37"/>
        <v>701</v>
      </c>
      <c r="D502" s="348">
        <f>ADSI!$K$12</f>
        <v>2021</v>
      </c>
      <c r="E502" s="367">
        <f t="shared" ref="E502:T502" si="39">D10</f>
        <v>0</v>
      </c>
      <c r="F502" s="367">
        <f t="shared" si="39"/>
        <v>0</v>
      </c>
      <c r="G502" s="367">
        <f t="shared" si="39"/>
        <v>0</v>
      </c>
      <c r="H502" s="367">
        <f t="shared" si="39"/>
        <v>0</v>
      </c>
      <c r="I502" s="367">
        <f t="shared" si="39"/>
        <v>0</v>
      </c>
      <c r="J502" s="367">
        <f t="shared" si="39"/>
        <v>0</v>
      </c>
      <c r="K502" s="367">
        <f t="shared" si="39"/>
        <v>0</v>
      </c>
      <c r="L502" s="367">
        <f t="shared" si="39"/>
        <v>0</v>
      </c>
      <c r="M502" s="367">
        <f t="shared" si="39"/>
        <v>0</v>
      </c>
      <c r="N502" s="367">
        <f t="shared" si="39"/>
        <v>0</v>
      </c>
      <c r="O502" s="367">
        <f t="shared" si="39"/>
        <v>0</v>
      </c>
      <c r="P502" s="367">
        <f t="shared" si="39"/>
        <v>0</v>
      </c>
      <c r="Q502" s="367">
        <f t="shared" si="39"/>
        <v>0</v>
      </c>
      <c r="R502" s="367">
        <f t="shared" si="39"/>
        <v>0</v>
      </c>
      <c r="S502" s="367">
        <f t="shared" si="39"/>
        <v>0</v>
      </c>
      <c r="T502" s="367">
        <f t="shared" si="39"/>
        <v>0</v>
      </c>
    </row>
    <row r="503" spans="1:20" s="365" customFormat="1" ht="12.75" x14ac:dyDescent="0.2">
      <c r="A503" s="348">
        <f>IF(ADSI!$G$12="",ADSI!$H$16,ADSI!$H$12)</f>
        <v>6</v>
      </c>
      <c r="B503" s="348" t="str">
        <f ca="1">IF(ADSI!$G$12="",ADSI!$H$16,ADSI!$H$14)</f>
        <v/>
      </c>
      <c r="C503" s="403">
        <f t="shared" si="37"/>
        <v>702</v>
      </c>
      <c r="D503" s="348">
        <f>ADSI!$K$12</f>
        <v>2021</v>
      </c>
      <c r="E503" s="367">
        <f t="shared" ref="E503:T503" si="40">D11</f>
        <v>0</v>
      </c>
      <c r="F503" s="367">
        <f t="shared" si="40"/>
        <v>0</v>
      </c>
      <c r="G503" s="367">
        <f t="shared" si="40"/>
        <v>0</v>
      </c>
      <c r="H503" s="367">
        <f t="shared" si="40"/>
        <v>0</v>
      </c>
      <c r="I503" s="367">
        <f t="shared" si="40"/>
        <v>0</v>
      </c>
      <c r="J503" s="367">
        <f t="shared" si="40"/>
        <v>0</v>
      </c>
      <c r="K503" s="367">
        <f t="shared" si="40"/>
        <v>0</v>
      </c>
      <c r="L503" s="367">
        <f t="shared" si="40"/>
        <v>0</v>
      </c>
      <c r="M503" s="367">
        <f t="shared" si="40"/>
        <v>0</v>
      </c>
      <c r="N503" s="367">
        <f t="shared" si="40"/>
        <v>0</v>
      </c>
      <c r="O503" s="367">
        <f t="shared" si="40"/>
        <v>0</v>
      </c>
      <c r="P503" s="367">
        <f t="shared" si="40"/>
        <v>0</v>
      </c>
      <c r="Q503" s="367">
        <f t="shared" si="40"/>
        <v>0</v>
      </c>
      <c r="R503" s="367">
        <f t="shared" si="40"/>
        <v>0</v>
      </c>
      <c r="S503" s="367">
        <f t="shared" si="40"/>
        <v>0</v>
      </c>
      <c r="T503" s="367">
        <f t="shared" si="40"/>
        <v>0</v>
      </c>
    </row>
    <row r="504" spans="1:20" s="365" customFormat="1" ht="12.75" x14ac:dyDescent="0.2">
      <c r="A504" s="348">
        <f>IF(ADSI!$G$12="",ADSI!$H$16,ADSI!$H$12)</f>
        <v>6</v>
      </c>
      <c r="B504" s="348" t="str">
        <f ca="1">IF(ADSI!$G$12="",ADSI!$H$16,ADSI!$H$14)</f>
        <v/>
      </c>
      <c r="C504" s="403">
        <f t="shared" si="37"/>
        <v>703</v>
      </c>
      <c r="D504" s="348">
        <f>ADSI!$K$12</f>
        <v>2021</v>
      </c>
      <c r="E504" s="367">
        <f t="shared" ref="E504:T504" si="41">D12</f>
        <v>0</v>
      </c>
      <c r="F504" s="367">
        <f t="shared" si="41"/>
        <v>0</v>
      </c>
      <c r="G504" s="367">
        <f t="shared" si="41"/>
        <v>0</v>
      </c>
      <c r="H504" s="367">
        <f t="shared" si="41"/>
        <v>0</v>
      </c>
      <c r="I504" s="367">
        <f t="shared" si="41"/>
        <v>0</v>
      </c>
      <c r="J504" s="367">
        <f t="shared" si="41"/>
        <v>0</v>
      </c>
      <c r="K504" s="367">
        <f t="shared" si="41"/>
        <v>0</v>
      </c>
      <c r="L504" s="367">
        <f t="shared" si="41"/>
        <v>0</v>
      </c>
      <c r="M504" s="367">
        <f t="shared" si="41"/>
        <v>0</v>
      </c>
      <c r="N504" s="367">
        <f t="shared" si="41"/>
        <v>0</v>
      </c>
      <c r="O504" s="367">
        <f t="shared" si="41"/>
        <v>0</v>
      </c>
      <c r="P504" s="367">
        <f t="shared" si="41"/>
        <v>0</v>
      </c>
      <c r="Q504" s="367">
        <f t="shared" si="41"/>
        <v>0</v>
      </c>
      <c r="R504" s="367">
        <f t="shared" si="41"/>
        <v>0</v>
      </c>
      <c r="S504" s="367">
        <f t="shared" si="41"/>
        <v>0</v>
      </c>
      <c r="T504" s="367">
        <f t="shared" si="41"/>
        <v>0</v>
      </c>
    </row>
    <row r="505" spans="1:20" s="365" customFormat="1" ht="12.75" x14ac:dyDescent="0.2">
      <c r="A505" s="348">
        <f>IF(ADSI!$G$12="",ADSI!$H$16,ADSI!$H$12)</f>
        <v>6</v>
      </c>
      <c r="B505" s="348" t="str">
        <f ca="1">IF(ADSI!$G$12="",ADSI!$H$16,ADSI!$H$14)</f>
        <v/>
      </c>
      <c r="C505" s="403">
        <f t="shared" si="37"/>
        <v>704</v>
      </c>
      <c r="D505" s="348">
        <f>ADSI!$K$12</f>
        <v>2021</v>
      </c>
      <c r="E505" s="367">
        <f t="shared" ref="E505:T505" si="42">D13</f>
        <v>0</v>
      </c>
      <c r="F505" s="367">
        <f t="shared" si="42"/>
        <v>0</v>
      </c>
      <c r="G505" s="367">
        <f t="shared" si="42"/>
        <v>0</v>
      </c>
      <c r="H505" s="367">
        <f t="shared" si="42"/>
        <v>0</v>
      </c>
      <c r="I505" s="367">
        <f t="shared" si="42"/>
        <v>0</v>
      </c>
      <c r="J505" s="367">
        <f t="shared" si="42"/>
        <v>0</v>
      </c>
      <c r="K505" s="367">
        <f t="shared" si="42"/>
        <v>0</v>
      </c>
      <c r="L505" s="367">
        <f t="shared" si="42"/>
        <v>0</v>
      </c>
      <c r="M505" s="367">
        <f t="shared" si="42"/>
        <v>0</v>
      </c>
      <c r="N505" s="367">
        <f t="shared" si="42"/>
        <v>0</v>
      </c>
      <c r="O505" s="367">
        <f t="shared" si="42"/>
        <v>0</v>
      </c>
      <c r="P505" s="367">
        <f t="shared" si="42"/>
        <v>0</v>
      </c>
      <c r="Q505" s="367">
        <f t="shared" si="42"/>
        <v>0</v>
      </c>
      <c r="R505" s="367">
        <f t="shared" si="42"/>
        <v>0</v>
      </c>
      <c r="S505" s="367">
        <f t="shared" si="42"/>
        <v>0</v>
      </c>
      <c r="T505" s="367">
        <f t="shared" si="42"/>
        <v>0</v>
      </c>
    </row>
    <row r="506" spans="1:20" s="365" customFormat="1" ht="12.75" x14ac:dyDescent="0.2">
      <c r="A506" s="348">
        <f>IF(ADSI!$G$12="",ADSI!$H$16,ADSI!$H$12)</f>
        <v>6</v>
      </c>
      <c r="B506" s="348" t="str">
        <f ca="1">IF(ADSI!$G$12="",ADSI!$H$16,ADSI!$H$14)</f>
        <v/>
      </c>
      <c r="C506" s="403">
        <f t="shared" si="37"/>
        <v>705</v>
      </c>
      <c r="D506" s="348">
        <f>ADSI!$K$12</f>
        <v>2021</v>
      </c>
      <c r="E506" s="367">
        <f t="shared" ref="E506:T506" si="43">D14</f>
        <v>0</v>
      </c>
      <c r="F506" s="367">
        <f t="shared" si="43"/>
        <v>0</v>
      </c>
      <c r="G506" s="367">
        <f t="shared" si="43"/>
        <v>0</v>
      </c>
      <c r="H506" s="367">
        <f t="shared" si="43"/>
        <v>0</v>
      </c>
      <c r="I506" s="367">
        <f t="shared" si="43"/>
        <v>0</v>
      </c>
      <c r="J506" s="367">
        <f t="shared" si="43"/>
        <v>0</v>
      </c>
      <c r="K506" s="367">
        <f t="shared" si="43"/>
        <v>0</v>
      </c>
      <c r="L506" s="367">
        <f t="shared" si="43"/>
        <v>0</v>
      </c>
      <c r="M506" s="367">
        <f t="shared" si="43"/>
        <v>0</v>
      </c>
      <c r="N506" s="367">
        <f t="shared" si="43"/>
        <v>0</v>
      </c>
      <c r="O506" s="367">
        <f t="shared" si="43"/>
        <v>0</v>
      </c>
      <c r="P506" s="367">
        <f t="shared" si="43"/>
        <v>0</v>
      </c>
      <c r="Q506" s="367">
        <f t="shared" si="43"/>
        <v>0</v>
      </c>
      <c r="R506" s="367">
        <f t="shared" si="43"/>
        <v>0</v>
      </c>
      <c r="S506" s="367">
        <f t="shared" si="43"/>
        <v>0</v>
      </c>
      <c r="T506" s="367">
        <f t="shared" si="43"/>
        <v>0</v>
      </c>
    </row>
    <row r="507" spans="1:20" s="365" customFormat="1" ht="12.75" x14ac:dyDescent="0.2">
      <c r="A507" s="348">
        <f>IF(ADSI!$G$12="",ADSI!$H$16,ADSI!$H$12)</f>
        <v>6</v>
      </c>
      <c r="B507" s="348" t="str">
        <f ca="1">IF(ADSI!$G$12="",ADSI!$H$16,ADSI!$H$14)</f>
        <v/>
      </c>
      <c r="C507" s="403">
        <f t="shared" si="37"/>
        <v>715</v>
      </c>
      <c r="D507" s="348">
        <f>ADSI!$K$12</f>
        <v>2021</v>
      </c>
      <c r="E507" s="367">
        <f t="shared" ref="E507:T507" si="44">D15</f>
        <v>0</v>
      </c>
      <c r="F507" s="367">
        <f t="shared" si="44"/>
        <v>0</v>
      </c>
      <c r="G507" s="367">
        <f t="shared" si="44"/>
        <v>0</v>
      </c>
      <c r="H507" s="367">
        <f t="shared" si="44"/>
        <v>0</v>
      </c>
      <c r="I507" s="367">
        <f t="shared" si="44"/>
        <v>0</v>
      </c>
      <c r="J507" s="367">
        <f t="shared" si="44"/>
        <v>0</v>
      </c>
      <c r="K507" s="367">
        <f t="shared" si="44"/>
        <v>0</v>
      </c>
      <c r="L507" s="367">
        <f t="shared" si="44"/>
        <v>0</v>
      </c>
      <c r="M507" s="367">
        <f t="shared" si="44"/>
        <v>0</v>
      </c>
      <c r="N507" s="367">
        <f t="shared" si="44"/>
        <v>0</v>
      </c>
      <c r="O507" s="367">
        <f t="shared" si="44"/>
        <v>0</v>
      </c>
      <c r="P507" s="367">
        <f t="shared" si="44"/>
        <v>0</v>
      </c>
      <c r="Q507" s="367">
        <f t="shared" si="44"/>
        <v>0</v>
      </c>
      <c r="R507" s="367">
        <f t="shared" si="44"/>
        <v>0</v>
      </c>
      <c r="S507" s="367">
        <f t="shared" si="44"/>
        <v>0</v>
      </c>
      <c r="T507" s="367">
        <f t="shared" si="44"/>
        <v>0</v>
      </c>
    </row>
    <row r="508" spans="1:20" x14ac:dyDescent="0.25">
      <c r="A508" s="348"/>
      <c r="B508" s="348"/>
      <c r="C508" s="403"/>
      <c r="D508" s="348"/>
      <c r="E508" s="367"/>
      <c r="F508" s="367"/>
      <c r="G508" s="367"/>
      <c r="H508" s="367"/>
      <c r="I508" s="367"/>
      <c r="J508" s="367"/>
      <c r="K508" s="367"/>
      <c r="L508" s="367"/>
      <c r="M508" s="367"/>
      <c r="N508" s="367"/>
      <c r="O508" s="367"/>
      <c r="P508" s="367"/>
      <c r="Q508" s="367"/>
      <c r="R508" s="367"/>
      <c r="S508" s="367"/>
      <c r="T508" s="367"/>
    </row>
  </sheetData>
  <sheetProtection password="C614" sheet="1" objects="1" scenarios="1" selectLockedCells="1"/>
  <mergeCells count="22">
    <mergeCell ref="I6:M6"/>
    <mergeCell ref="S5:S7"/>
    <mergeCell ref="B5:B7"/>
    <mergeCell ref="C5:C7"/>
    <mergeCell ref="D6:H6"/>
    <mergeCell ref="D5:R5"/>
    <mergeCell ref="N6:R6"/>
    <mergeCell ref="A16:C16"/>
    <mergeCell ref="BC205:BG205"/>
    <mergeCell ref="BA204:BA206"/>
    <mergeCell ref="BB204:BB206"/>
    <mergeCell ref="BC204:BQ204"/>
    <mergeCell ref="A17:C17"/>
    <mergeCell ref="D19:N19"/>
    <mergeCell ref="A18:C18"/>
    <mergeCell ref="BA215:BB215"/>
    <mergeCell ref="BA216:BB216"/>
    <mergeCell ref="BA217:BB217"/>
    <mergeCell ref="BA218:BR218"/>
    <mergeCell ref="BR204:BR206"/>
    <mergeCell ref="BM205:BQ205"/>
    <mergeCell ref="BH205:BL205"/>
  </mergeCells>
  <conditionalFormatting sqref="S17">
    <cfRule type="cellIs" dxfId="68" priority="9" operator="equal">
      <formula>FALSE</formula>
    </cfRule>
  </conditionalFormatting>
  <conditionalFormatting sqref="D17:H17">
    <cfRule type="cellIs" dxfId="67" priority="7" operator="equal">
      <formula>FALSE</formula>
    </cfRule>
  </conditionalFormatting>
  <conditionalFormatting sqref="I17:M17">
    <cfRule type="cellIs" dxfId="66" priority="5" operator="equal">
      <formula>FALSE</formula>
    </cfRule>
    <cfRule type="cellIs" dxfId="65" priority="6" operator="equal">
      <formula>FALSE</formula>
    </cfRule>
  </conditionalFormatting>
  <conditionalFormatting sqref="N17:R17">
    <cfRule type="cellIs" dxfId="64" priority="4" operator="equal">
      <formula>FALSE</formula>
    </cfRule>
  </conditionalFormatting>
  <conditionalFormatting sqref="N17:R17">
    <cfRule type="cellIs" dxfId="63" priority="3" operator="equal">
      <formula>FALSE</formula>
    </cfRule>
  </conditionalFormatting>
  <conditionalFormatting sqref="D18:S18">
    <cfRule type="cellIs" dxfId="62" priority="1" operator="equal">
      <formula>"ABVAR"</formula>
    </cfRule>
    <cfRule type="cellIs" dxfId="61" priority="2" operator="equal">
      <formula>FALSE</formula>
    </cfRule>
  </conditionalFormatting>
  <dataValidations count="1">
    <dataValidation type="whole" allowBlank="1" showInputMessage="1" showErrorMessage="1" sqref="D9:G14 I9:L14 N9:Q14">
      <formula1>0</formula1>
      <formula2>999999999</formula2>
    </dataValidation>
  </dataValidations>
  <pageMargins left="0.78740157480314965" right="0" top="0.74803149606299213" bottom="0.74803149606299213" header="0.31496062992125984" footer="0.19685039370078741"/>
  <pageSetup paperSize="5" orientation="landscape" r:id="rId1"/>
  <headerFooter>
    <oddFooter>&amp;L&amp;9ADSI - &amp;A&amp;C&amp;9&amp;D &amp;T&amp;R&amp;9Page &amp;P of &amp;N</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A532"/>
  <sheetViews>
    <sheetView showGridLines="0" workbookViewId="0">
      <pane xSplit="3" ySplit="7" topLeftCell="D8" activePane="bottomRight" state="frozen"/>
      <selection activeCell="D9" sqref="D9"/>
      <selection pane="topRight" activeCell="D9" sqref="D9"/>
      <selection pane="bottomLeft" activeCell="D9" sqref="D9"/>
      <selection pane="bottomRight" activeCell="D8" sqref="D8"/>
    </sheetView>
  </sheetViews>
  <sheetFormatPr defaultRowHeight="15" x14ac:dyDescent="0.25"/>
  <cols>
    <col min="1" max="2" width="6.7109375" style="2" customWidth="1"/>
    <col min="3" max="3" width="46.5703125" style="2" bestFit="1" customWidth="1"/>
    <col min="4" max="9" width="12.7109375" style="2" customWidth="1"/>
    <col min="10" max="10" width="15.7109375" style="2" customWidth="1"/>
    <col min="11" max="16" width="12.7109375" style="2" customWidth="1"/>
    <col min="17" max="17" width="15.7109375" style="2" customWidth="1"/>
    <col min="18" max="23" width="12.7109375" style="2" customWidth="1"/>
    <col min="24" max="25" width="15.7109375" style="2" customWidth="1"/>
    <col min="26" max="26" width="8.7109375" style="2" customWidth="1"/>
    <col min="27" max="52" width="9.140625" style="2"/>
    <col min="53" max="53" width="3.7109375" style="2" customWidth="1"/>
    <col min="54" max="54" width="15.85546875" style="2" customWidth="1"/>
    <col min="55" max="76" width="6.85546875" style="2" customWidth="1"/>
    <col min="77" max="16384" width="9.140625" style="2"/>
  </cols>
  <sheetData>
    <row r="1" spans="1:26" ht="15.75" x14ac:dyDescent="0.25">
      <c r="A1" s="285" t="str">
        <f>ADSI!$B$1</f>
        <v>Goa, , ADSI-2021</v>
      </c>
    </row>
    <row r="2" spans="1:26" ht="15.75" x14ac:dyDescent="0.25">
      <c r="A2" s="296" t="s">
        <v>112</v>
      </c>
      <c r="C2" s="71"/>
      <c r="D2" s="71"/>
      <c r="E2" s="465" t="s">
        <v>1570</v>
      </c>
      <c r="F2" s="464">
        <f>COUNTIF(D39:Y42,"ABVAR")</f>
        <v>15</v>
      </c>
      <c r="G2" s="71"/>
      <c r="H2" s="71"/>
      <c r="I2" s="71"/>
      <c r="J2" s="71"/>
      <c r="K2" s="71"/>
      <c r="L2" s="71"/>
      <c r="M2" s="35"/>
      <c r="O2" s="71"/>
      <c r="P2" s="71"/>
      <c r="Q2" s="71"/>
      <c r="R2" s="71"/>
      <c r="S2" s="71"/>
      <c r="T2" s="71"/>
      <c r="U2" s="71"/>
      <c r="V2" s="71"/>
      <c r="W2" s="71"/>
      <c r="X2" s="71"/>
      <c r="Y2" s="71"/>
    </row>
    <row r="3" spans="1:26" ht="15.75" x14ac:dyDescent="0.25">
      <c r="A3" s="296" t="s">
        <v>113</v>
      </c>
      <c r="C3" s="71"/>
      <c r="D3" s="71"/>
      <c r="E3" s="71"/>
      <c r="F3" s="71"/>
      <c r="G3" s="71"/>
      <c r="H3" s="71"/>
      <c r="I3" s="71"/>
      <c r="J3" s="71"/>
      <c r="K3" s="71"/>
      <c r="L3" s="71"/>
      <c r="O3" s="71"/>
      <c r="P3" s="71"/>
      <c r="Q3" s="71"/>
      <c r="R3" s="71"/>
      <c r="S3" s="71"/>
      <c r="T3" s="71"/>
      <c r="U3" s="71"/>
      <c r="V3" s="71"/>
      <c r="W3" s="71"/>
      <c r="X3" s="71"/>
      <c r="Y3" s="71"/>
    </row>
    <row r="4" spans="1:26" ht="20.100000000000001" customHeight="1" x14ac:dyDescent="0.25">
      <c r="A4" s="725" t="s">
        <v>249</v>
      </c>
      <c r="B4" s="725" t="s">
        <v>0</v>
      </c>
      <c r="C4" s="728" t="s">
        <v>34</v>
      </c>
      <c r="D4" s="641" t="s">
        <v>139</v>
      </c>
      <c r="E4" s="642"/>
      <c r="F4" s="642"/>
      <c r="G4" s="642"/>
      <c r="H4" s="642"/>
      <c r="I4" s="642"/>
      <c r="J4" s="642"/>
      <c r="K4" s="642"/>
      <c r="L4" s="642"/>
      <c r="M4" s="642"/>
      <c r="N4" s="642"/>
      <c r="O4" s="642"/>
      <c r="P4" s="642"/>
      <c r="Q4" s="642"/>
      <c r="R4" s="642"/>
      <c r="S4" s="642"/>
      <c r="T4" s="642"/>
      <c r="U4" s="642"/>
      <c r="V4" s="642"/>
      <c r="W4" s="642"/>
      <c r="X4" s="643"/>
      <c r="Y4" s="698" t="s">
        <v>281</v>
      </c>
    </row>
    <row r="5" spans="1:26" ht="20.100000000000001" customHeight="1" x14ac:dyDescent="0.25">
      <c r="A5" s="726"/>
      <c r="B5" s="726"/>
      <c r="C5" s="729"/>
      <c r="D5" s="646" t="s">
        <v>38</v>
      </c>
      <c r="E5" s="646"/>
      <c r="F5" s="646"/>
      <c r="G5" s="646"/>
      <c r="H5" s="646"/>
      <c r="I5" s="646"/>
      <c r="J5" s="646"/>
      <c r="K5" s="698" t="s">
        <v>39</v>
      </c>
      <c r="L5" s="698"/>
      <c r="M5" s="698"/>
      <c r="N5" s="698"/>
      <c r="O5" s="698"/>
      <c r="P5" s="698"/>
      <c r="Q5" s="698"/>
      <c r="R5" s="641" t="s">
        <v>240</v>
      </c>
      <c r="S5" s="642"/>
      <c r="T5" s="642"/>
      <c r="U5" s="642"/>
      <c r="V5" s="642"/>
      <c r="W5" s="642"/>
      <c r="X5" s="643"/>
      <c r="Y5" s="698"/>
    </row>
    <row r="6" spans="1:26" ht="45" x14ac:dyDescent="0.25">
      <c r="A6" s="727"/>
      <c r="B6" s="727"/>
      <c r="C6" s="730"/>
      <c r="D6" s="68" t="s">
        <v>169</v>
      </c>
      <c r="E6" s="68" t="s">
        <v>31</v>
      </c>
      <c r="F6" s="68" t="s">
        <v>171</v>
      </c>
      <c r="G6" s="68" t="s">
        <v>15</v>
      </c>
      <c r="H6" s="68" t="s">
        <v>178</v>
      </c>
      <c r="I6" s="68" t="s">
        <v>16</v>
      </c>
      <c r="J6" s="68" t="s">
        <v>198</v>
      </c>
      <c r="K6" s="225" t="s">
        <v>169</v>
      </c>
      <c r="L6" s="225" t="s">
        <v>31</v>
      </c>
      <c r="M6" s="225" t="s">
        <v>171</v>
      </c>
      <c r="N6" s="225" t="s">
        <v>15</v>
      </c>
      <c r="O6" s="225" t="s">
        <v>178</v>
      </c>
      <c r="P6" s="225" t="s">
        <v>16</v>
      </c>
      <c r="Q6" s="225" t="s">
        <v>203</v>
      </c>
      <c r="R6" s="68" t="s">
        <v>169</v>
      </c>
      <c r="S6" s="68" t="s">
        <v>31</v>
      </c>
      <c r="T6" s="68" t="s">
        <v>171</v>
      </c>
      <c r="U6" s="68" t="s">
        <v>15</v>
      </c>
      <c r="V6" s="68" t="s">
        <v>178</v>
      </c>
      <c r="W6" s="68" t="s">
        <v>16</v>
      </c>
      <c r="X6" s="68" t="s">
        <v>245</v>
      </c>
      <c r="Y6" s="698"/>
    </row>
    <row r="7" spans="1:26" ht="20.100000000000001" customHeight="1" x14ac:dyDescent="0.25">
      <c r="A7" s="8"/>
      <c r="B7" s="8" t="s">
        <v>181</v>
      </c>
      <c r="C7" s="219" t="s">
        <v>182</v>
      </c>
      <c r="D7" s="8" t="s">
        <v>183</v>
      </c>
      <c r="E7" s="9" t="s">
        <v>184</v>
      </c>
      <c r="F7" s="9" t="s">
        <v>185</v>
      </c>
      <c r="G7" s="9" t="s">
        <v>186</v>
      </c>
      <c r="H7" s="8" t="s">
        <v>187</v>
      </c>
      <c r="I7" s="8" t="s">
        <v>188</v>
      </c>
      <c r="J7" s="8" t="s">
        <v>189</v>
      </c>
      <c r="K7" s="219" t="s">
        <v>190</v>
      </c>
      <c r="L7" s="219" t="s">
        <v>191</v>
      </c>
      <c r="M7" s="219" t="s">
        <v>192</v>
      </c>
      <c r="N7" s="219" t="s">
        <v>193</v>
      </c>
      <c r="O7" s="219" t="s">
        <v>194</v>
      </c>
      <c r="P7" s="219" t="s">
        <v>195</v>
      </c>
      <c r="Q7" s="219" t="s">
        <v>196</v>
      </c>
      <c r="R7" s="8" t="s">
        <v>197</v>
      </c>
      <c r="S7" s="8" t="s">
        <v>204</v>
      </c>
      <c r="T7" s="8" t="s">
        <v>205</v>
      </c>
      <c r="U7" s="8" t="s">
        <v>206</v>
      </c>
      <c r="V7" s="8" t="s">
        <v>207</v>
      </c>
      <c r="W7" s="8" t="s">
        <v>208</v>
      </c>
      <c r="X7" s="8" t="s">
        <v>209</v>
      </c>
      <c r="Y7" s="219" t="s">
        <v>210</v>
      </c>
    </row>
    <row r="8" spans="1:26" ht="20.100000000000001" customHeight="1" x14ac:dyDescent="0.25">
      <c r="A8" s="72">
        <v>725</v>
      </c>
      <c r="B8" s="118">
        <v>1</v>
      </c>
      <c r="C8" s="69" t="s">
        <v>282</v>
      </c>
      <c r="D8" s="234">
        <v>0</v>
      </c>
      <c r="E8" s="234">
        <v>0</v>
      </c>
      <c r="F8" s="234">
        <v>2</v>
      </c>
      <c r="G8" s="234">
        <v>3</v>
      </c>
      <c r="H8" s="234">
        <v>3</v>
      </c>
      <c r="I8" s="234">
        <v>0</v>
      </c>
      <c r="J8" s="458">
        <f t="shared" ref="J8:J38" si="0">SUM(D8:I8)</f>
        <v>8</v>
      </c>
      <c r="K8" s="234">
        <v>0</v>
      </c>
      <c r="L8" s="234">
        <v>0</v>
      </c>
      <c r="M8" s="234">
        <v>0</v>
      </c>
      <c r="N8" s="234">
        <v>1</v>
      </c>
      <c r="O8" s="234">
        <v>0</v>
      </c>
      <c r="P8" s="234">
        <v>0</v>
      </c>
      <c r="Q8" s="458">
        <f t="shared" ref="Q8:Q38" si="1">SUM(K8:P8)</f>
        <v>1</v>
      </c>
      <c r="R8" s="251">
        <v>0</v>
      </c>
      <c r="S8" s="251">
        <v>0</v>
      </c>
      <c r="T8" s="251">
        <v>0</v>
      </c>
      <c r="U8" s="251">
        <v>0</v>
      </c>
      <c r="V8" s="251">
        <v>0</v>
      </c>
      <c r="W8" s="251">
        <v>0</v>
      </c>
      <c r="X8" s="458">
        <f t="shared" ref="X8:X38" si="2">SUM(R8:W8)</f>
        <v>0</v>
      </c>
      <c r="Y8" s="458">
        <f t="shared" ref="Y8:Y38" si="3">SUM(J8+Q8+X8)</f>
        <v>9</v>
      </c>
      <c r="Z8" s="336"/>
    </row>
    <row r="9" spans="1:26" ht="20.100000000000001" customHeight="1" x14ac:dyDescent="0.25">
      <c r="A9" s="70">
        <v>726</v>
      </c>
      <c r="B9" s="118">
        <v>2</v>
      </c>
      <c r="C9" s="459" t="s">
        <v>1504</v>
      </c>
      <c r="D9" s="457">
        <f t="shared" ref="D9:I9" si="4">SUM(D10:D14)</f>
        <v>0</v>
      </c>
      <c r="E9" s="457">
        <f t="shared" si="4"/>
        <v>0</v>
      </c>
      <c r="F9" s="457">
        <f t="shared" si="4"/>
        <v>2</v>
      </c>
      <c r="G9" s="457">
        <f t="shared" si="4"/>
        <v>0</v>
      </c>
      <c r="H9" s="457">
        <f t="shared" si="4"/>
        <v>1</v>
      </c>
      <c r="I9" s="457">
        <f t="shared" si="4"/>
        <v>0</v>
      </c>
      <c r="J9" s="458">
        <f t="shared" si="0"/>
        <v>3</v>
      </c>
      <c r="K9" s="457">
        <f t="shared" ref="K9:P9" si="5">SUM(K10:K14)</f>
        <v>0</v>
      </c>
      <c r="L9" s="457">
        <f t="shared" si="5"/>
        <v>0</v>
      </c>
      <c r="M9" s="457">
        <f t="shared" si="5"/>
        <v>1</v>
      </c>
      <c r="N9" s="457">
        <f t="shared" si="5"/>
        <v>0</v>
      </c>
      <c r="O9" s="457">
        <f t="shared" si="5"/>
        <v>0</v>
      </c>
      <c r="P9" s="457">
        <f t="shared" si="5"/>
        <v>0</v>
      </c>
      <c r="Q9" s="458">
        <f t="shared" si="1"/>
        <v>1</v>
      </c>
      <c r="R9" s="457">
        <f t="shared" ref="R9:W9" si="6">SUM(R10:R14)</f>
        <v>0</v>
      </c>
      <c r="S9" s="457">
        <f t="shared" si="6"/>
        <v>0</v>
      </c>
      <c r="T9" s="457">
        <f t="shared" si="6"/>
        <v>0</v>
      </c>
      <c r="U9" s="457">
        <f t="shared" si="6"/>
        <v>0</v>
      </c>
      <c r="V9" s="457">
        <f t="shared" si="6"/>
        <v>0</v>
      </c>
      <c r="W9" s="457">
        <f t="shared" si="6"/>
        <v>0</v>
      </c>
      <c r="X9" s="458">
        <f t="shared" si="2"/>
        <v>0</v>
      </c>
      <c r="Y9" s="458">
        <f t="shared" si="3"/>
        <v>4</v>
      </c>
      <c r="Z9" s="336"/>
    </row>
    <row r="10" spans="1:26" ht="20.100000000000001" customHeight="1" x14ac:dyDescent="0.25">
      <c r="A10" s="72">
        <v>727</v>
      </c>
      <c r="B10" s="118"/>
      <c r="C10" s="181" t="s">
        <v>1505</v>
      </c>
      <c r="D10" s="235">
        <v>0</v>
      </c>
      <c r="E10" s="235">
        <v>0</v>
      </c>
      <c r="F10" s="234">
        <v>2</v>
      </c>
      <c r="G10" s="234">
        <v>0</v>
      </c>
      <c r="H10" s="234">
        <v>0</v>
      </c>
      <c r="I10" s="234">
        <v>0</v>
      </c>
      <c r="J10" s="458">
        <f t="shared" si="0"/>
        <v>2</v>
      </c>
      <c r="K10" s="234">
        <v>0</v>
      </c>
      <c r="L10" s="234">
        <v>0</v>
      </c>
      <c r="M10" s="234">
        <v>1</v>
      </c>
      <c r="N10" s="235">
        <v>0</v>
      </c>
      <c r="O10" s="234">
        <v>0</v>
      </c>
      <c r="P10" s="234">
        <v>0</v>
      </c>
      <c r="Q10" s="458">
        <f t="shared" si="1"/>
        <v>1</v>
      </c>
      <c r="R10" s="251">
        <v>0</v>
      </c>
      <c r="S10" s="251">
        <v>0</v>
      </c>
      <c r="T10" s="251">
        <v>0</v>
      </c>
      <c r="U10" s="251">
        <v>0</v>
      </c>
      <c r="V10" s="251">
        <v>0</v>
      </c>
      <c r="W10" s="251">
        <v>0</v>
      </c>
      <c r="X10" s="458">
        <f t="shared" si="2"/>
        <v>0</v>
      </c>
      <c r="Y10" s="458">
        <f t="shared" si="3"/>
        <v>3</v>
      </c>
      <c r="Z10" s="336"/>
    </row>
    <row r="11" spans="1:26" ht="20.100000000000001" customHeight="1" x14ac:dyDescent="0.25">
      <c r="A11" s="118">
        <v>728</v>
      </c>
      <c r="B11" s="118"/>
      <c r="C11" s="181" t="s">
        <v>1506</v>
      </c>
      <c r="D11" s="235">
        <v>0</v>
      </c>
      <c r="E11" s="235">
        <v>0</v>
      </c>
      <c r="F11" s="235">
        <v>0</v>
      </c>
      <c r="G11" s="235">
        <v>0</v>
      </c>
      <c r="H11" s="235">
        <v>0</v>
      </c>
      <c r="I11" s="235">
        <v>0</v>
      </c>
      <c r="J11" s="458">
        <f t="shared" si="0"/>
        <v>0</v>
      </c>
      <c r="K11" s="234">
        <v>0</v>
      </c>
      <c r="L11" s="234">
        <v>0</v>
      </c>
      <c r="M11" s="234">
        <v>0</v>
      </c>
      <c r="N11" s="235">
        <v>0</v>
      </c>
      <c r="O11" s="234">
        <v>0</v>
      </c>
      <c r="P11" s="234">
        <v>0</v>
      </c>
      <c r="Q11" s="458">
        <f t="shared" si="1"/>
        <v>0</v>
      </c>
      <c r="R11" s="251">
        <v>0</v>
      </c>
      <c r="S11" s="251">
        <v>0</v>
      </c>
      <c r="T11" s="251">
        <v>0</v>
      </c>
      <c r="U11" s="251">
        <v>0</v>
      </c>
      <c r="V11" s="251">
        <v>0</v>
      </c>
      <c r="W11" s="251">
        <v>0</v>
      </c>
      <c r="X11" s="458">
        <f t="shared" si="2"/>
        <v>0</v>
      </c>
      <c r="Y11" s="458">
        <f t="shared" si="3"/>
        <v>0</v>
      </c>
      <c r="Z11" s="336"/>
    </row>
    <row r="12" spans="1:26" ht="20.100000000000001" customHeight="1" x14ac:dyDescent="0.25">
      <c r="A12" s="72">
        <v>729</v>
      </c>
      <c r="B12" s="118"/>
      <c r="C12" s="228" t="s">
        <v>1507</v>
      </c>
      <c r="D12" s="234">
        <v>0</v>
      </c>
      <c r="E12" s="234">
        <v>0</v>
      </c>
      <c r="F12" s="234">
        <v>0</v>
      </c>
      <c r="G12" s="234">
        <v>0</v>
      </c>
      <c r="H12" s="234">
        <v>1</v>
      </c>
      <c r="I12" s="234">
        <v>0</v>
      </c>
      <c r="J12" s="458">
        <f t="shared" si="0"/>
        <v>1</v>
      </c>
      <c r="K12" s="234">
        <v>0</v>
      </c>
      <c r="L12" s="234">
        <v>0</v>
      </c>
      <c r="M12" s="234">
        <v>0</v>
      </c>
      <c r="N12" s="234">
        <v>0</v>
      </c>
      <c r="O12" s="234">
        <v>0</v>
      </c>
      <c r="P12" s="234">
        <v>0</v>
      </c>
      <c r="Q12" s="458">
        <f t="shared" si="1"/>
        <v>0</v>
      </c>
      <c r="R12" s="251">
        <v>0</v>
      </c>
      <c r="S12" s="251">
        <v>0</v>
      </c>
      <c r="T12" s="251">
        <v>0</v>
      </c>
      <c r="U12" s="251">
        <v>0</v>
      </c>
      <c r="V12" s="251">
        <v>0</v>
      </c>
      <c r="W12" s="251">
        <v>0</v>
      </c>
      <c r="X12" s="458">
        <f t="shared" si="2"/>
        <v>0</v>
      </c>
      <c r="Y12" s="458">
        <f t="shared" si="3"/>
        <v>1</v>
      </c>
      <c r="Z12" s="336"/>
    </row>
    <row r="13" spans="1:26" ht="20.100000000000001" customHeight="1" x14ac:dyDescent="0.25">
      <c r="A13" s="118">
        <v>730</v>
      </c>
      <c r="B13" s="118"/>
      <c r="C13" s="181" t="s">
        <v>1508</v>
      </c>
      <c r="D13" s="234">
        <v>0</v>
      </c>
      <c r="E13" s="234">
        <v>0</v>
      </c>
      <c r="F13" s="234">
        <v>0</v>
      </c>
      <c r="G13" s="234">
        <v>0</v>
      </c>
      <c r="H13" s="234">
        <v>0</v>
      </c>
      <c r="I13" s="234">
        <v>0</v>
      </c>
      <c r="J13" s="458">
        <f t="shared" si="0"/>
        <v>0</v>
      </c>
      <c r="K13" s="234">
        <v>0</v>
      </c>
      <c r="L13" s="234">
        <v>0</v>
      </c>
      <c r="M13" s="234">
        <v>0</v>
      </c>
      <c r="N13" s="234">
        <v>0</v>
      </c>
      <c r="O13" s="234">
        <v>0</v>
      </c>
      <c r="P13" s="234">
        <v>0</v>
      </c>
      <c r="Q13" s="458">
        <f t="shared" si="1"/>
        <v>0</v>
      </c>
      <c r="R13" s="251">
        <v>0</v>
      </c>
      <c r="S13" s="251">
        <v>0</v>
      </c>
      <c r="T13" s="251">
        <v>0</v>
      </c>
      <c r="U13" s="251">
        <v>0</v>
      </c>
      <c r="V13" s="251">
        <v>0</v>
      </c>
      <c r="W13" s="251">
        <v>0</v>
      </c>
      <c r="X13" s="458">
        <f t="shared" si="2"/>
        <v>0</v>
      </c>
      <c r="Y13" s="458">
        <f t="shared" si="3"/>
        <v>0</v>
      </c>
      <c r="Z13" s="336"/>
    </row>
    <row r="14" spans="1:26" ht="20.100000000000001" customHeight="1" x14ac:dyDescent="0.25">
      <c r="A14" s="72">
        <v>731</v>
      </c>
      <c r="B14" s="118"/>
      <c r="C14" s="181" t="s">
        <v>1509</v>
      </c>
      <c r="D14" s="234">
        <v>0</v>
      </c>
      <c r="E14" s="234">
        <v>0</v>
      </c>
      <c r="F14" s="234">
        <v>0</v>
      </c>
      <c r="G14" s="234">
        <v>0</v>
      </c>
      <c r="H14" s="234">
        <v>0</v>
      </c>
      <c r="I14" s="234">
        <v>0</v>
      </c>
      <c r="J14" s="458">
        <f t="shared" si="0"/>
        <v>0</v>
      </c>
      <c r="K14" s="234">
        <v>0</v>
      </c>
      <c r="L14" s="234">
        <v>0</v>
      </c>
      <c r="M14" s="234">
        <v>0</v>
      </c>
      <c r="N14" s="234">
        <v>0</v>
      </c>
      <c r="O14" s="234">
        <v>0</v>
      </c>
      <c r="P14" s="234">
        <v>0</v>
      </c>
      <c r="Q14" s="458">
        <f t="shared" si="1"/>
        <v>0</v>
      </c>
      <c r="R14" s="251">
        <v>0</v>
      </c>
      <c r="S14" s="251">
        <v>0</v>
      </c>
      <c r="T14" s="251">
        <v>0</v>
      </c>
      <c r="U14" s="251">
        <v>0</v>
      </c>
      <c r="V14" s="251">
        <v>0</v>
      </c>
      <c r="W14" s="251">
        <v>0</v>
      </c>
      <c r="X14" s="458">
        <f t="shared" si="2"/>
        <v>0</v>
      </c>
      <c r="Y14" s="458">
        <f t="shared" si="3"/>
        <v>0</v>
      </c>
      <c r="Z14" s="336"/>
    </row>
    <row r="15" spans="1:26" ht="20.100000000000001" customHeight="1" x14ac:dyDescent="0.25">
      <c r="A15" s="118">
        <v>732</v>
      </c>
      <c r="B15" s="118">
        <v>3</v>
      </c>
      <c r="C15" s="10" t="s">
        <v>115</v>
      </c>
      <c r="D15" s="235">
        <v>0</v>
      </c>
      <c r="E15" s="234">
        <v>0</v>
      </c>
      <c r="F15" s="234">
        <v>1</v>
      </c>
      <c r="G15" s="234">
        <v>0</v>
      </c>
      <c r="H15" s="234">
        <v>0</v>
      </c>
      <c r="I15" s="234">
        <v>0</v>
      </c>
      <c r="J15" s="458">
        <f t="shared" si="0"/>
        <v>1</v>
      </c>
      <c r="K15" s="234">
        <v>0</v>
      </c>
      <c r="L15" s="234">
        <v>1</v>
      </c>
      <c r="M15" s="235">
        <v>0</v>
      </c>
      <c r="N15" s="234">
        <v>0</v>
      </c>
      <c r="O15" s="234">
        <v>0</v>
      </c>
      <c r="P15" s="234">
        <v>0</v>
      </c>
      <c r="Q15" s="458">
        <f t="shared" si="1"/>
        <v>1</v>
      </c>
      <c r="R15" s="251">
        <v>0</v>
      </c>
      <c r="S15" s="251">
        <v>0</v>
      </c>
      <c r="T15" s="251">
        <v>0</v>
      </c>
      <c r="U15" s="251">
        <v>0</v>
      </c>
      <c r="V15" s="251">
        <v>0</v>
      </c>
      <c r="W15" s="251">
        <v>0</v>
      </c>
      <c r="X15" s="458">
        <f t="shared" si="2"/>
        <v>0</v>
      </c>
      <c r="Y15" s="458">
        <f t="shared" si="3"/>
        <v>2</v>
      </c>
      <c r="Z15" s="336"/>
    </row>
    <row r="16" spans="1:26" ht="20.100000000000001" customHeight="1" x14ac:dyDescent="0.25">
      <c r="A16" s="72">
        <v>733</v>
      </c>
      <c r="B16" s="118">
        <v>4</v>
      </c>
      <c r="C16" s="10" t="s">
        <v>116</v>
      </c>
      <c r="D16" s="234">
        <v>0</v>
      </c>
      <c r="E16" s="234">
        <v>0</v>
      </c>
      <c r="F16" s="234">
        <v>0</v>
      </c>
      <c r="G16" s="234">
        <v>0</v>
      </c>
      <c r="H16" s="234">
        <v>0</v>
      </c>
      <c r="I16" s="234">
        <v>0</v>
      </c>
      <c r="J16" s="458">
        <f t="shared" si="0"/>
        <v>0</v>
      </c>
      <c r="K16" s="234">
        <v>0</v>
      </c>
      <c r="L16" s="234">
        <v>0</v>
      </c>
      <c r="M16" s="234">
        <v>0</v>
      </c>
      <c r="N16" s="234">
        <v>0</v>
      </c>
      <c r="O16" s="234">
        <v>0</v>
      </c>
      <c r="P16" s="234">
        <v>0</v>
      </c>
      <c r="Q16" s="458">
        <f t="shared" si="1"/>
        <v>0</v>
      </c>
      <c r="R16" s="251">
        <v>0</v>
      </c>
      <c r="S16" s="251">
        <v>0</v>
      </c>
      <c r="T16" s="251">
        <v>0</v>
      </c>
      <c r="U16" s="251">
        <v>0</v>
      </c>
      <c r="V16" s="251">
        <v>0</v>
      </c>
      <c r="W16" s="251">
        <v>0</v>
      </c>
      <c r="X16" s="458">
        <f t="shared" si="2"/>
        <v>0</v>
      </c>
      <c r="Y16" s="458">
        <f t="shared" si="3"/>
        <v>0</v>
      </c>
      <c r="Z16" s="336"/>
    </row>
    <row r="17" spans="1:26" ht="20.100000000000001" customHeight="1" x14ac:dyDescent="0.25">
      <c r="A17" s="118">
        <v>734</v>
      </c>
      <c r="B17" s="118">
        <v>5</v>
      </c>
      <c r="C17" s="524" t="s">
        <v>127</v>
      </c>
      <c r="D17" s="234">
        <v>0</v>
      </c>
      <c r="E17" s="234">
        <v>3</v>
      </c>
      <c r="F17" s="234">
        <v>22</v>
      </c>
      <c r="G17" s="234">
        <v>21</v>
      </c>
      <c r="H17" s="234">
        <v>27</v>
      </c>
      <c r="I17" s="234">
        <v>5</v>
      </c>
      <c r="J17" s="458">
        <f t="shared" si="0"/>
        <v>78</v>
      </c>
      <c r="K17" s="234">
        <v>0</v>
      </c>
      <c r="L17" s="234">
        <v>1</v>
      </c>
      <c r="M17" s="234">
        <v>5</v>
      </c>
      <c r="N17" s="234">
        <v>6</v>
      </c>
      <c r="O17" s="234">
        <v>6</v>
      </c>
      <c r="P17" s="234">
        <v>7</v>
      </c>
      <c r="Q17" s="458">
        <f t="shared" si="1"/>
        <v>25</v>
      </c>
      <c r="R17" s="251">
        <v>0</v>
      </c>
      <c r="S17" s="251">
        <v>0</v>
      </c>
      <c r="T17" s="251">
        <v>0</v>
      </c>
      <c r="U17" s="251">
        <v>0</v>
      </c>
      <c r="V17" s="251">
        <v>0</v>
      </c>
      <c r="W17" s="251">
        <v>0</v>
      </c>
      <c r="X17" s="458">
        <f t="shared" si="2"/>
        <v>0</v>
      </c>
      <c r="Y17" s="458">
        <f t="shared" si="3"/>
        <v>103</v>
      </c>
      <c r="Z17" s="336"/>
    </row>
    <row r="18" spans="1:26" ht="20.100000000000001" customHeight="1" x14ac:dyDescent="0.25">
      <c r="A18" s="72">
        <v>735</v>
      </c>
      <c r="B18" s="118">
        <v>6</v>
      </c>
      <c r="C18" s="434" t="s">
        <v>1510</v>
      </c>
      <c r="D18" s="457">
        <f t="shared" ref="D18:I18" si="7">SUM(D19:D23)</f>
        <v>0</v>
      </c>
      <c r="E18" s="457">
        <f t="shared" si="7"/>
        <v>0</v>
      </c>
      <c r="F18" s="457">
        <f t="shared" si="7"/>
        <v>9</v>
      </c>
      <c r="G18" s="457">
        <f t="shared" si="7"/>
        <v>10</v>
      </c>
      <c r="H18" s="457">
        <f t="shared" si="7"/>
        <v>23</v>
      </c>
      <c r="I18" s="457">
        <f t="shared" si="7"/>
        <v>10</v>
      </c>
      <c r="J18" s="458">
        <f t="shared" si="0"/>
        <v>52</v>
      </c>
      <c r="K18" s="457">
        <f t="shared" ref="K18:P18" si="8">SUM(K19:K23)</f>
        <v>0</v>
      </c>
      <c r="L18" s="457">
        <f t="shared" si="8"/>
        <v>0</v>
      </c>
      <c r="M18" s="457">
        <f t="shared" si="8"/>
        <v>4</v>
      </c>
      <c r="N18" s="457">
        <f t="shared" si="8"/>
        <v>8</v>
      </c>
      <c r="O18" s="457">
        <f t="shared" si="8"/>
        <v>3</v>
      </c>
      <c r="P18" s="457">
        <f t="shared" si="8"/>
        <v>6</v>
      </c>
      <c r="Q18" s="458">
        <f t="shared" si="1"/>
        <v>21</v>
      </c>
      <c r="R18" s="457">
        <f t="shared" ref="R18:W18" si="9">SUM(R19:R23)</f>
        <v>0</v>
      </c>
      <c r="S18" s="457">
        <f t="shared" si="9"/>
        <v>0</v>
      </c>
      <c r="T18" s="457">
        <f t="shared" si="9"/>
        <v>0</v>
      </c>
      <c r="U18" s="457">
        <f t="shared" si="9"/>
        <v>0</v>
      </c>
      <c r="V18" s="457">
        <f t="shared" si="9"/>
        <v>0</v>
      </c>
      <c r="W18" s="457">
        <f t="shared" si="9"/>
        <v>0</v>
      </c>
      <c r="X18" s="458">
        <f t="shared" si="2"/>
        <v>0</v>
      </c>
      <c r="Y18" s="458">
        <f t="shared" si="3"/>
        <v>73</v>
      </c>
      <c r="Z18" s="336"/>
    </row>
    <row r="19" spans="1:26" ht="20.100000000000001" customHeight="1" x14ac:dyDescent="0.25">
      <c r="A19" s="118">
        <v>736</v>
      </c>
      <c r="B19" s="118"/>
      <c r="C19" s="181" t="s">
        <v>1511</v>
      </c>
      <c r="D19" s="234">
        <v>0</v>
      </c>
      <c r="E19" s="234">
        <v>0</v>
      </c>
      <c r="F19" s="234">
        <v>0</v>
      </c>
      <c r="G19" s="234">
        <v>0</v>
      </c>
      <c r="H19" s="234">
        <v>1</v>
      </c>
      <c r="I19" s="234">
        <v>0</v>
      </c>
      <c r="J19" s="458">
        <f t="shared" si="0"/>
        <v>1</v>
      </c>
      <c r="K19" s="234">
        <v>0</v>
      </c>
      <c r="L19" s="234">
        <v>0</v>
      </c>
      <c r="M19" s="234">
        <v>0</v>
      </c>
      <c r="N19" s="234">
        <v>0</v>
      </c>
      <c r="O19" s="234">
        <v>0</v>
      </c>
      <c r="P19" s="234">
        <v>0</v>
      </c>
      <c r="Q19" s="458">
        <f t="shared" si="1"/>
        <v>0</v>
      </c>
      <c r="R19" s="251">
        <v>0</v>
      </c>
      <c r="S19" s="251">
        <v>0</v>
      </c>
      <c r="T19" s="251">
        <v>0</v>
      </c>
      <c r="U19" s="251">
        <v>0</v>
      </c>
      <c r="V19" s="251">
        <v>0</v>
      </c>
      <c r="W19" s="251">
        <v>0</v>
      </c>
      <c r="X19" s="458">
        <f t="shared" si="2"/>
        <v>0</v>
      </c>
      <c r="Y19" s="458">
        <f t="shared" si="3"/>
        <v>1</v>
      </c>
      <c r="Z19" s="336"/>
    </row>
    <row r="20" spans="1:26" ht="20.100000000000001" customHeight="1" x14ac:dyDescent="0.25">
      <c r="A20" s="72">
        <v>737</v>
      </c>
      <c r="B20" s="118"/>
      <c r="C20" s="181" t="s">
        <v>1512</v>
      </c>
      <c r="D20" s="234">
        <v>0</v>
      </c>
      <c r="E20" s="234">
        <v>0</v>
      </c>
      <c r="F20" s="234">
        <v>0</v>
      </c>
      <c r="G20" s="234">
        <v>1</v>
      </c>
      <c r="H20" s="234">
        <v>2</v>
      </c>
      <c r="I20" s="234">
        <v>1</v>
      </c>
      <c r="J20" s="458">
        <f t="shared" si="0"/>
        <v>4</v>
      </c>
      <c r="K20" s="234">
        <v>0</v>
      </c>
      <c r="L20" s="234">
        <v>0</v>
      </c>
      <c r="M20" s="234">
        <v>0</v>
      </c>
      <c r="N20" s="234">
        <v>0</v>
      </c>
      <c r="O20" s="234">
        <v>0</v>
      </c>
      <c r="P20" s="234">
        <v>0</v>
      </c>
      <c r="Q20" s="458">
        <f t="shared" si="1"/>
        <v>0</v>
      </c>
      <c r="R20" s="251">
        <v>0</v>
      </c>
      <c r="S20" s="251">
        <v>0</v>
      </c>
      <c r="T20" s="251">
        <v>0</v>
      </c>
      <c r="U20" s="251">
        <v>0</v>
      </c>
      <c r="V20" s="251">
        <v>0</v>
      </c>
      <c r="W20" s="251">
        <v>0</v>
      </c>
      <c r="X20" s="458">
        <f t="shared" si="2"/>
        <v>0</v>
      </c>
      <c r="Y20" s="458">
        <f t="shared" si="3"/>
        <v>4</v>
      </c>
      <c r="Z20" s="336"/>
    </row>
    <row r="21" spans="1:26" ht="20.100000000000001" customHeight="1" x14ac:dyDescent="0.25">
      <c r="A21" s="118">
        <v>738</v>
      </c>
      <c r="B21" s="118"/>
      <c r="C21" s="181" t="s">
        <v>1513</v>
      </c>
      <c r="D21" s="234">
        <v>0</v>
      </c>
      <c r="E21" s="234">
        <v>0</v>
      </c>
      <c r="F21" s="234">
        <v>0</v>
      </c>
      <c r="G21" s="234">
        <v>0</v>
      </c>
      <c r="H21" s="234">
        <v>1</v>
      </c>
      <c r="I21" s="234">
        <v>0</v>
      </c>
      <c r="J21" s="458">
        <f t="shared" si="0"/>
        <v>1</v>
      </c>
      <c r="K21" s="234">
        <v>0</v>
      </c>
      <c r="L21" s="234">
        <v>0</v>
      </c>
      <c r="M21" s="234">
        <v>0</v>
      </c>
      <c r="N21" s="234">
        <v>0</v>
      </c>
      <c r="O21" s="234">
        <v>0</v>
      </c>
      <c r="P21" s="234">
        <v>0</v>
      </c>
      <c r="Q21" s="458">
        <f t="shared" si="1"/>
        <v>0</v>
      </c>
      <c r="R21" s="251">
        <v>0</v>
      </c>
      <c r="S21" s="251">
        <v>0</v>
      </c>
      <c r="T21" s="251">
        <v>0</v>
      </c>
      <c r="U21" s="251">
        <v>0</v>
      </c>
      <c r="V21" s="251">
        <v>0</v>
      </c>
      <c r="W21" s="251">
        <v>0</v>
      </c>
      <c r="X21" s="458">
        <f t="shared" si="2"/>
        <v>0</v>
      </c>
      <c r="Y21" s="458">
        <f t="shared" si="3"/>
        <v>1</v>
      </c>
      <c r="Z21" s="336"/>
    </row>
    <row r="22" spans="1:26" ht="20.100000000000001" customHeight="1" x14ac:dyDescent="0.25">
      <c r="A22" s="72">
        <v>739</v>
      </c>
      <c r="B22" s="118"/>
      <c r="C22" s="181" t="s">
        <v>1514</v>
      </c>
      <c r="D22" s="234">
        <v>0</v>
      </c>
      <c r="E22" s="234">
        <v>0</v>
      </c>
      <c r="F22" s="234">
        <v>9</v>
      </c>
      <c r="G22" s="234">
        <v>8</v>
      </c>
      <c r="H22" s="234">
        <v>11</v>
      </c>
      <c r="I22" s="234">
        <v>5</v>
      </c>
      <c r="J22" s="458">
        <f t="shared" si="0"/>
        <v>33</v>
      </c>
      <c r="K22" s="234">
        <v>0</v>
      </c>
      <c r="L22" s="234">
        <v>0</v>
      </c>
      <c r="M22" s="234">
        <v>2</v>
      </c>
      <c r="N22" s="234">
        <v>6</v>
      </c>
      <c r="O22" s="234">
        <v>3</v>
      </c>
      <c r="P22" s="234">
        <v>3</v>
      </c>
      <c r="Q22" s="458">
        <f t="shared" si="1"/>
        <v>14</v>
      </c>
      <c r="R22" s="251">
        <v>0</v>
      </c>
      <c r="S22" s="251">
        <v>0</v>
      </c>
      <c r="T22" s="251">
        <v>0</v>
      </c>
      <c r="U22" s="251">
        <v>0</v>
      </c>
      <c r="V22" s="251">
        <v>0</v>
      </c>
      <c r="W22" s="251">
        <v>0</v>
      </c>
      <c r="X22" s="458">
        <f t="shared" si="2"/>
        <v>0</v>
      </c>
      <c r="Y22" s="458">
        <f t="shared" si="3"/>
        <v>47</v>
      </c>
      <c r="Z22" s="336"/>
    </row>
    <row r="23" spans="1:26" ht="20.100000000000001" customHeight="1" x14ac:dyDescent="0.25">
      <c r="A23" s="118">
        <v>740</v>
      </c>
      <c r="B23" s="118"/>
      <c r="C23" s="181" t="s">
        <v>1515</v>
      </c>
      <c r="D23" s="234">
        <v>0</v>
      </c>
      <c r="E23" s="234">
        <v>0</v>
      </c>
      <c r="F23" s="234">
        <v>0</v>
      </c>
      <c r="G23" s="234">
        <v>1</v>
      </c>
      <c r="H23" s="234">
        <v>8</v>
      </c>
      <c r="I23" s="234">
        <v>4</v>
      </c>
      <c r="J23" s="458">
        <f t="shared" si="0"/>
        <v>13</v>
      </c>
      <c r="K23" s="234">
        <v>0</v>
      </c>
      <c r="L23" s="234">
        <v>0</v>
      </c>
      <c r="M23" s="234">
        <v>2</v>
      </c>
      <c r="N23" s="234">
        <v>2</v>
      </c>
      <c r="O23" s="234">
        <v>0</v>
      </c>
      <c r="P23" s="234">
        <v>3</v>
      </c>
      <c r="Q23" s="458">
        <f t="shared" si="1"/>
        <v>7</v>
      </c>
      <c r="R23" s="251">
        <v>0</v>
      </c>
      <c r="S23" s="251">
        <v>0</v>
      </c>
      <c r="T23" s="251">
        <v>0</v>
      </c>
      <c r="U23" s="251">
        <v>0</v>
      </c>
      <c r="V23" s="251">
        <v>0</v>
      </c>
      <c r="W23" s="251">
        <v>0</v>
      </c>
      <c r="X23" s="458">
        <f t="shared" si="2"/>
        <v>0</v>
      </c>
      <c r="Y23" s="458">
        <f t="shared" si="3"/>
        <v>20</v>
      </c>
      <c r="Z23" s="336"/>
    </row>
    <row r="24" spans="1:26" ht="20.100000000000001" customHeight="1" x14ac:dyDescent="0.25">
      <c r="A24" s="72">
        <v>741</v>
      </c>
      <c r="B24" s="118">
        <v>7</v>
      </c>
      <c r="C24" s="13" t="s">
        <v>117</v>
      </c>
      <c r="D24" s="265">
        <v>0</v>
      </c>
      <c r="E24" s="265">
        <v>0</v>
      </c>
      <c r="F24" s="265">
        <v>1</v>
      </c>
      <c r="G24" s="265">
        <v>1</v>
      </c>
      <c r="H24" s="265">
        <v>2</v>
      </c>
      <c r="I24" s="265">
        <v>0</v>
      </c>
      <c r="J24" s="458">
        <f t="shared" si="0"/>
        <v>4</v>
      </c>
      <c r="K24" s="265">
        <v>0</v>
      </c>
      <c r="L24" s="265">
        <v>0</v>
      </c>
      <c r="M24" s="265">
        <v>0</v>
      </c>
      <c r="N24" s="265">
        <v>1</v>
      </c>
      <c r="O24" s="265">
        <v>0</v>
      </c>
      <c r="P24" s="265">
        <v>1</v>
      </c>
      <c r="Q24" s="458">
        <f t="shared" si="1"/>
        <v>2</v>
      </c>
      <c r="R24" s="251">
        <v>0</v>
      </c>
      <c r="S24" s="251">
        <v>0</v>
      </c>
      <c r="T24" s="251">
        <v>0</v>
      </c>
      <c r="U24" s="251">
        <v>0</v>
      </c>
      <c r="V24" s="251">
        <v>0</v>
      </c>
      <c r="W24" s="251">
        <v>0</v>
      </c>
      <c r="X24" s="458">
        <f t="shared" si="2"/>
        <v>0</v>
      </c>
      <c r="Y24" s="458">
        <f t="shared" si="3"/>
        <v>6</v>
      </c>
      <c r="Z24" s="336"/>
    </row>
    <row r="25" spans="1:26" ht="20.100000000000001" customHeight="1" x14ac:dyDescent="0.25">
      <c r="A25" s="118">
        <v>742</v>
      </c>
      <c r="B25" s="118">
        <v>8</v>
      </c>
      <c r="C25" s="12" t="s">
        <v>128</v>
      </c>
      <c r="D25" s="265">
        <v>0</v>
      </c>
      <c r="E25" s="265">
        <v>0</v>
      </c>
      <c r="F25" s="265">
        <v>2</v>
      </c>
      <c r="G25" s="265">
        <v>20</v>
      </c>
      <c r="H25" s="265">
        <v>12</v>
      </c>
      <c r="I25" s="265">
        <v>0</v>
      </c>
      <c r="J25" s="458">
        <f t="shared" si="0"/>
        <v>34</v>
      </c>
      <c r="K25" s="265">
        <v>0</v>
      </c>
      <c r="L25" s="265">
        <v>0</v>
      </c>
      <c r="M25" s="265">
        <v>0</v>
      </c>
      <c r="N25" s="265">
        <v>1</v>
      </c>
      <c r="O25" s="265">
        <v>0</v>
      </c>
      <c r="P25" s="265">
        <v>0</v>
      </c>
      <c r="Q25" s="458">
        <f t="shared" si="1"/>
        <v>1</v>
      </c>
      <c r="R25" s="251">
        <v>0</v>
      </c>
      <c r="S25" s="251">
        <v>0</v>
      </c>
      <c r="T25" s="251">
        <v>0</v>
      </c>
      <c r="U25" s="251">
        <v>0</v>
      </c>
      <c r="V25" s="251">
        <v>0</v>
      </c>
      <c r="W25" s="251">
        <v>0</v>
      </c>
      <c r="X25" s="458">
        <f t="shared" si="2"/>
        <v>0</v>
      </c>
      <c r="Y25" s="458">
        <f t="shared" si="3"/>
        <v>35</v>
      </c>
      <c r="Z25" s="336"/>
    </row>
    <row r="26" spans="1:26" ht="20.100000000000001" customHeight="1" x14ac:dyDescent="0.25">
      <c r="A26" s="72">
        <v>743</v>
      </c>
      <c r="B26" s="118">
        <v>9</v>
      </c>
      <c r="C26" s="10" t="s">
        <v>118</v>
      </c>
      <c r="D26" s="265">
        <v>0</v>
      </c>
      <c r="E26" s="265">
        <v>0</v>
      </c>
      <c r="F26" s="265">
        <v>0</v>
      </c>
      <c r="G26" s="265">
        <v>0</v>
      </c>
      <c r="H26" s="265">
        <v>0</v>
      </c>
      <c r="I26" s="265">
        <v>0</v>
      </c>
      <c r="J26" s="458">
        <f t="shared" si="0"/>
        <v>0</v>
      </c>
      <c r="K26" s="265">
        <v>0</v>
      </c>
      <c r="L26" s="265">
        <v>0</v>
      </c>
      <c r="M26" s="265">
        <v>0</v>
      </c>
      <c r="N26" s="265">
        <v>0</v>
      </c>
      <c r="O26" s="265">
        <v>0</v>
      </c>
      <c r="P26" s="265">
        <v>0</v>
      </c>
      <c r="Q26" s="458">
        <f t="shared" si="1"/>
        <v>0</v>
      </c>
      <c r="R26" s="251">
        <v>0</v>
      </c>
      <c r="S26" s="251">
        <v>0</v>
      </c>
      <c r="T26" s="251">
        <v>0</v>
      </c>
      <c r="U26" s="251">
        <v>0</v>
      </c>
      <c r="V26" s="251">
        <v>0</v>
      </c>
      <c r="W26" s="251">
        <v>0</v>
      </c>
      <c r="X26" s="458">
        <f t="shared" si="2"/>
        <v>0</v>
      </c>
      <c r="Y26" s="458">
        <f t="shared" si="3"/>
        <v>0</v>
      </c>
      <c r="Z26" s="336"/>
    </row>
    <row r="27" spans="1:26" ht="20.100000000000001" customHeight="1" x14ac:dyDescent="0.25">
      <c r="A27" s="118">
        <v>744</v>
      </c>
      <c r="B27" s="118">
        <v>10</v>
      </c>
      <c r="C27" s="10" t="s">
        <v>119</v>
      </c>
      <c r="D27" s="265">
        <v>0</v>
      </c>
      <c r="E27" s="265">
        <v>0</v>
      </c>
      <c r="F27" s="265">
        <v>0</v>
      </c>
      <c r="G27" s="265">
        <v>0</v>
      </c>
      <c r="H27" s="265">
        <v>0</v>
      </c>
      <c r="I27" s="265">
        <v>0</v>
      </c>
      <c r="J27" s="458">
        <f t="shared" si="0"/>
        <v>0</v>
      </c>
      <c r="K27" s="265">
        <v>0</v>
      </c>
      <c r="L27" s="265">
        <v>0</v>
      </c>
      <c r="M27" s="265">
        <v>0</v>
      </c>
      <c r="N27" s="265">
        <v>0</v>
      </c>
      <c r="O27" s="265">
        <v>0</v>
      </c>
      <c r="P27" s="265">
        <v>0</v>
      </c>
      <c r="Q27" s="458">
        <f t="shared" si="1"/>
        <v>0</v>
      </c>
      <c r="R27" s="251">
        <v>0</v>
      </c>
      <c r="S27" s="251">
        <v>0</v>
      </c>
      <c r="T27" s="251">
        <v>0</v>
      </c>
      <c r="U27" s="251">
        <v>0</v>
      </c>
      <c r="V27" s="251">
        <v>0</v>
      </c>
      <c r="W27" s="251">
        <v>0</v>
      </c>
      <c r="X27" s="458">
        <f t="shared" si="2"/>
        <v>0</v>
      </c>
      <c r="Y27" s="458">
        <f t="shared" si="3"/>
        <v>0</v>
      </c>
      <c r="Z27" s="336"/>
    </row>
    <row r="28" spans="1:26" ht="20.100000000000001" customHeight="1" x14ac:dyDescent="0.25">
      <c r="A28" s="72">
        <v>745</v>
      </c>
      <c r="B28" s="118">
        <v>11</v>
      </c>
      <c r="C28" s="10" t="s">
        <v>120</v>
      </c>
      <c r="D28" s="265">
        <v>0</v>
      </c>
      <c r="E28" s="265">
        <v>1</v>
      </c>
      <c r="F28" s="265">
        <v>13</v>
      </c>
      <c r="G28" s="265">
        <v>1</v>
      </c>
      <c r="H28" s="265">
        <v>0</v>
      </c>
      <c r="I28" s="265">
        <v>0</v>
      </c>
      <c r="J28" s="458">
        <f t="shared" si="0"/>
        <v>15</v>
      </c>
      <c r="K28" s="265">
        <v>0</v>
      </c>
      <c r="L28" s="265">
        <v>0</v>
      </c>
      <c r="M28" s="265">
        <v>3</v>
      </c>
      <c r="N28" s="265">
        <v>1</v>
      </c>
      <c r="O28" s="265">
        <v>0</v>
      </c>
      <c r="P28" s="265">
        <v>0</v>
      </c>
      <c r="Q28" s="458">
        <f t="shared" si="1"/>
        <v>4</v>
      </c>
      <c r="R28" s="251">
        <v>0</v>
      </c>
      <c r="S28" s="251">
        <v>0</v>
      </c>
      <c r="T28" s="251">
        <v>0</v>
      </c>
      <c r="U28" s="251">
        <v>0</v>
      </c>
      <c r="V28" s="251">
        <v>0</v>
      </c>
      <c r="W28" s="251">
        <v>0</v>
      </c>
      <c r="X28" s="458">
        <f t="shared" si="2"/>
        <v>0</v>
      </c>
      <c r="Y28" s="458">
        <f t="shared" si="3"/>
        <v>19</v>
      </c>
      <c r="Z28" s="336"/>
    </row>
    <row r="29" spans="1:26" ht="20.100000000000001" customHeight="1" x14ac:dyDescent="0.25">
      <c r="A29" s="118">
        <v>746</v>
      </c>
      <c r="B29" s="118">
        <v>12</v>
      </c>
      <c r="C29" s="10" t="s">
        <v>121</v>
      </c>
      <c r="D29" s="265">
        <v>0</v>
      </c>
      <c r="E29" s="265">
        <v>0</v>
      </c>
      <c r="F29" s="265">
        <v>0</v>
      </c>
      <c r="G29" s="265">
        <v>1</v>
      </c>
      <c r="H29" s="265">
        <v>0</v>
      </c>
      <c r="I29" s="265">
        <v>1</v>
      </c>
      <c r="J29" s="458">
        <f t="shared" si="0"/>
        <v>2</v>
      </c>
      <c r="K29" s="265">
        <v>0</v>
      </c>
      <c r="L29" s="265">
        <v>0</v>
      </c>
      <c r="M29" s="265">
        <v>0</v>
      </c>
      <c r="N29" s="265">
        <v>0</v>
      </c>
      <c r="O29" s="265">
        <v>2</v>
      </c>
      <c r="P29" s="265">
        <v>1</v>
      </c>
      <c r="Q29" s="458">
        <f t="shared" si="1"/>
        <v>3</v>
      </c>
      <c r="R29" s="251">
        <v>0</v>
      </c>
      <c r="S29" s="251">
        <v>0</v>
      </c>
      <c r="T29" s="251">
        <v>0</v>
      </c>
      <c r="U29" s="251">
        <v>0</v>
      </c>
      <c r="V29" s="251">
        <v>0</v>
      </c>
      <c r="W29" s="251">
        <v>0</v>
      </c>
      <c r="X29" s="458">
        <f t="shared" si="2"/>
        <v>0</v>
      </c>
      <c r="Y29" s="458">
        <f t="shared" si="3"/>
        <v>5</v>
      </c>
      <c r="Z29" s="336"/>
    </row>
    <row r="30" spans="1:26" ht="20.100000000000001" customHeight="1" x14ac:dyDescent="0.25">
      <c r="A30" s="72">
        <v>747</v>
      </c>
      <c r="B30" s="118">
        <v>13</v>
      </c>
      <c r="C30" s="10" t="s">
        <v>122</v>
      </c>
      <c r="D30" s="265">
        <v>0</v>
      </c>
      <c r="E30" s="265">
        <v>0</v>
      </c>
      <c r="F30" s="265">
        <v>8</v>
      </c>
      <c r="G30" s="265">
        <v>9</v>
      </c>
      <c r="H30" s="265">
        <v>6</v>
      </c>
      <c r="I30" s="265">
        <v>0</v>
      </c>
      <c r="J30" s="458">
        <f t="shared" si="0"/>
        <v>23</v>
      </c>
      <c r="K30" s="265">
        <v>0</v>
      </c>
      <c r="L30" s="265">
        <v>0</v>
      </c>
      <c r="M30" s="265">
        <v>0</v>
      </c>
      <c r="N30" s="265">
        <v>0</v>
      </c>
      <c r="O30" s="265">
        <v>0</v>
      </c>
      <c r="P30" s="265">
        <v>0</v>
      </c>
      <c r="Q30" s="458">
        <f t="shared" si="1"/>
        <v>0</v>
      </c>
      <c r="R30" s="251">
        <v>0</v>
      </c>
      <c r="S30" s="251">
        <v>0</v>
      </c>
      <c r="T30" s="251">
        <v>0</v>
      </c>
      <c r="U30" s="251">
        <v>0</v>
      </c>
      <c r="V30" s="251">
        <v>0</v>
      </c>
      <c r="W30" s="251">
        <v>0</v>
      </c>
      <c r="X30" s="458">
        <f t="shared" si="2"/>
        <v>0</v>
      </c>
      <c r="Y30" s="458">
        <f t="shared" si="3"/>
        <v>23</v>
      </c>
      <c r="Z30" s="336"/>
    </row>
    <row r="31" spans="1:26" ht="20.100000000000001" customHeight="1" x14ac:dyDescent="0.25">
      <c r="A31" s="118">
        <v>748</v>
      </c>
      <c r="B31" s="118">
        <v>14</v>
      </c>
      <c r="C31" s="10" t="s">
        <v>123</v>
      </c>
      <c r="D31" s="265">
        <v>0</v>
      </c>
      <c r="E31" s="265">
        <v>0</v>
      </c>
      <c r="F31" s="265">
        <v>0</v>
      </c>
      <c r="G31" s="265">
        <v>0</v>
      </c>
      <c r="H31" s="265">
        <v>0</v>
      </c>
      <c r="I31" s="265">
        <v>0</v>
      </c>
      <c r="J31" s="458">
        <f t="shared" si="0"/>
        <v>0</v>
      </c>
      <c r="K31" s="265">
        <v>0</v>
      </c>
      <c r="L31" s="265">
        <v>0</v>
      </c>
      <c r="M31" s="265">
        <v>0</v>
      </c>
      <c r="N31" s="265">
        <v>0</v>
      </c>
      <c r="O31" s="265">
        <v>0</v>
      </c>
      <c r="P31" s="265">
        <v>0</v>
      </c>
      <c r="Q31" s="458">
        <f t="shared" si="1"/>
        <v>0</v>
      </c>
      <c r="R31" s="251">
        <v>0</v>
      </c>
      <c r="S31" s="251">
        <v>0</v>
      </c>
      <c r="T31" s="251">
        <v>0</v>
      </c>
      <c r="U31" s="251">
        <v>0</v>
      </c>
      <c r="V31" s="251">
        <v>0</v>
      </c>
      <c r="W31" s="251">
        <v>0</v>
      </c>
      <c r="X31" s="458">
        <f t="shared" si="2"/>
        <v>0</v>
      </c>
      <c r="Y31" s="458">
        <f t="shared" si="3"/>
        <v>0</v>
      </c>
      <c r="Z31" s="336"/>
    </row>
    <row r="32" spans="1:26" ht="20.100000000000001" customHeight="1" x14ac:dyDescent="0.25">
      <c r="A32" s="72">
        <v>749</v>
      </c>
      <c r="B32" s="118">
        <v>15</v>
      </c>
      <c r="C32" s="10" t="s">
        <v>1516</v>
      </c>
      <c r="D32" s="265">
        <v>0</v>
      </c>
      <c r="E32" s="265">
        <v>0</v>
      </c>
      <c r="F32" s="265">
        <v>0</v>
      </c>
      <c r="G32" s="265">
        <v>1</v>
      </c>
      <c r="H32" s="265">
        <v>0</v>
      </c>
      <c r="I32" s="265">
        <v>0</v>
      </c>
      <c r="J32" s="458">
        <f t="shared" si="0"/>
        <v>1</v>
      </c>
      <c r="K32" s="265">
        <v>0</v>
      </c>
      <c r="L32" s="265">
        <v>0</v>
      </c>
      <c r="M32" s="265">
        <v>0</v>
      </c>
      <c r="N32" s="265">
        <v>0</v>
      </c>
      <c r="O32" s="265">
        <v>0</v>
      </c>
      <c r="P32" s="265">
        <v>0</v>
      </c>
      <c r="Q32" s="458">
        <f t="shared" si="1"/>
        <v>0</v>
      </c>
      <c r="R32" s="251">
        <v>0</v>
      </c>
      <c r="S32" s="251">
        <v>0</v>
      </c>
      <c r="T32" s="251">
        <v>0</v>
      </c>
      <c r="U32" s="251">
        <v>0</v>
      </c>
      <c r="V32" s="251">
        <v>0</v>
      </c>
      <c r="W32" s="251">
        <v>0</v>
      </c>
      <c r="X32" s="458">
        <f t="shared" si="2"/>
        <v>0</v>
      </c>
      <c r="Y32" s="458">
        <f t="shared" si="3"/>
        <v>1</v>
      </c>
      <c r="Z32" s="336"/>
    </row>
    <row r="33" spans="1:26" ht="20.100000000000001" customHeight="1" x14ac:dyDescent="0.25">
      <c r="A33" s="118">
        <v>750</v>
      </c>
      <c r="B33" s="118">
        <v>16</v>
      </c>
      <c r="C33" s="10" t="s">
        <v>1517</v>
      </c>
      <c r="D33" s="404">
        <v>0</v>
      </c>
      <c r="E33" s="404">
        <v>0</v>
      </c>
      <c r="F33" s="404">
        <v>0</v>
      </c>
      <c r="G33" s="404">
        <v>0</v>
      </c>
      <c r="H33" s="404">
        <v>0</v>
      </c>
      <c r="I33" s="404">
        <v>0</v>
      </c>
      <c r="J33" s="458">
        <f t="shared" si="0"/>
        <v>0</v>
      </c>
      <c r="K33" s="265">
        <v>0</v>
      </c>
      <c r="L33" s="265">
        <v>0</v>
      </c>
      <c r="M33" s="265">
        <v>0</v>
      </c>
      <c r="N33" s="265">
        <v>0</v>
      </c>
      <c r="O33" s="265">
        <v>0</v>
      </c>
      <c r="P33" s="265">
        <v>0</v>
      </c>
      <c r="Q33" s="458">
        <f t="shared" si="1"/>
        <v>0</v>
      </c>
      <c r="R33" s="251">
        <v>0</v>
      </c>
      <c r="S33" s="251">
        <v>0</v>
      </c>
      <c r="T33" s="251">
        <v>0</v>
      </c>
      <c r="U33" s="251">
        <v>0</v>
      </c>
      <c r="V33" s="251">
        <v>0</v>
      </c>
      <c r="W33" s="251">
        <v>0</v>
      </c>
      <c r="X33" s="458">
        <f t="shared" si="2"/>
        <v>0</v>
      </c>
      <c r="Y33" s="458">
        <f t="shared" si="3"/>
        <v>0</v>
      </c>
      <c r="Z33" s="336"/>
    </row>
    <row r="34" spans="1:26" ht="20.100000000000001" customHeight="1" x14ac:dyDescent="0.25">
      <c r="A34" s="72">
        <v>751</v>
      </c>
      <c r="B34" s="118">
        <v>17</v>
      </c>
      <c r="C34" s="10" t="s">
        <v>283</v>
      </c>
      <c r="D34" s="265">
        <v>1</v>
      </c>
      <c r="E34" s="265">
        <v>0</v>
      </c>
      <c r="F34" s="265">
        <v>0</v>
      </c>
      <c r="G34" s="265">
        <v>0</v>
      </c>
      <c r="H34" s="265">
        <v>0</v>
      </c>
      <c r="I34" s="265">
        <v>0</v>
      </c>
      <c r="J34" s="458">
        <f t="shared" si="0"/>
        <v>1</v>
      </c>
      <c r="K34" s="265">
        <v>0</v>
      </c>
      <c r="L34" s="265">
        <v>0</v>
      </c>
      <c r="M34" s="265">
        <v>0</v>
      </c>
      <c r="N34" s="265">
        <v>0</v>
      </c>
      <c r="O34" s="265">
        <v>0</v>
      </c>
      <c r="P34" s="265">
        <v>0</v>
      </c>
      <c r="Q34" s="458">
        <f t="shared" si="1"/>
        <v>0</v>
      </c>
      <c r="R34" s="251">
        <v>0</v>
      </c>
      <c r="S34" s="251">
        <v>0</v>
      </c>
      <c r="T34" s="251">
        <v>0</v>
      </c>
      <c r="U34" s="251">
        <v>0</v>
      </c>
      <c r="V34" s="251">
        <v>0</v>
      </c>
      <c r="W34" s="251">
        <v>0</v>
      </c>
      <c r="X34" s="458">
        <f t="shared" si="2"/>
        <v>0</v>
      </c>
      <c r="Y34" s="458">
        <f t="shared" si="3"/>
        <v>1</v>
      </c>
      <c r="Z34" s="336"/>
    </row>
    <row r="35" spans="1:26" ht="20.100000000000001" customHeight="1" x14ac:dyDescent="0.25">
      <c r="A35" s="118">
        <v>752</v>
      </c>
      <c r="B35" s="118">
        <v>18</v>
      </c>
      <c r="C35" s="10" t="s">
        <v>124</v>
      </c>
      <c r="D35" s="265">
        <v>0</v>
      </c>
      <c r="E35" s="265">
        <v>0</v>
      </c>
      <c r="F35" s="265">
        <v>1</v>
      </c>
      <c r="G35" s="265">
        <v>3</v>
      </c>
      <c r="H35" s="265">
        <v>2</v>
      </c>
      <c r="I35" s="265">
        <v>0</v>
      </c>
      <c r="J35" s="458">
        <f t="shared" si="0"/>
        <v>6</v>
      </c>
      <c r="K35" s="265">
        <v>0</v>
      </c>
      <c r="L35" s="265">
        <v>0</v>
      </c>
      <c r="M35" s="265">
        <v>0</v>
      </c>
      <c r="N35" s="265">
        <v>1</v>
      </c>
      <c r="O35" s="265">
        <v>0</v>
      </c>
      <c r="P35" s="265">
        <v>0</v>
      </c>
      <c r="Q35" s="458">
        <f t="shared" si="1"/>
        <v>1</v>
      </c>
      <c r="R35" s="251">
        <v>0</v>
      </c>
      <c r="S35" s="251">
        <v>0</v>
      </c>
      <c r="T35" s="251">
        <v>0</v>
      </c>
      <c r="U35" s="251">
        <v>0</v>
      </c>
      <c r="V35" s="251">
        <v>0</v>
      </c>
      <c r="W35" s="251">
        <v>0</v>
      </c>
      <c r="X35" s="458">
        <f t="shared" si="2"/>
        <v>0</v>
      </c>
      <c r="Y35" s="458">
        <f t="shared" si="3"/>
        <v>7</v>
      </c>
      <c r="Z35" s="336"/>
    </row>
    <row r="36" spans="1:26" ht="20.100000000000001" customHeight="1" x14ac:dyDescent="0.25">
      <c r="A36" s="72">
        <v>753</v>
      </c>
      <c r="B36" s="118">
        <v>19</v>
      </c>
      <c r="C36" s="10" t="s">
        <v>49</v>
      </c>
      <c r="D36" s="265">
        <v>0</v>
      </c>
      <c r="E36" s="265">
        <v>1</v>
      </c>
      <c r="F36" s="265">
        <v>1</v>
      </c>
      <c r="G36" s="265">
        <v>5</v>
      </c>
      <c r="H36" s="265">
        <v>2</v>
      </c>
      <c r="I36" s="265">
        <v>0</v>
      </c>
      <c r="J36" s="458">
        <f t="shared" si="0"/>
        <v>9</v>
      </c>
      <c r="K36" s="265">
        <v>1</v>
      </c>
      <c r="L36" s="265">
        <v>0</v>
      </c>
      <c r="M36" s="265">
        <v>4</v>
      </c>
      <c r="N36" s="265">
        <v>0</v>
      </c>
      <c r="O36" s="265">
        <v>0</v>
      </c>
      <c r="P36" s="265">
        <v>1</v>
      </c>
      <c r="Q36" s="458">
        <f t="shared" si="1"/>
        <v>6</v>
      </c>
      <c r="R36" s="251">
        <v>0</v>
      </c>
      <c r="S36" s="251">
        <v>0</v>
      </c>
      <c r="T36" s="251">
        <v>0</v>
      </c>
      <c r="U36" s="251">
        <v>0</v>
      </c>
      <c r="V36" s="251">
        <v>0</v>
      </c>
      <c r="W36" s="251">
        <v>0</v>
      </c>
      <c r="X36" s="458">
        <f t="shared" si="2"/>
        <v>0</v>
      </c>
      <c r="Y36" s="458">
        <f t="shared" si="3"/>
        <v>15</v>
      </c>
      <c r="Z36" s="336"/>
    </row>
    <row r="37" spans="1:26" ht="20.100000000000001" customHeight="1" x14ac:dyDescent="0.25">
      <c r="A37" s="118">
        <v>754</v>
      </c>
      <c r="B37" s="118">
        <v>20</v>
      </c>
      <c r="C37" s="10" t="s">
        <v>125</v>
      </c>
      <c r="D37" s="265">
        <v>1</v>
      </c>
      <c r="E37" s="265">
        <v>1</v>
      </c>
      <c r="F37" s="265">
        <v>3</v>
      </c>
      <c r="G37" s="265">
        <v>4</v>
      </c>
      <c r="H37" s="265">
        <v>3</v>
      </c>
      <c r="I37" s="265">
        <v>0</v>
      </c>
      <c r="J37" s="458">
        <f t="shared" si="0"/>
        <v>12</v>
      </c>
      <c r="K37" s="265">
        <v>0</v>
      </c>
      <c r="L37" s="265">
        <v>2</v>
      </c>
      <c r="M37" s="265">
        <v>2</v>
      </c>
      <c r="N37" s="265">
        <v>2</v>
      </c>
      <c r="O37" s="265">
        <v>0</v>
      </c>
      <c r="P37" s="265">
        <v>0</v>
      </c>
      <c r="Q37" s="458">
        <f t="shared" si="1"/>
        <v>6</v>
      </c>
      <c r="R37" s="251">
        <v>0</v>
      </c>
      <c r="S37" s="251">
        <v>0</v>
      </c>
      <c r="T37" s="251">
        <v>0</v>
      </c>
      <c r="U37" s="251">
        <v>0</v>
      </c>
      <c r="V37" s="251">
        <v>0</v>
      </c>
      <c r="W37" s="251">
        <v>0</v>
      </c>
      <c r="X37" s="458">
        <f t="shared" si="2"/>
        <v>0</v>
      </c>
      <c r="Y37" s="458">
        <f t="shared" si="3"/>
        <v>18</v>
      </c>
      <c r="Z37" s="336"/>
    </row>
    <row r="38" spans="1:26" ht="20.100000000000001" customHeight="1" x14ac:dyDescent="0.25">
      <c r="A38" s="72">
        <v>780</v>
      </c>
      <c r="B38" s="266">
        <v>21</v>
      </c>
      <c r="C38" s="440" t="s">
        <v>625</v>
      </c>
      <c r="D38" s="441">
        <f t="shared" ref="D38:I38" si="10">SUM(D8:D9,D15:D18,D24:D37)</f>
        <v>2</v>
      </c>
      <c r="E38" s="441">
        <f t="shared" si="10"/>
        <v>6</v>
      </c>
      <c r="F38" s="441">
        <f t="shared" si="10"/>
        <v>65</v>
      </c>
      <c r="G38" s="441">
        <f t="shared" si="10"/>
        <v>79</v>
      </c>
      <c r="H38" s="441">
        <f t="shared" si="10"/>
        <v>81</v>
      </c>
      <c r="I38" s="441">
        <f t="shared" si="10"/>
        <v>16</v>
      </c>
      <c r="J38" s="441">
        <f t="shared" si="0"/>
        <v>249</v>
      </c>
      <c r="K38" s="441">
        <f t="shared" ref="K38:P38" si="11">SUM(K8:K9,K15:K18,K24:K37)</f>
        <v>1</v>
      </c>
      <c r="L38" s="441">
        <f t="shared" si="11"/>
        <v>4</v>
      </c>
      <c r="M38" s="441">
        <f t="shared" si="11"/>
        <v>19</v>
      </c>
      <c r="N38" s="441">
        <f t="shared" si="11"/>
        <v>21</v>
      </c>
      <c r="O38" s="441">
        <f t="shared" si="11"/>
        <v>11</v>
      </c>
      <c r="P38" s="441">
        <f t="shared" si="11"/>
        <v>16</v>
      </c>
      <c r="Q38" s="441">
        <f t="shared" si="1"/>
        <v>72</v>
      </c>
      <c r="R38" s="441">
        <f t="shared" ref="R38:W38" si="12">SUM(R8:R9,R15:R18,R24:R37)</f>
        <v>0</v>
      </c>
      <c r="S38" s="441">
        <f t="shared" si="12"/>
        <v>0</v>
      </c>
      <c r="T38" s="441">
        <f t="shared" si="12"/>
        <v>0</v>
      </c>
      <c r="U38" s="441">
        <f t="shared" si="12"/>
        <v>0</v>
      </c>
      <c r="V38" s="441">
        <f t="shared" si="12"/>
        <v>0</v>
      </c>
      <c r="W38" s="441">
        <f t="shared" si="12"/>
        <v>0</v>
      </c>
      <c r="X38" s="441">
        <f t="shared" si="2"/>
        <v>0</v>
      </c>
      <c r="Y38" s="441">
        <f t="shared" si="3"/>
        <v>321</v>
      </c>
      <c r="Z38" s="336"/>
    </row>
    <row r="39" spans="1:26" ht="24.95" customHeight="1" x14ac:dyDescent="0.25">
      <c r="A39" s="605" t="s">
        <v>1584</v>
      </c>
      <c r="B39" s="606"/>
      <c r="C39" s="607"/>
      <c r="D39" s="463" t="str">
        <f>IF(D9&gt;0,IF((D14/D9*100)&gt;10,"ABVAR",""),"")</f>
        <v/>
      </c>
      <c r="E39" s="463" t="str">
        <f t="shared" ref="E39:Y39" si="13">IF(E9&gt;0,IF((E14/E9*100)&gt;10,"ABVAR",""),"")</f>
        <v/>
      </c>
      <c r="F39" s="463" t="str">
        <f t="shared" si="13"/>
        <v/>
      </c>
      <c r="G39" s="463" t="str">
        <f t="shared" si="13"/>
        <v/>
      </c>
      <c r="H39" s="463" t="str">
        <f t="shared" si="13"/>
        <v/>
      </c>
      <c r="I39" s="463" t="str">
        <f t="shared" si="13"/>
        <v/>
      </c>
      <c r="J39" s="463" t="str">
        <f t="shared" si="13"/>
        <v/>
      </c>
      <c r="K39" s="463" t="str">
        <f t="shared" si="13"/>
        <v/>
      </c>
      <c r="L39" s="463" t="str">
        <f t="shared" si="13"/>
        <v/>
      </c>
      <c r="M39" s="463" t="str">
        <f t="shared" si="13"/>
        <v/>
      </c>
      <c r="N39" s="463" t="str">
        <f t="shared" si="13"/>
        <v/>
      </c>
      <c r="O39" s="463" t="str">
        <f t="shared" si="13"/>
        <v/>
      </c>
      <c r="P39" s="463" t="str">
        <f t="shared" si="13"/>
        <v/>
      </c>
      <c r="Q39" s="463" t="str">
        <f t="shared" si="13"/>
        <v/>
      </c>
      <c r="R39" s="463" t="str">
        <f t="shared" si="13"/>
        <v/>
      </c>
      <c r="S39" s="463" t="str">
        <f t="shared" si="13"/>
        <v/>
      </c>
      <c r="T39" s="463" t="str">
        <f t="shared" si="13"/>
        <v/>
      </c>
      <c r="U39" s="463" t="str">
        <f t="shared" si="13"/>
        <v/>
      </c>
      <c r="V39" s="463" t="str">
        <f t="shared" si="13"/>
        <v/>
      </c>
      <c r="W39" s="463" t="str">
        <f t="shared" si="13"/>
        <v/>
      </c>
      <c r="X39" s="463" t="str">
        <f t="shared" si="13"/>
        <v/>
      </c>
      <c r="Y39" s="463" t="str">
        <f t="shared" si="13"/>
        <v/>
      </c>
      <c r="Z39" s="336"/>
    </row>
    <row r="40" spans="1:26" ht="30" customHeight="1" x14ac:dyDescent="0.25">
      <c r="A40" s="595" t="s">
        <v>1585</v>
      </c>
      <c r="B40" s="596"/>
      <c r="C40" s="597"/>
      <c r="D40" s="463" t="str">
        <f>IF(D18&gt;0,IF((D23/D18*100)&gt;10,"ABVAR",""),"")</f>
        <v/>
      </c>
      <c r="E40" s="463" t="str">
        <f t="shared" ref="E40:Y40" si="14">IF(E18&gt;0,IF((E23/E18*100)&gt;10,"ABVAR",""),"")</f>
        <v/>
      </c>
      <c r="F40" s="463" t="str">
        <f t="shared" si="14"/>
        <v/>
      </c>
      <c r="G40" s="463" t="str">
        <f t="shared" si="14"/>
        <v/>
      </c>
      <c r="H40" s="463" t="str">
        <f t="shared" si="14"/>
        <v>ABVAR</v>
      </c>
      <c r="I40" s="463" t="str">
        <f t="shared" si="14"/>
        <v>ABVAR</v>
      </c>
      <c r="J40" s="463" t="str">
        <f t="shared" si="14"/>
        <v>ABVAR</v>
      </c>
      <c r="K40" s="463" t="str">
        <f t="shared" si="14"/>
        <v/>
      </c>
      <c r="L40" s="463" t="str">
        <f t="shared" si="14"/>
        <v/>
      </c>
      <c r="M40" s="463" t="str">
        <f t="shared" si="14"/>
        <v>ABVAR</v>
      </c>
      <c r="N40" s="463" t="str">
        <f t="shared" si="14"/>
        <v>ABVAR</v>
      </c>
      <c r="O40" s="463" t="str">
        <f t="shared" si="14"/>
        <v/>
      </c>
      <c r="P40" s="463" t="str">
        <f t="shared" si="14"/>
        <v>ABVAR</v>
      </c>
      <c r="Q40" s="463" t="str">
        <f t="shared" si="14"/>
        <v>ABVAR</v>
      </c>
      <c r="R40" s="463" t="str">
        <f t="shared" si="14"/>
        <v/>
      </c>
      <c r="S40" s="463" t="str">
        <f t="shared" si="14"/>
        <v/>
      </c>
      <c r="T40" s="463" t="str">
        <f t="shared" si="14"/>
        <v/>
      </c>
      <c r="U40" s="463" t="str">
        <f t="shared" si="14"/>
        <v/>
      </c>
      <c r="V40" s="463" t="str">
        <f t="shared" si="14"/>
        <v/>
      </c>
      <c r="W40" s="463" t="str">
        <f t="shared" si="14"/>
        <v/>
      </c>
      <c r="X40" s="463" t="str">
        <f t="shared" si="14"/>
        <v/>
      </c>
      <c r="Y40" s="463" t="str">
        <f t="shared" si="14"/>
        <v>ABVAR</v>
      </c>
      <c r="Z40" s="336"/>
    </row>
    <row r="41" spans="1:26" ht="20.100000000000001" customHeight="1" x14ac:dyDescent="0.25">
      <c r="A41" s="605" t="s">
        <v>1586</v>
      </c>
      <c r="B41" s="606"/>
      <c r="C41" s="607"/>
      <c r="D41" s="463" t="str">
        <f>IF(D38&gt;0,IF((D36/D38*100)&gt;10,"ABVAR",""),"")</f>
        <v/>
      </c>
      <c r="E41" s="463" t="str">
        <f t="shared" ref="E41:Y41" si="15">IF(E38&gt;0,IF((E36/E38*100)&gt;10,"ABVAR",""),"")</f>
        <v>ABVAR</v>
      </c>
      <c r="F41" s="463" t="str">
        <f t="shared" si="15"/>
        <v/>
      </c>
      <c r="G41" s="463" t="str">
        <f t="shared" si="15"/>
        <v/>
      </c>
      <c r="H41" s="463" t="str">
        <f t="shared" si="15"/>
        <v/>
      </c>
      <c r="I41" s="463" t="str">
        <f t="shared" si="15"/>
        <v/>
      </c>
      <c r="J41" s="463" t="str">
        <f t="shared" si="15"/>
        <v/>
      </c>
      <c r="K41" s="463" t="str">
        <f t="shared" si="15"/>
        <v>ABVAR</v>
      </c>
      <c r="L41" s="463" t="str">
        <f t="shared" si="15"/>
        <v/>
      </c>
      <c r="M41" s="463" t="str">
        <f t="shared" si="15"/>
        <v>ABVAR</v>
      </c>
      <c r="N41" s="463" t="str">
        <f t="shared" si="15"/>
        <v/>
      </c>
      <c r="O41" s="463" t="str">
        <f t="shared" si="15"/>
        <v/>
      </c>
      <c r="P41" s="463" t="str">
        <f t="shared" si="15"/>
        <v/>
      </c>
      <c r="Q41" s="463" t="str">
        <f t="shared" si="15"/>
        <v/>
      </c>
      <c r="R41" s="463" t="str">
        <f t="shared" si="15"/>
        <v/>
      </c>
      <c r="S41" s="463" t="str">
        <f t="shared" si="15"/>
        <v/>
      </c>
      <c r="T41" s="463" t="str">
        <f t="shared" si="15"/>
        <v/>
      </c>
      <c r="U41" s="463" t="str">
        <f t="shared" si="15"/>
        <v/>
      </c>
      <c r="V41" s="463" t="str">
        <f t="shared" si="15"/>
        <v/>
      </c>
      <c r="W41" s="463" t="str">
        <f t="shared" si="15"/>
        <v/>
      </c>
      <c r="X41" s="463" t="str">
        <f t="shared" si="15"/>
        <v/>
      </c>
      <c r="Y41" s="463" t="str">
        <f t="shared" si="15"/>
        <v/>
      </c>
      <c r="Z41" s="336"/>
    </row>
    <row r="42" spans="1:26" ht="20.100000000000001" customHeight="1" x14ac:dyDescent="0.25">
      <c r="A42" s="605" t="s">
        <v>1587</v>
      </c>
      <c r="B42" s="606"/>
      <c r="C42" s="607"/>
      <c r="D42" s="463" t="str">
        <f>IF(D38&gt;0,IF((D37/D38*100)&gt;10,"ABVAR",""),"")</f>
        <v>ABVAR</v>
      </c>
      <c r="E42" s="463" t="str">
        <f t="shared" ref="E42:Y42" si="16">IF(E38&gt;0,IF((E37/E38*100)&gt;10,"ABVAR",""),"")</f>
        <v>ABVAR</v>
      </c>
      <c r="F42" s="463" t="str">
        <f t="shared" si="16"/>
        <v/>
      </c>
      <c r="G42" s="463" t="str">
        <f t="shared" si="16"/>
        <v/>
      </c>
      <c r="H42" s="463" t="str">
        <f t="shared" si="16"/>
        <v/>
      </c>
      <c r="I42" s="463" t="str">
        <f t="shared" si="16"/>
        <v/>
      </c>
      <c r="J42" s="463" t="str">
        <f t="shared" si="16"/>
        <v/>
      </c>
      <c r="K42" s="463" t="str">
        <f t="shared" si="16"/>
        <v/>
      </c>
      <c r="L42" s="463" t="str">
        <f t="shared" si="16"/>
        <v>ABVAR</v>
      </c>
      <c r="M42" s="463" t="str">
        <f t="shared" si="16"/>
        <v>ABVAR</v>
      </c>
      <c r="N42" s="463" t="str">
        <f t="shared" si="16"/>
        <v/>
      </c>
      <c r="O42" s="463" t="str">
        <f t="shared" si="16"/>
        <v/>
      </c>
      <c r="P42" s="463" t="str">
        <f t="shared" si="16"/>
        <v/>
      </c>
      <c r="Q42" s="463" t="str">
        <f t="shared" si="16"/>
        <v/>
      </c>
      <c r="R42" s="463" t="str">
        <f t="shared" si="16"/>
        <v/>
      </c>
      <c r="S42" s="463" t="str">
        <f t="shared" si="16"/>
        <v/>
      </c>
      <c r="T42" s="463" t="str">
        <f t="shared" si="16"/>
        <v/>
      </c>
      <c r="U42" s="463" t="str">
        <f t="shared" si="16"/>
        <v/>
      </c>
      <c r="V42" s="463" t="str">
        <f t="shared" si="16"/>
        <v/>
      </c>
      <c r="W42" s="463" t="str">
        <f t="shared" si="16"/>
        <v/>
      </c>
      <c r="X42" s="463" t="str">
        <f t="shared" si="16"/>
        <v/>
      </c>
      <c r="Y42" s="463" t="str">
        <f t="shared" si="16"/>
        <v/>
      </c>
    </row>
    <row r="44" spans="1:26" x14ac:dyDescent="0.25">
      <c r="A44" s="528" t="s">
        <v>1665</v>
      </c>
    </row>
    <row r="200" spans="53:79" x14ac:dyDescent="0.25">
      <c r="BA200" s="141" t="str">
        <f>A1</f>
        <v>Goa, , ADSI-2021</v>
      </c>
    </row>
    <row r="201" spans="53:79" x14ac:dyDescent="0.25">
      <c r="BA201" s="141" t="str">
        <f>A2</f>
        <v>Proforma–XIV</v>
      </c>
      <c r="BB201" s="132"/>
      <c r="BC201" s="132"/>
      <c r="BE201" s="472" t="str">
        <f>E2</f>
        <v>Abnormal Variations</v>
      </c>
      <c r="BF201" s="141">
        <f>F2</f>
        <v>15</v>
      </c>
      <c r="BG201" s="132"/>
      <c r="BH201" s="132"/>
      <c r="BI201" s="132"/>
      <c r="BJ201" s="132"/>
      <c r="BK201" s="132"/>
      <c r="BL201" s="132"/>
      <c r="BM201" s="132"/>
      <c r="BO201" s="132"/>
      <c r="BP201" s="132"/>
      <c r="BQ201" s="132"/>
      <c r="BR201" s="132"/>
      <c r="BS201" s="132"/>
      <c r="BT201" s="132"/>
      <c r="BU201" s="132"/>
      <c r="BV201" s="132"/>
      <c r="BW201" s="132"/>
      <c r="BX201" s="132"/>
      <c r="BY201" s="132"/>
      <c r="BZ201" s="132"/>
      <c r="CA201" s="132"/>
    </row>
    <row r="202" spans="53:79" x14ac:dyDescent="0.25">
      <c r="BA202" s="141" t="str">
        <f>A3</f>
        <v>Distribution of Suicides by Causes</v>
      </c>
      <c r="BB202" s="132"/>
      <c r="BC202" s="132"/>
      <c r="BD202" s="132"/>
      <c r="BE202" s="132"/>
      <c r="BF202" s="132"/>
      <c r="BG202" s="132"/>
      <c r="BH202" s="132"/>
      <c r="BI202" s="132"/>
      <c r="BJ202" s="132"/>
      <c r="BK202" s="132"/>
      <c r="BL202" s="132"/>
      <c r="BM202" s="159"/>
      <c r="BN202" s="145"/>
      <c r="BO202" s="132"/>
      <c r="BP202" s="132"/>
      <c r="BQ202" s="132"/>
      <c r="BR202" s="132"/>
      <c r="BS202" s="132"/>
      <c r="BT202" s="132"/>
      <c r="BU202" s="132"/>
      <c r="BV202" s="132"/>
      <c r="BW202" s="132"/>
      <c r="BX202" s="132"/>
      <c r="BY202" s="132"/>
      <c r="BZ202" s="132"/>
      <c r="CA202" s="132"/>
    </row>
    <row r="203" spans="53:79" x14ac:dyDescent="0.25">
      <c r="BA203" s="602" t="str">
        <f>B4</f>
        <v>Sl. No.</v>
      </c>
      <c r="BB203" s="602" t="str">
        <f>C4</f>
        <v>Causes</v>
      </c>
      <c r="BC203" s="619" t="str">
        <f>D4</f>
        <v>Number of Suicidal Deaths</v>
      </c>
      <c r="BD203" s="620"/>
      <c r="BE203" s="620"/>
      <c r="BF203" s="620"/>
      <c r="BG203" s="620"/>
      <c r="BH203" s="620"/>
      <c r="BI203" s="620"/>
      <c r="BJ203" s="620"/>
      <c r="BK203" s="620"/>
      <c r="BL203" s="620"/>
      <c r="BM203" s="620"/>
      <c r="BN203" s="620"/>
      <c r="BO203" s="620"/>
      <c r="BP203" s="621"/>
      <c r="BQ203" s="619" t="s">
        <v>139</v>
      </c>
      <c r="BR203" s="620"/>
      <c r="BS203" s="620"/>
      <c r="BT203" s="620"/>
      <c r="BU203" s="620"/>
      <c r="BV203" s="620"/>
      <c r="BW203" s="621"/>
      <c r="BX203" s="602" t="str">
        <f>Y4</f>
        <v>Grand Total 
[col. (9)+(16)+(23)]</v>
      </c>
      <c r="BY203" s="132"/>
      <c r="BZ203" s="132"/>
    </row>
    <row r="204" spans="53:79" x14ac:dyDescent="0.25">
      <c r="BA204" s="603"/>
      <c r="BB204" s="603"/>
      <c r="BC204" s="619" t="str">
        <f t="shared" ref="BC204:BC237" si="17">D5</f>
        <v>Male</v>
      </c>
      <c r="BD204" s="620"/>
      <c r="BE204" s="620"/>
      <c r="BF204" s="620"/>
      <c r="BG204" s="620"/>
      <c r="BH204" s="620"/>
      <c r="BI204" s="621"/>
      <c r="BJ204" s="619" t="str">
        <f t="shared" ref="BJ204:BJ241" si="18">K5</f>
        <v>Female</v>
      </c>
      <c r="BK204" s="620"/>
      <c r="BL204" s="620"/>
      <c r="BM204" s="620"/>
      <c r="BN204" s="620"/>
      <c r="BO204" s="620"/>
      <c r="BP204" s="621"/>
      <c r="BQ204" s="619" t="str">
        <f t="shared" ref="BQ204:BQ241" si="19">R5</f>
        <v>Transgender</v>
      </c>
      <c r="BR204" s="620"/>
      <c r="BS204" s="620"/>
      <c r="BT204" s="620"/>
      <c r="BU204" s="620"/>
      <c r="BV204" s="620"/>
      <c r="BW204" s="621"/>
      <c r="BX204" s="603"/>
      <c r="BY204" s="132"/>
      <c r="BZ204" s="132"/>
    </row>
    <row r="205" spans="53:79" ht="51" x14ac:dyDescent="0.25">
      <c r="BA205" s="604"/>
      <c r="BB205" s="604"/>
      <c r="BC205" s="158" t="str">
        <f t="shared" si="17"/>
        <v>below 14 years</v>
      </c>
      <c r="BD205" s="158" t="str">
        <f t="shared" ref="BD205:BD241" si="20">E6</f>
        <v>14 and above – below 18 yrs</v>
      </c>
      <c r="BE205" s="158" t="str">
        <f t="shared" ref="BE205:BE241" si="21">F6</f>
        <v>18 and above – below 30 years</v>
      </c>
      <c r="BF205" s="158" t="str">
        <f t="shared" ref="BF205:BF241" si="22">G6</f>
        <v>30 and above – below 45 years</v>
      </c>
      <c r="BG205" s="158" t="str">
        <f t="shared" ref="BG205:BG241" si="23">H6</f>
        <v>45 and above – below 60 years</v>
      </c>
      <c r="BH205" s="158" t="str">
        <f t="shared" ref="BH205:BH241" si="24">I6</f>
        <v>60 years &amp; above</v>
      </c>
      <c r="BI205" s="158" t="str">
        <f t="shared" ref="BI205:BI241" si="25">J6</f>
        <v xml:space="preserve"> Total [sum of (3) to (8)]</v>
      </c>
      <c r="BJ205" s="158" t="str">
        <f t="shared" si="18"/>
        <v>below 14 years</v>
      </c>
      <c r="BK205" s="158" t="str">
        <f t="shared" ref="BK205:BK241" si="26">L6</f>
        <v>14 and above – below 18 yrs</v>
      </c>
      <c r="BL205" s="158" t="str">
        <f t="shared" ref="BL205:BL241" si="27">M6</f>
        <v>18 and above – below 30 years</v>
      </c>
      <c r="BM205" s="158" t="str">
        <f t="shared" ref="BM205:BM241" si="28">N6</f>
        <v>30 and above – below 45 years</v>
      </c>
      <c r="BN205" s="158" t="str">
        <f t="shared" ref="BN205:BN241" si="29">O6</f>
        <v>45 and above – below 60 years</v>
      </c>
      <c r="BO205" s="158" t="str">
        <f t="shared" ref="BO205:BO241" si="30">P6</f>
        <v>60 years &amp; above</v>
      </c>
      <c r="BP205" s="158" t="str">
        <f t="shared" ref="BP205:BP241" si="31">Q6</f>
        <v>Total [sum of (10) to (15)</v>
      </c>
      <c r="BQ205" s="158" t="str">
        <f t="shared" si="19"/>
        <v>below 14 years</v>
      </c>
      <c r="BR205" s="158" t="str">
        <f t="shared" ref="BR205:BR241" si="32">S6</f>
        <v>14 and above – below 18 yrs</v>
      </c>
      <c r="BS205" s="158" t="str">
        <f t="shared" ref="BS205:BS241" si="33">T6</f>
        <v>18 and above – below 30 years</v>
      </c>
      <c r="BT205" s="158" t="str">
        <f t="shared" ref="BT205:BT241" si="34">U6</f>
        <v>30 and above – below 45 years</v>
      </c>
      <c r="BU205" s="158" t="str">
        <f t="shared" ref="BU205:BU241" si="35">V6</f>
        <v>45 and above – below 60 years</v>
      </c>
      <c r="BV205" s="158" t="str">
        <f t="shared" ref="BV205:BV241" si="36">W6</f>
        <v>60 years &amp; above</v>
      </c>
      <c r="BW205" s="158" t="str">
        <f t="shared" ref="BW205:BW241" si="37">X6</f>
        <v>Total [sum of (17) to (22)</v>
      </c>
      <c r="BX205" s="604"/>
      <c r="BY205" s="132"/>
      <c r="BZ205" s="132"/>
    </row>
    <row r="206" spans="53:79" x14ac:dyDescent="0.25">
      <c r="BA206" s="137" t="str">
        <f t="shared" ref="BA206:BA237" si="38">B7</f>
        <v>(1)</v>
      </c>
      <c r="BB206" s="137" t="str">
        <f t="shared" ref="BB206:BB237" si="39">C7</f>
        <v>(2)</v>
      </c>
      <c r="BC206" s="137" t="str">
        <f t="shared" si="17"/>
        <v>(3)</v>
      </c>
      <c r="BD206" s="137" t="str">
        <f t="shared" si="20"/>
        <v>(4)</v>
      </c>
      <c r="BE206" s="137" t="str">
        <f t="shared" si="21"/>
        <v>(5)</v>
      </c>
      <c r="BF206" s="137" t="str">
        <f t="shared" si="22"/>
        <v>(6)</v>
      </c>
      <c r="BG206" s="137" t="str">
        <f t="shared" si="23"/>
        <v>(7)</v>
      </c>
      <c r="BH206" s="137" t="str">
        <f t="shared" si="24"/>
        <v>(8)</v>
      </c>
      <c r="BI206" s="137" t="str">
        <f t="shared" si="25"/>
        <v>(9)</v>
      </c>
      <c r="BJ206" s="137" t="str">
        <f t="shared" si="18"/>
        <v>(10)</v>
      </c>
      <c r="BK206" s="137" t="str">
        <f t="shared" si="26"/>
        <v>(11)</v>
      </c>
      <c r="BL206" s="137" t="str">
        <f t="shared" si="27"/>
        <v>(12)</v>
      </c>
      <c r="BM206" s="137" t="str">
        <f t="shared" si="28"/>
        <v>(13)</v>
      </c>
      <c r="BN206" s="137" t="str">
        <f t="shared" si="29"/>
        <v>(14)</v>
      </c>
      <c r="BO206" s="137" t="str">
        <f t="shared" si="30"/>
        <v>(15)</v>
      </c>
      <c r="BP206" s="137" t="str">
        <f t="shared" si="31"/>
        <v>(16)</v>
      </c>
      <c r="BQ206" s="137" t="str">
        <f t="shared" si="19"/>
        <v>(17)</v>
      </c>
      <c r="BR206" s="137" t="str">
        <f t="shared" si="32"/>
        <v>(18)</v>
      </c>
      <c r="BS206" s="137" t="str">
        <f t="shared" si="33"/>
        <v>(19)</v>
      </c>
      <c r="BT206" s="137" t="str">
        <f t="shared" si="34"/>
        <v>(20)</v>
      </c>
      <c r="BU206" s="137" t="str">
        <f t="shared" si="35"/>
        <v>(21)</v>
      </c>
      <c r="BV206" s="137" t="str">
        <f t="shared" si="36"/>
        <v>(22)</v>
      </c>
      <c r="BW206" s="137" t="str">
        <f t="shared" si="37"/>
        <v>(23)</v>
      </c>
      <c r="BX206" s="137" t="str">
        <f t="shared" ref="BX206:BX241" si="40">Y7</f>
        <v>(24)</v>
      </c>
      <c r="BY206" s="132"/>
      <c r="BZ206" s="132"/>
    </row>
    <row r="207" spans="53:79" x14ac:dyDescent="0.25">
      <c r="BA207" s="138">
        <f t="shared" si="38"/>
        <v>1</v>
      </c>
      <c r="BB207" s="136" t="str">
        <f t="shared" si="39"/>
        <v>Bankruptcy or indebtedness</v>
      </c>
      <c r="BC207" s="136">
        <f t="shared" si="17"/>
        <v>0</v>
      </c>
      <c r="BD207" s="136">
        <f t="shared" si="20"/>
        <v>0</v>
      </c>
      <c r="BE207" s="136">
        <f t="shared" si="21"/>
        <v>2</v>
      </c>
      <c r="BF207" s="136">
        <f t="shared" si="22"/>
        <v>3</v>
      </c>
      <c r="BG207" s="136">
        <f t="shared" si="23"/>
        <v>3</v>
      </c>
      <c r="BH207" s="136">
        <f t="shared" si="24"/>
        <v>0</v>
      </c>
      <c r="BI207" s="136">
        <f t="shared" si="25"/>
        <v>8</v>
      </c>
      <c r="BJ207" s="136">
        <f t="shared" si="18"/>
        <v>0</v>
      </c>
      <c r="BK207" s="136">
        <f t="shared" si="26"/>
        <v>0</v>
      </c>
      <c r="BL207" s="136">
        <f t="shared" si="27"/>
        <v>0</v>
      </c>
      <c r="BM207" s="136">
        <f t="shared" si="28"/>
        <v>1</v>
      </c>
      <c r="BN207" s="136">
        <f t="shared" si="29"/>
        <v>0</v>
      </c>
      <c r="BO207" s="136">
        <f t="shared" si="30"/>
        <v>0</v>
      </c>
      <c r="BP207" s="136">
        <f t="shared" si="31"/>
        <v>1</v>
      </c>
      <c r="BQ207" s="136">
        <f t="shared" si="19"/>
        <v>0</v>
      </c>
      <c r="BR207" s="136">
        <f t="shared" si="32"/>
        <v>0</v>
      </c>
      <c r="BS207" s="136">
        <f t="shared" si="33"/>
        <v>0</v>
      </c>
      <c r="BT207" s="136">
        <f t="shared" si="34"/>
        <v>0</v>
      </c>
      <c r="BU207" s="136">
        <f t="shared" si="35"/>
        <v>0</v>
      </c>
      <c r="BV207" s="136">
        <f t="shared" si="36"/>
        <v>0</v>
      </c>
      <c r="BW207" s="136">
        <f t="shared" si="37"/>
        <v>0</v>
      </c>
      <c r="BX207" s="136">
        <f t="shared" si="40"/>
        <v>9</v>
      </c>
      <c r="BY207" s="132"/>
      <c r="BZ207" s="132"/>
    </row>
    <row r="208" spans="53:79" ht="25.5" x14ac:dyDescent="0.25">
      <c r="BA208" s="138">
        <f t="shared" si="38"/>
        <v>2</v>
      </c>
      <c r="BB208" s="140" t="str">
        <f t="shared" si="39"/>
        <v>Marriage Related Issues (sum of 2.1 to 2.5)</v>
      </c>
      <c r="BC208" s="136">
        <f t="shared" si="17"/>
        <v>0</v>
      </c>
      <c r="BD208" s="136">
        <f t="shared" si="20"/>
        <v>0</v>
      </c>
      <c r="BE208" s="136">
        <f t="shared" si="21"/>
        <v>2</v>
      </c>
      <c r="BF208" s="136">
        <f t="shared" si="22"/>
        <v>0</v>
      </c>
      <c r="BG208" s="136">
        <f t="shared" si="23"/>
        <v>1</v>
      </c>
      <c r="BH208" s="136">
        <f t="shared" si="24"/>
        <v>0</v>
      </c>
      <c r="BI208" s="136">
        <f t="shared" si="25"/>
        <v>3</v>
      </c>
      <c r="BJ208" s="136">
        <f t="shared" si="18"/>
        <v>0</v>
      </c>
      <c r="BK208" s="136">
        <f t="shared" si="26"/>
        <v>0</v>
      </c>
      <c r="BL208" s="136">
        <f t="shared" si="27"/>
        <v>1</v>
      </c>
      <c r="BM208" s="136">
        <f t="shared" si="28"/>
        <v>0</v>
      </c>
      <c r="BN208" s="136">
        <f t="shared" si="29"/>
        <v>0</v>
      </c>
      <c r="BO208" s="136">
        <f t="shared" si="30"/>
        <v>0</v>
      </c>
      <c r="BP208" s="136">
        <f t="shared" si="31"/>
        <v>1</v>
      </c>
      <c r="BQ208" s="136">
        <f t="shared" si="19"/>
        <v>0</v>
      </c>
      <c r="BR208" s="136">
        <f t="shared" si="32"/>
        <v>0</v>
      </c>
      <c r="BS208" s="136">
        <f t="shared" si="33"/>
        <v>0</v>
      </c>
      <c r="BT208" s="136">
        <f t="shared" si="34"/>
        <v>0</v>
      </c>
      <c r="BU208" s="136">
        <f t="shared" si="35"/>
        <v>0</v>
      </c>
      <c r="BV208" s="136">
        <f t="shared" si="36"/>
        <v>0</v>
      </c>
      <c r="BW208" s="136">
        <f t="shared" si="37"/>
        <v>0</v>
      </c>
      <c r="BX208" s="136">
        <f t="shared" si="40"/>
        <v>4</v>
      </c>
      <c r="BY208" s="132"/>
      <c r="BZ208" s="132"/>
    </row>
    <row r="209" spans="53:78" ht="25.5" x14ac:dyDescent="0.25">
      <c r="BA209" s="138"/>
      <c r="BB209" s="140" t="str">
        <f t="shared" si="39"/>
        <v>2.1 Non Settlement of Marriage</v>
      </c>
      <c r="BC209" s="136">
        <f t="shared" si="17"/>
        <v>0</v>
      </c>
      <c r="BD209" s="136">
        <f t="shared" si="20"/>
        <v>0</v>
      </c>
      <c r="BE209" s="136">
        <f t="shared" si="21"/>
        <v>2</v>
      </c>
      <c r="BF209" s="136">
        <f t="shared" si="22"/>
        <v>0</v>
      </c>
      <c r="BG209" s="136">
        <f t="shared" si="23"/>
        <v>0</v>
      </c>
      <c r="BH209" s="136">
        <f t="shared" si="24"/>
        <v>0</v>
      </c>
      <c r="BI209" s="136">
        <f t="shared" si="25"/>
        <v>2</v>
      </c>
      <c r="BJ209" s="136">
        <f t="shared" si="18"/>
        <v>0</v>
      </c>
      <c r="BK209" s="136">
        <f t="shared" si="26"/>
        <v>0</v>
      </c>
      <c r="BL209" s="136">
        <f t="shared" si="27"/>
        <v>1</v>
      </c>
      <c r="BM209" s="136">
        <f t="shared" si="28"/>
        <v>0</v>
      </c>
      <c r="BN209" s="136">
        <f t="shared" si="29"/>
        <v>0</v>
      </c>
      <c r="BO209" s="136">
        <f t="shared" si="30"/>
        <v>0</v>
      </c>
      <c r="BP209" s="136">
        <f t="shared" si="31"/>
        <v>1</v>
      </c>
      <c r="BQ209" s="136">
        <f t="shared" si="19"/>
        <v>0</v>
      </c>
      <c r="BR209" s="136">
        <f t="shared" si="32"/>
        <v>0</v>
      </c>
      <c r="BS209" s="136">
        <f t="shared" si="33"/>
        <v>0</v>
      </c>
      <c r="BT209" s="136">
        <f t="shared" si="34"/>
        <v>0</v>
      </c>
      <c r="BU209" s="136">
        <f t="shared" si="35"/>
        <v>0</v>
      </c>
      <c r="BV209" s="136">
        <f t="shared" si="36"/>
        <v>0</v>
      </c>
      <c r="BW209" s="136">
        <f t="shared" si="37"/>
        <v>0</v>
      </c>
      <c r="BX209" s="136">
        <f t="shared" si="40"/>
        <v>3</v>
      </c>
      <c r="BY209" s="132"/>
      <c r="BZ209" s="132"/>
    </row>
    <row r="210" spans="53:78" x14ac:dyDescent="0.25">
      <c r="BA210" s="138"/>
      <c r="BB210" s="136" t="str">
        <f t="shared" si="39"/>
        <v>2.2 Dowry Related Issues</v>
      </c>
      <c r="BC210" s="136">
        <f t="shared" si="17"/>
        <v>0</v>
      </c>
      <c r="BD210" s="136">
        <f t="shared" si="20"/>
        <v>0</v>
      </c>
      <c r="BE210" s="136">
        <f t="shared" si="21"/>
        <v>0</v>
      </c>
      <c r="BF210" s="136">
        <f t="shared" si="22"/>
        <v>0</v>
      </c>
      <c r="BG210" s="136">
        <f t="shared" si="23"/>
        <v>0</v>
      </c>
      <c r="BH210" s="136">
        <f t="shared" si="24"/>
        <v>0</v>
      </c>
      <c r="BI210" s="136">
        <f t="shared" si="25"/>
        <v>0</v>
      </c>
      <c r="BJ210" s="136">
        <f t="shared" si="18"/>
        <v>0</v>
      </c>
      <c r="BK210" s="136">
        <f t="shared" si="26"/>
        <v>0</v>
      </c>
      <c r="BL210" s="136">
        <f t="shared" si="27"/>
        <v>0</v>
      </c>
      <c r="BM210" s="136">
        <f t="shared" si="28"/>
        <v>0</v>
      </c>
      <c r="BN210" s="136">
        <f t="shared" si="29"/>
        <v>0</v>
      </c>
      <c r="BO210" s="136">
        <f t="shared" si="30"/>
        <v>0</v>
      </c>
      <c r="BP210" s="136">
        <f t="shared" si="31"/>
        <v>0</v>
      </c>
      <c r="BQ210" s="136">
        <f t="shared" si="19"/>
        <v>0</v>
      </c>
      <c r="BR210" s="136">
        <f t="shared" si="32"/>
        <v>0</v>
      </c>
      <c r="BS210" s="136">
        <f t="shared" si="33"/>
        <v>0</v>
      </c>
      <c r="BT210" s="136">
        <f t="shared" si="34"/>
        <v>0</v>
      </c>
      <c r="BU210" s="136">
        <f t="shared" si="35"/>
        <v>0</v>
      </c>
      <c r="BV210" s="136">
        <f t="shared" si="36"/>
        <v>0</v>
      </c>
      <c r="BW210" s="136">
        <f t="shared" si="37"/>
        <v>0</v>
      </c>
      <c r="BX210" s="136">
        <f t="shared" si="40"/>
        <v>0</v>
      </c>
      <c r="BY210" s="132"/>
      <c r="BZ210" s="132"/>
    </row>
    <row r="211" spans="53:78" x14ac:dyDescent="0.25">
      <c r="BA211" s="138"/>
      <c r="BB211" s="136" t="str">
        <f t="shared" si="39"/>
        <v>2.3 Extra Marital affairs</v>
      </c>
      <c r="BC211" s="136">
        <f t="shared" si="17"/>
        <v>0</v>
      </c>
      <c r="BD211" s="136">
        <f t="shared" si="20"/>
        <v>0</v>
      </c>
      <c r="BE211" s="136">
        <f t="shared" si="21"/>
        <v>0</v>
      </c>
      <c r="BF211" s="136">
        <f t="shared" si="22"/>
        <v>0</v>
      </c>
      <c r="BG211" s="136">
        <f t="shared" si="23"/>
        <v>1</v>
      </c>
      <c r="BH211" s="136">
        <f t="shared" si="24"/>
        <v>0</v>
      </c>
      <c r="BI211" s="136">
        <f t="shared" si="25"/>
        <v>1</v>
      </c>
      <c r="BJ211" s="136">
        <f t="shared" si="18"/>
        <v>0</v>
      </c>
      <c r="BK211" s="136">
        <f t="shared" si="26"/>
        <v>0</v>
      </c>
      <c r="BL211" s="136">
        <f t="shared" si="27"/>
        <v>0</v>
      </c>
      <c r="BM211" s="136">
        <f t="shared" si="28"/>
        <v>0</v>
      </c>
      <c r="BN211" s="136">
        <f t="shared" si="29"/>
        <v>0</v>
      </c>
      <c r="BO211" s="136">
        <f t="shared" si="30"/>
        <v>0</v>
      </c>
      <c r="BP211" s="136">
        <f t="shared" si="31"/>
        <v>0</v>
      </c>
      <c r="BQ211" s="136">
        <f t="shared" si="19"/>
        <v>0</v>
      </c>
      <c r="BR211" s="136">
        <f t="shared" si="32"/>
        <v>0</v>
      </c>
      <c r="BS211" s="136">
        <f t="shared" si="33"/>
        <v>0</v>
      </c>
      <c r="BT211" s="136">
        <f t="shared" si="34"/>
        <v>0</v>
      </c>
      <c r="BU211" s="136">
        <f t="shared" si="35"/>
        <v>0</v>
      </c>
      <c r="BV211" s="136">
        <f t="shared" si="36"/>
        <v>0</v>
      </c>
      <c r="BW211" s="136">
        <f t="shared" si="37"/>
        <v>0</v>
      </c>
      <c r="BX211" s="136">
        <f t="shared" si="40"/>
        <v>1</v>
      </c>
      <c r="BY211" s="132"/>
      <c r="BZ211" s="132"/>
    </row>
    <row r="212" spans="53:78" x14ac:dyDescent="0.25">
      <c r="BA212" s="138"/>
      <c r="BB212" s="136" t="str">
        <f t="shared" si="39"/>
        <v>2.4 Divorce</v>
      </c>
      <c r="BC212" s="136">
        <f t="shared" si="17"/>
        <v>0</v>
      </c>
      <c r="BD212" s="136">
        <f t="shared" si="20"/>
        <v>0</v>
      </c>
      <c r="BE212" s="136">
        <f t="shared" si="21"/>
        <v>0</v>
      </c>
      <c r="BF212" s="136">
        <f t="shared" si="22"/>
        <v>0</v>
      </c>
      <c r="BG212" s="136">
        <f t="shared" si="23"/>
        <v>0</v>
      </c>
      <c r="BH212" s="136">
        <f t="shared" si="24"/>
        <v>0</v>
      </c>
      <c r="BI212" s="136">
        <f t="shared" si="25"/>
        <v>0</v>
      </c>
      <c r="BJ212" s="136">
        <f t="shared" si="18"/>
        <v>0</v>
      </c>
      <c r="BK212" s="136">
        <f t="shared" si="26"/>
        <v>0</v>
      </c>
      <c r="BL212" s="136">
        <f t="shared" si="27"/>
        <v>0</v>
      </c>
      <c r="BM212" s="136">
        <f t="shared" si="28"/>
        <v>0</v>
      </c>
      <c r="BN212" s="136">
        <f t="shared" si="29"/>
        <v>0</v>
      </c>
      <c r="BO212" s="136">
        <f t="shared" si="30"/>
        <v>0</v>
      </c>
      <c r="BP212" s="136">
        <f t="shared" si="31"/>
        <v>0</v>
      </c>
      <c r="BQ212" s="136">
        <f t="shared" si="19"/>
        <v>0</v>
      </c>
      <c r="BR212" s="136">
        <f t="shared" si="32"/>
        <v>0</v>
      </c>
      <c r="BS212" s="136">
        <f t="shared" si="33"/>
        <v>0</v>
      </c>
      <c r="BT212" s="136">
        <f t="shared" si="34"/>
        <v>0</v>
      </c>
      <c r="BU212" s="136">
        <f t="shared" si="35"/>
        <v>0</v>
      </c>
      <c r="BV212" s="136">
        <f t="shared" si="36"/>
        <v>0</v>
      </c>
      <c r="BW212" s="136">
        <f t="shared" si="37"/>
        <v>0</v>
      </c>
      <c r="BX212" s="136">
        <f t="shared" si="40"/>
        <v>0</v>
      </c>
    </row>
    <row r="213" spans="53:78" x14ac:dyDescent="0.25">
      <c r="BA213" s="138"/>
      <c r="BB213" s="136" t="str">
        <f t="shared" si="39"/>
        <v>2.5 Others</v>
      </c>
      <c r="BC213" s="136">
        <f t="shared" si="17"/>
        <v>0</v>
      </c>
      <c r="BD213" s="136">
        <f t="shared" si="20"/>
        <v>0</v>
      </c>
      <c r="BE213" s="136">
        <f t="shared" si="21"/>
        <v>0</v>
      </c>
      <c r="BF213" s="136">
        <f t="shared" si="22"/>
        <v>0</v>
      </c>
      <c r="BG213" s="136">
        <f t="shared" si="23"/>
        <v>0</v>
      </c>
      <c r="BH213" s="136">
        <f t="shared" si="24"/>
        <v>0</v>
      </c>
      <c r="BI213" s="136">
        <f t="shared" si="25"/>
        <v>0</v>
      </c>
      <c r="BJ213" s="136">
        <f t="shared" si="18"/>
        <v>0</v>
      </c>
      <c r="BK213" s="136">
        <f t="shared" si="26"/>
        <v>0</v>
      </c>
      <c r="BL213" s="136">
        <f t="shared" si="27"/>
        <v>0</v>
      </c>
      <c r="BM213" s="136">
        <f t="shared" si="28"/>
        <v>0</v>
      </c>
      <c r="BN213" s="136">
        <f t="shared" si="29"/>
        <v>0</v>
      </c>
      <c r="BO213" s="136">
        <f t="shared" si="30"/>
        <v>0</v>
      </c>
      <c r="BP213" s="136">
        <f t="shared" si="31"/>
        <v>0</v>
      </c>
      <c r="BQ213" s="136">
        <f t="shared" si="19"/>
        <v>0</v>
      </c>
      <c r="BR213" s="136">
        <f t="shared" si="32"/>
        <v>0</v>
      </c>
      <c r="BS213" s="136">
        <f t="shared" si="33"/>
        <v>0</v>
      </c>
      <c r="BT213" s="136">
        <f t="shared" si="34"/>
        <v>0</v>
      </c>
      <c r="BU213" s="136">
        <f t="shared" si="35"/>
        <v>0</v>
      </c>
      <c r="BV213" s="136">
        <f t="shared" si="36"/>
        <v>0</v>
      </c>
      <c r="BW213" s="136">
        <f t="shared" si="37"/>
        <v>0</v>
      </c>
      <c r="BX213" s="136">
        <f t="shared" si="40"/>
        <v>0</v>
      </c>
    </row>
    <row r="214" spans="53:78" x14ac:dyDescent="0.25">
      <c r="BA214" s="138">
        <f t="shared" si="38"/>
        <v>3</v>
      </c>
      <c r="BB214" s="136" t="str">
        <f t="shared" si="39"/>
        <v>Failure in Examination</v>
      </c>
      <c r="BC214" s="136">
        <f t="shared" si="17"/>
        <v>0</v>
      </c>
      <c r="BD214" s="136">
        <f t="shared" si="20"/>
        <v>0</v>
      </c>
      <c r="BE214" s="136">
        <f t="shared" si="21"/>
        <v>1</v>
      </c>
      <c r="BF214" s="136">
        <f t="shared" si="22"/>
        <v>0</v>
      </c>
      <c r="BG214" s="136">
        <f t="shared" si="23"/>
        <v>0</v>
      </c>
      <c r="BH214" s="136">
        <f t="shared" si="24"/>
        <v>0</v>
      </c>
      <c r="BI214" s="136">
        <f t="shared" si="25"/>
        <v>1</v>
      </c>
      <c r="BJ214" s="136">
        <f t="shared" si="18"/>
        <v>0</v>
      </c>
      <c r="BK214" s="136">
        <f t="shared" si="26"/>
        <v>1</v>
      </c>
      <c r="BL214" s="136">
        <f t="shared" si="27"/>
        <v>0</v>
      </c>
      <c r="BM214" s="136">
        <f t="shared" si="28"/>
        <v>0</v>
      </c>
      <c r="BN214" s="136">
        <f t="shared" si="29"/>
        <v>0</v>
      </c>
      <c r="BO214" s="136">
        <f t="shared" si="30"/>
        <v>0</v>
      </c>
      <c r="BP214" s="136">
        <f t="shared" si="31"/>
        <v>1</v>
      </c>
      <c r="BQ214" s="136">
        <f t="shared" si="19"/>
        <v>0</v>
      </c>
      <c r="BR214" s="136">
        <f t="shared" si="32"/>
        <v>0</v>
      </c>
      <c r="BS214" s="136">
        <f t="shared" si="33"/>
        <v>0</v>
      </c>
      <c r="BT214" s="136">
        <f t="shared" si="34"/>
        <v>0</v>
      </c>
      <c r="BU214" s="136">
        <f t="shared" si="35"/>
        <v>0</v>
      </c>
      <c r="BV214" s="136">
        <f t="shared" si="36"/>
        <v>0</v>
      </c>
      <c r="BW214" s="136">
        <f t="shared" si="37"/>
        <v>0</v>
      </c>
      <c r="BX214" s="136">
        <f t="shared" si="40"/>
        <v>2</v>
      </c>
    </row>
    <row r="215" spans="53:78" x14ac:dyDescent="0.25">
      <c r="BA215" s="138">
        <f t="shared" si="38"/>
        <v>4</v>
      </c>
      <c r="BB215" s="136" t="str">
        <f t="shared" si="39"/>
        <v>Impotency/Infertility</v>
      </c>
      <c r="BC215" s="136">
        <f t="shared" si="17"/>
        <v>0</v>
      </c>
      <c r="BD215" s="136">
        <f t="shared" si="20"/>
        <v>0</v>
      </c>
      <c r="BE215" s="136">
        <f t="shared" si="21"/>
        <v>0</v>
      </c>
      <c r="BF215" s="136">
        <f t="shared" si="22"/>
        <v>0</v>
      </c>
      <c r="BG215" s="136">
        <f t="shared" si="23"/>
        <v>0</v>
      </c>
      <c r="BH215" s="136">
        <f t="shared" si="24"/>
        <v>0</v>
      </c>
      <c r="BI215" s="136">
        <f t="shared" si="25"/>
        <v>0</v>
      </c>
      <c r="BJ215" s="136">
        <f t="shared" si="18"/>
        <v>0</v>
      </c>
      <c r="BK215" s="136">
        <f t="shared" si="26"/>
        <v>0</v>
      </c>
      <c r="BL215" s="136">
        <f t="shared" si="27"/>
        <v>0</v>
      </c>
      <c r="BM215" s="136">
        <f t="shared" si="28"/>
        <v>0</v>
      </c>
      <c r="BN215" s="136">
        <f t="shared" si="29"/>
        <v>0</v>
      </c>
      <c r="BO215" s="136">
        <f t="shared" si="30"/>
        <v>0</v>
      </c>
      <c r="BP215" s="136">
        <f t="shared" si="31"/>
        <v>0</v>
      </c>
      <c r="BQ215" s="136">
        <f t="shared" si="19"/>
        <v>0</v>
      </c>
      <c r="BR215" s="136">
        <f t="shared" si="32"/>
        <v>0</v>
      </c>
      <c r="BS215" s="136">
        <f t="shared" si="33"/>
        <v>0</v>
      </c>
      <c r="BT215" s="136">
        <f t="shared" si="34"/>
        <v>0</v>
      </c>
      <c r="BU215" s="136">
        <f t="shared" si="35"/>
        <v>0</v>
      </c>
      <c r="BV215" s="136">
        <f t="shared" si="36"/>
        <v>0</v>
      </c>
      <c r="BW215" s="136">
        <f t="shared" si="37"/>
        <v>0</v>
      </c>
      <c r="BX215" s="136">
        <f t="shared" si="40"/>
        <v>0</v>
      </c>
    </row>
    <row r="216" spans="53:78" x14ac:dyDescent="0.25">
      <c r="BA216" s="138">
        <f t="shared" si="38"/>
        <v>5</v>
      </c>
      <c r="BB216" s="136" t="str">
        <f t="shared" si="39"/>
        <v>Family problems</v>
      </c>
      <c r="BC216" s="136">
        <f t="shared" si="17"/>
        <v>0</v>
      </c>
      <c r="BD216" s="136">
        <f t="shared" si="20"/>
        <v>3</v>
      </c>
      <c r="BE216" s="136">
        <f t="shared" si="21"/>
        <v>22</v>
      </c>
      <c r="BF216" s="136">
        <f t="shared" si="22"/>
        <v>21</v>
      </c>
      <c r="BG216" s="136">
        <f t="shared" si="23"/>
        <v>27</v>
      </c>
      <c r="BH216" s="136">
        <f t="shared" si="24"/>
        <v>5</v>
      </c>
      <c r="BI216" s="136">
        <f t="shared" si="25"/>
        <v>78</v>
      </c>
      <c r="BJ216" s="136">
        <f t="shared" si="18"/>
        <v>0</v>
      </c>
      <c r="BK216" s="136">
        <f t="shared" si="26"/>
        <v>1</v>
      </c>
      <c r="BL216" s="136">
        <f t="shared" si="27"/>
        <v>5</v>
      </c>
      <c r="BM216" s="136">
        <f t="shared" si="28"/>
        <v>6</v>
      </c>
      <c r="BN216" s="136">
        <f t="shared" si="29"/>
        <v>6</v>
      </c>
      <c r="BO216" s="136">
        <f t="shared" si="30"/>
        <v>7</v>
      </c>
      <c r="BP216" s="136">
        <f t="shared" si="31"/>
        <v>25</v>
      </c>
      <c r="BQ216" s="136">
        <f t="shared" si="19"/>
        <v>0</v>
      </c>
      <c r="BR216" s="136">
        <f t="shared" si="32"/>
        <v>0</v>
      </c>
      <c r="BS216" s="136">
        <f t="shared" si="33"/>
        <v>0</v>
      </c>
      <c r="BT216" s="136">
        <f t="shared" si="34"/>
        <v>0</v>
      </c>
      <c r="BU216" s="136">
        <f t="shared" si="35"/>
        <v>0</v>
      </c>
      <c r="BV216" s="136">
        <f t="shared" si="36"/>
        <v>0</v>
      </c>
      <c r="BW216" s="136">
        <f t="shared" si="37"/>
        <v>0</v>
      </c>
      <c r="BX216" s="136">
        <f t="shared" si="40"/>
        <v>103</v>
      </c>
    </row>
    <row r="217" spans="53:78" ht="25.5" x14ac:dyDescent="0.25">
      <c r="BA217" s="138">
        <f t="shared" si="38"/>
        <v>6</v>
      </c>
      <c r="BB217" s="140" t="str">
        <f t="shared" si="39"/>
        <v>Illness (sum of 6.1 to 6.5)</v>
      </c>
      <c r="BC217" s="136">
        <f t="shared" si="17"/>
        <v>0</v>
      </c>
      <c r="BD217" s="136">
        <f t="shared" si="20"/>
        <v>0</v>
      </c>
      <c r="BE217" s="136">
        <f t="shared" si="21"/>
        <v>9</v>
      </c>
      <c r="BF217" s="136">
        <f t="shared" si="22"/>
        <v>10</v>
      </c>
      <c r="BG217" s="136">
        <f t="shared" si="23"/>
        <v>23</v>
      </c>
      <c r="BH217" s="136">
        <f t="shared" si="24"/>
        <v>10</v>
      </c>
      <c r="BI217" s="136">
        <f t="shared" si="25"/>
        <v>52</v>
      </c>
      <c r="BJ217" s="136">
        <f t="shared" si="18"/>
        <v>0</v>
      </c>
      <c r="BK217" s="136">
        <f t="shared" si="26"/>
        <v>0</v>
      </c>
      <c r="BL217" s="136">
        <f t="shared" si="27"/>
        <v>4</v>
      </c>
      <c r="BM217" s="136">
        <f t="shared" si="28"/>
        <v>8</v>
      </c>
      <c r="BN217" s="136">
        <f t="shared" si="29"/>
        <v>3</v>
      </c>
      <c r="BO217" s="136">
        <f t="shared" si="30"/>
        <v>6</v>
      </c>
      <c r="BP217" s="136">
        <f t="shared" si="31"/>
        <v>21</v>
      </c>
      <c r="BQ217" s="136">
        <f t="shared" si="19"/>
        <v>0</v>
      </c>
      <c r="BR217" s="136">
        <f t="shared" si="32"/>
        <v>0</v>
      </c>
      <c r="BS217" s="136">
        <f t="shared" si="33"/>
        <v>0</v>
      </c>
      <c r="BT217" s="136">
        <f t="shared" si="34"/>
        <v>0</v>
      </c>
      <c r="BU217" s="136">
        <f t="shared" si="35"/>
        <v>0</v>
      </c>
      <c r="BV217" s="136">
        <f t="shared" si="36"/>
        <v>0</v>
      </c>
      <c r="BW217" s="136">
        <f t="shared" si="37"/>
        <v>0</v>
      </c>
      <c r="BX217" s="136">
        <f t="shared" si="40"/>
        <v>73</v>
      </c>
    </row>
    <row r="218" spans="53:78" x14ac:dyDescent="0.25">
      <c r="BA218" s="138"/>
      <c r="BB218" s="136" t="str">
        <f t="shared" si="39"/>
        <v>6.1 AIDS/STD</v>
      </c>
      <c r="BC218" s="136">
        <f t="shared" si="17"/>
        <v>0</v>
      </c>
      <c r="BD218" s="136">
        <f t="shared" si="20"/>
        <v>0</v>
      </c>
      <c r="BE218" s="136">
        <f t="shared" si="21"/>
        <v>0</v>
      </c>
      <c r="BF218" s="136">
        <f t="shared" si="22"/>
        <v>0</v>
      </c>
      <c r="BG218" s="136">
        <f t="shared" si="23"/>
        <v>1</v>
      </c>
      <c r="BH218" s="136">
        <f t="shared" si="24"/>
        <v>0</v>
      </c>
      <c r="BI218" s="136">
        <f t="shared" si="25"/>
        <v>1</v>
      </c>
      <c r="BJ218" s="136">
        <f t="shared" si="18"/>
        <v>0</v>
      </c>
      <c r="BK218" s="136">
        <f t="shared" si="26"/>
        <v>0</v>
      </c>
      <c r="BL218" s="136">
        <f t="shared" si="27"/>
        <v>0</v>
      </c>
      <c r="BM218" s="136">
        <f t="shared" si="28"/>
        <v>0</v>
      </c>
      <c r="BN218" s="136">
        <f t="shared" si="29"/>
        <v>0</v>
      </c>
      <c r="BO218" s="136">
        <f t="shared" si="30"/>
        <v>0</v>
      </c>
      <c r="BP218" s="136">
        <f t="shared" si="31"/>
        <v>0</v>
      </c>
      <c r="BQ218" s="136">
        <f t="shared" si="19"/>
        <v>0</v>
      </c>
      <c r="BR218" s="136">
        <f t="shared" si="32"/>
        <v>0</v>
      </c>
      <c r="BS218" s="136">
        <f t="shared" si="33"/>
        <v>0</v>
      </c>
      <c r="BT218" s="136">
        <f t="shared" si="34"/>
        <v>0</v>
      </c>
      <c r="BU218" s="136">
        <f t="shared" si="35"/>
        <v>0</v>
      </c>
      <c r="BV218" s="136">
        <f t="shared" si="36"/>
        <v>0</v>
      </c>
      <c r="BW218" s="136">
        <f t="shared" si="37"/>
        <v>0</v>
      </c>
      <c r="BX218" s="136">
        <f t="shared" si="40"/>
        <v>1</v>
      </c>
    </row>
    <row r="219" spans="53:78" x14ac:dyDescent="0.25">
      <c r="BA219" s="138"/>
      <c r="BB219" s="136" t="str">
        <f t="shared" si="39"/>
        <v>6.2 Cancer</v>
      </c>
      <c r="BC219" s="136">
        <f t="shared" si="17"/>
        <v>0</v>
      </c>
      <c r="BD219" s="136">
        <f t="shared" si="20"/>
        <v>0</v>
      </c>
      <c r="BE219" s="136">
        <f t="shared" si="21"/>
        <v>0</v>
      </c>
      <c r="BF219" s="136">
        <f t="shared" si="22"/>
        <v>1</v>
      </c>
      <c r="BG219" s="136">
        <f t="shared" si="23"/>
        <v>2</v>
      </c>
      <c r="BH219" s="136">
        <f t="shared" si="24"/>
        <v>1</v>
      </c>
      <c r="BI219" s="136">
        <f t="shared" si="25"/>
        <v>4</v>
      </c>
      <c r="BJ219" s="136">
        <f t="shared" si="18"/>
        <v>0</v>
      </c>
      <c r="BK219" s="136">
        <f t="shared" si="26"/>
        <v>0</v>
      </c>
      <c r="BL219" s="136">
        <f t="shared" si="27"/>
        <v>0</v>
      </c>
      <c r="BM219" s="136">
        <f t="shared" si="28"/>
        <v>0</v>
      </c>
      <c r="BN219" s="136">
        <f t="shared" si="29"/>
        <v>0</v>
      </c>
      <c r="BO219" s="136">
        <f t="shared" si="30"/>
        <v>0</v>
      </c>
      <c r="BP219" s="136">
        <f t="shared" si="31"/>
        <v>0</v>
      </c>
      <c r="BQ219" s="136">
        <f t="shared" si="19"/>
        <v>0</v>
      </c>
      <c r="BR219" s="136">
        <f t="shared" si="32"/>
        <v>0</v>
      </c>
      <c r="BS219" s="136">
        <f t="shared" si="33"/>
        <v>0</v>
      </c>
      <c r="BT219" s="136">
        <f t="shared" si="34"/>
        <v>0</v>
      </c>
      <c r="BU219" s="136">
        <f t="shared" si="35"/>
        <v>0</v>
      </c>
      <c r="BV219" s="136">
        <f t="shared" si="36"/>
        <v>0</v>
      </c>
      <c r="BW219" s="136">
        <f t="shared" si="37"/>
        <v>0</v>
      </c>
      <c r="BX219" s="136">
        <f t="shared" si="40"/>
        <v>4</v>
      </c>
    </row>
    <row r="220" spans="53:78" x14ac:dyDescent="0.25">
      <c r="BA220" s="138"/>
      <c r="BB220" s="136" t="str">
        <f t="shared" si="39"/>
        <v>6.3 Paralysis</v>
      </c>
      <c r="BC220" s="136">
        <f t="shared" si="17"/>
        <v>0</v>
      </c>
      <c r="BD220" s="136">
        <f t="shared" si="20"/>
        <v>0</v>
      </c>
      <c r="BE220" s="136">
        <f t="shared" si="21"/>
        <v>0</v>
      </c>
      <c r="BF220" s="136">
        <f t="shared" si="22"/>
        <v>0</v>
      </c>
      <c r="BG220" s="136">
        <f t="shared" si="23"/>
        <v>1</v>
      </c>
      <c r="BH220" s="136">
        <f t="shared" si="24"/>
        <v>0</v>
      </c>
      <c r="BI220" s="136">
        <f t="shared" si="25"/>
        <v>1</v>
      </c>
      <c r="BJ220" s="136">
        <f t="shared" si="18"/>
        <v>0</v>
      </c>
      <c r="BK220" s="136">
        <f t="shared" si="26"/>
        <v>0</v>
      </c>
      <c r="BL220" s="136">
        <f t="shared" si="27"/>
        <v>0</v>
      </c>
      <c r="BM220" s="136">
        <f t="shared" si="28"/>
        <v>0</v>
      </c>
      <c r="BN220" s="136">
        <f t="shared" si="29"/>
        <v>0</v>
      </c>
      <c r="BO220" s="136">
        <f t="shared" si="30"/>
        <v>0</v>
      </c>
      <c r="BP220" s="136">
        <f t="shared" si="31"/>
        <v>0</v>
      </c>
      <c r="BQ220" s="136">
        <f t="shared" si="19"/>
        <v>0</v>
      </c>
      <c r="BR220" s="136">
        <f t="shared" si="32"/>
        <v>0</v>
      </c>
      <c r="BS220" s="136">
        <f t="shared" si="33"/>
        <v>0</v>
      </c>
      <c r="BT220" s="136">
        <f t="shared" si="34"/>
        <v>0</v>
      </c>
      <c r="BU220" s="136">
        <f t="shared" si="35"/>
        <v>0</v>
      </c>
      <c r="BV220" s="136">
        <f t="shared" si="36"/>
        <v>0</v>
      </c>
      <c r="BW220" s="136">
        <f t="shared" si="37"/>
        <v>0</v>
      </c>
      <c r="BX220" s="136">
        <f t="shared" si="40"/>
        <v>1</v>
      </c>
    </row>
    <row r="221" spans="53:78" x14ac:dyDescent="0.25">
      <c r="BA221" s="138"/>
      <c r="BB221" s="136" t="str">
        <f t="shared" si="39"/>
        <v>6.4 Insanity/Mental illness</v>
      </c>
      <c r="BC221" s="136">
        <f t="shared" si="17"/>
        <v>0</v>
      </c>
      <c r="BD221" s="136">
        <f t="shared" si="20"/>
        <v>0</v>
      </c>
      <c r="BE221" s="136">
        <f t="shared" si="21"/>
        <v>9</v>
      </c>
      <c r="BF221" s="136">
        <f t="shared" si="22"/>
        <v>8</v>
      </c>
      <c r="BG221" s="136">
        <f t="shared" si="23"/>
        <v>11</v>
      </c>
      <c r="BH221" s="136">
        <f t="shared" si="24"/>
        <v>5</v>
      </c>
      <c r="BI221" s="136">
        <f t="shared" si="25"/>
        <v>33</v>
      </c>
      <c r="BJ221" s="136">
        <f t="shared" si="18"/>
        <v>0</v>
      </c>
      <c r="BK221" s="136">
        <f t="shared" si="26"/>
        <v>0</v>
      </c>
      <c r="BL221" s="136">
        <f t="shared" si="27"/>
        <v>2</v>
      </c>
      <c r="BM221" s="136">
        <f t="shared" si="28"/>
        <v>6</v>
      </c>
      <c r="BN221" s="136">
        <f t="shared" si="29"/>
        <v>3</v>
      </c>
      <c r="BO221" s="136">
        <f t="shared" si="30"/>
        <v>3</v>
      </c>
      <c r="BP221" s="136">
        <f t="shared" si="31"/>
        <v>14</v>
      </c>
      <c r="BQ221" s="136">
        <f t="shared" si="19"/>
        <v>0</v>
      </c>
      <c r="BR221" s="136">
        <f t="shared" si="32"/>
        <v>0</v>
      </c>
      <c r="BS221" s="136">
        <f t="shared" si="33"/>
        <v>0</v>
      </c>
      <c r="BT221" s="136">
        <f t="shared" si="34"/>
        <v>0</v>
      </c>
      <c r="BU221" s="136">
        <f t="shared" si="35"/>
        <v>0</v>
      </c>
      <c r="BV221" s="136">
        <f t="shared" si="36"/>
        <v>0</v>
      </c>
      <c r="BW221" s="136">
        <f t="shared" si="37"/>
        <v>0</v>
      </c>
      <c r="BX221" s="136">
        <f t="shared" si="40"/>
        <v>47</v>
      </c>
    </row>
    <row r="222" spans="53:78" x14ac:dyDescent="0.25">
      <c r="BA222" s="138"/>
      <c r="BB222" s="136" t="str">
        <f t="shared" si="39"/>
        <v>6.5 Other prolonged illness</v>
      </c>
      <c r="BC222" s="136">
        <f t="shared" si="17"/>
        <v>0</v>
      </c>
      <c r="BD222" s="136">
        <f t="shared" si="20"/>
        <v>0</v>
      </c>
      <c r="BE222" s="136">
        <f t="shared" si="21"/>
        <v>0</v>
      </c>
      <c r="BF222" s="136">
        <f t="shared" si="22"/>
        <v>1</v>
      </c>
      <c r="BG222" s="136">
        <f t="shared" si="23"/>
        <v>8</v>
      </c>
      <c r="BH222" s="136">
        <f t="shared" si="24"/>
        <v>4</v>
      </c>
      <c r="BI222" s="136">
        <f t="shared" si="25"/>
        <v>13</v>
      </c>
      <c r="BJ222" s="136">
        <f t="shared" si="18"/>
        <v>0</v>
      </c>
      <c r="BK222" s="136">
        <f t="shared" si="26"/>
        <v>0</v>
      </c>
      <c r="BL222" s="136">
        <f t="shared" si="27"/>
        <v>2</v>
      </c>
      <c r="BM222" s="136">
        <f t="shared" si="28"/>
        <v>2</v>
      </c>
      <c r="BN222" s="136">
        <f t="shared" si="29"/>
        <v>0</v>
      </c>
      <c r="BO222" s="136">
        <f t="shared" si="30"/>
        <v>3</v>
      </c>
      <c r="BP222" s="136">
        <f t="shared" si="31"/>
        <v>7</v>
      </c>
      <c r="BQ222" s="136">
        <f t="shared" si="19"/>
        <v>0</v>
      </c>
      <c r="BR222" s="136">
        <f t="shared" si="32"/>
        <v>0</v>
      </c>
      <c r="BS222" s="136">
        <f t="shared" si="33"/>
        <v>0</v>
      </c>
      <c r="BT222" s="136">
        <f t="shared" si="34"/>
        <v>0</v>
      </c>
      <c r="BU222" s="136">
        <f t="shared" si="35"/>
        <v>0</v>
      </c>
      <c r="BV222" s="136">
        <f t="shared" si="36"/>
        <v>0</v>
      </c>
      <c r="BW222" s="136">
        <f t="shared" si="37"/>
        <v>0</v>
      </c>
      <c r="BX222" s="136">
        <f t="shared" si="40"/>
        <v>20</v>
      </c>
    </row>
    <row r="223" spans="53:78" x14ac:dyDescent="0.25">
      <c r="BA223" s="138">
        <f t="shared" si="38"/>
        <v>7</v>
      </c>
      <c r="BB223" s="136" t="str">
        <f t="shared" si="39"/>
        <v>Death of dear person</v>
      </c>
      <c r="BC223" s="136">
        <f t="shared" si="17"/>
        <v>0</v>
      </c>
      <c r="BD223" s="136">
        <f t="shared" si="20"/>
        <v>0</v>
      </c>
      <c r="BE223" s="136">
        <f t="shared" si="21"/>
        <v>1</v>
      </c>
      <c r="BF223" s="136">
        <f t="shared" si="22"/>
        <v>1</v>
      </c>
      <c r="BG223" s="136">
        <f t="shared" si="23"/>
        <v>2</v>
      </c>
      <c r="BH223" s="136">
        <f t="shared" si="24"/>
        <v>0</v>
      </c>
      <c r="BI223" s="136">
        <f t="shared" si="25"/>
        <v>4</v>
      </c>
      <c r="BJ223" s="136">
        <f t="shared" si="18"/>
        <v>0</v>
      </c>
      <c r="BK223" s="136">
        <f t="shared" si="26"/>
        <v>0</v>
      </c>
      <c r="BL223" s="136">
        <f t="shared" si="27"/>
        <v>0</v>
      </c>
      <c r="BM223" s="136">
        <f t="shared" si="28"/>
        <v>1</v>
      </c>
      <c r="BN223" s="136">
        <f t="shared" si="29"/>
        <v>0</v>
      </c>
      <c r="BO223" s="136">
        <f t="shared" si="30"/>
        <v>1</v>
      </c>
      <c r="BP223" s="136">
        <f t="shared" si="31"/>
        <v>2</v>
      </c>
      <c r="BQ223" s="136">
        <f t="shared" si="19"/>
        <v>0</v>
      </c>
      <c r="BR223" s="136">
        <f t="shared" si="32"/>
        <v>0</v>
      </c>
      <c r="BS223" s="136">
        <f t="shared" si="33"/>
        <v>0</v>
      </c>
      <c r="BT223" s="136">
        <f t="shared" si="34"/>
        <v>0</v>
      </c>
      <c r="BU223" s="136">
        <f t="shared" si="35"/>
        <v>0</v>
      </c>
      <c r="BV223" s="136">
        <f t="shared" si="36"/>
        <v>0</v>
      </c>
      <c r="BW223" s="136">
        <f t="shared" si="37"/>
        <v>0</v>
      </c>
      <c r="BX223" s="136">
        <f t="shared" si="40"/>
        <v>6</v>
      </c>
    </row>
    <row r="224" spans="53:78" x14ac:dyDescent="0.25">
      <c r="BA224" s="138">
        <f t="shared" si="38"/>
        <v>8</v>
      </c>
      <c r="BB224" s="136" t="str">
        <f t="shared" si="39"/>
        <v>Drug abuse/Alcoholic addiction</v>
      </c>
      <c r="BC224" s="136">
        <f t="shared" si="17"/>
        <v>0</v>
      </c>
      <c r="BD224" s="136">
        <f t="shared" si="20"/>
        <v>0</v>
      </c>
      <c r="BE224" s="136">
        <f t="shared" si="21"/>
        <v>2</v>
      </c>
      <c r="BF224" s="136">
        <f t="shared" si="22"/>
        <v>20</v>
      </c>
      <c r="BG224" s="136">
        <f t="shared" si="23"/>
        <v>12</v>
      </c>
      <c r="BH224" s="136">
        <f t="shared" si="24"/>
        <v>0</v>
      </c>
      <c r="BI224" s="136">
        <f t="shared" si="25"/>
        <v>34</v>
      </c>
      <c r="BJ224" s="136">
        <f t="shared" si="18"/>
        <v>0</v>
      </c>
      <c r="BK224" s="136">
        <f t="shared" si="26"/>
        <v>0</v>
      </c>
      <c r="BL224" s="136">
        <f t="shared" si="27"/>
        <v>0</v>
      </c>
      <c r="BM224" s="136">
        <f t="shared" si="28"/>
        <v>1</v>
      </c>
      <c r="BN224" s="136">
        <f t="shared" si="29"/>
        <v>0</v>
      </c>
      <c r="BO224" s="136">
        <f t="shared" si="30"/>
        <v>0</v>
      </c>
      <c r="BP224" s="136">
        <f t="shared" si="31"/>
        <v>1</v>
      </c>
      <c r="BQ224" s="136">
        <f t="shared" si="19"/>
        <v>0</v>
      </c>
      <c r="BR224" s="136">
        <f t="shared" si="32"/>
        <v>0</v>
      </c>
      <c r="BS224" s="136">
        <f t="shared" si="33"/>
        <v>0</v>
      </c>
      <c r="BT224" s="136">
        <f t="shared" si="34"/>
        <v>0</v>
      </c>
      <c r="BU224" s="136">
        <f t="shared" si="35"/>
        <v>0</v>
      </c>
      <c r="BV224" s="136">
        <f t="shared" si="36"/>
        <v>0</v>
      </c>
      <c r="BW224" s="136">
        <f t="shared" si="37"/>
        <v>0</v>
      </c>
      <c r="BX224" s="136">
        <f t="shared" si="40"/>
        <v>35</v>
      </c>
    </row>
    <row r="225" spans="53:77" x14ac:dyDescent="0.25">
      <c r="BA225" s="138">
        <f t="shared" si="38"/>
        <v>9</v>
      </c>
      <c r="BB225" s="136" t="str">
        <f t="shared" si="39"/>
        <v>Fall in social reputation</v>
      </c>
      <c r="BC225" s="136">
        <f t="shared" si="17"/>
        <v>0</v>
      </c>
      <c r="BD225" s="136">
        <f t="shared" si="20"/>
        <v>0</v>
      </c>
      <c r="BE225" s="136">
        <f t="shared" si="21"/>
        <v>0</v>
      </c>
      <c r="BF225" s="136">
        <f t="shared" si="22"/>
        <v>0</v>
      </c>
      <c r="BG225" s="136">
        <f t="shared" si="23"/>
        <v>0</v>
      </c>
      <c r="BH225" s="136">
        <f t="shared" si="24"/>
        <v>0</v>
      </c>
      <c r="BI225" s="136">
        <f t="shared" si="25"/>
        <v>0</v>
      </c>
      <c r="BJ225" s="136">
        <f t="shared" si="18"/>
        <v>0</v>
      </c>
      <c r="BK225" s="136">
        <f t="shared" si="26"/>
        <v>0</v>
      </c>
      <c r="BL225" s="136">
        <f t="shared" si="27"/>
        <v>0</v>
      </c>
      <c r="BM225" s="136">
        <f t="shared" si="28"/>
        <v>0</v>
      </c>
      <c r="BN225" s="136">
        <f t="shared" si="29"/>
        <v>0</v>
      </c>
      <c r="BO225" s="136">
        <f t="shared" si="30"/>
        <v>0</v>
      </c>
      <c r="BP225" s="136">
        <f t="shared" si="31"/>
        <v>0</v>
      </c>
      <c r="BQ225" s="136">
        <f t="shared" si="19"/>
        <v>0</v>
      </c>
      <c r="BR225" s="136">
        <f t="shared" si="32"/>
        <v>0</v>
      </c>
      <c r="BS225" s="136">
        <f t="shared" si="33"/>
        <v>0</v>
      </c>
      <c r="BT225" s="136">
        <f t="shared" si="34"/>
        <v>0</v>
      </c>
      <c r="BU225" s="136">
        <f t="shared" si="35"/>
        <v>0</v>
      </c>
      <c r="BV225" s="136">
        <f t="shared" si="36"/>
        <v>0</v>
      </c>
      <c r="BW225" s="136">
        <f t="shared" si="37"/>
        <v>0</v>
      </c>
      <c r="BX225" s="136">
        <f t="shared" si="40"/>
        <v>0</v>
      </c>
    </row>
    <row r="226" spans="53:77" ht="25.5" x14ac:dyDescent="0.25">
      <c r="BA226" s="138">
        <f t="shared" si="38"/>
        <v>10</v>
      </c>
      <c r="BB226" s="140" t="str">
        <f t="shared" si="39"/>
        <v>Ideological causes/Hero worshipping</v>
      </c>
      <c r="BC226" s="136">
        <f t="shared" si="17"/>
        <v>0</v>
      </c>
      <c r="BD226" s="136">
        <f t="shared" si="20"/>
        <v>0</v>
      </c>
      <c r="BE226" s="136">
        <f t="shared" si="21"/>
        <v>0</v>
      </c>
      <c r="BF226" s="136">
        <f t="shared" si="22"/>
        <v>0</v>
      </c>
      <c r="BG226" s="136">
        <f t="shared" si="23"/>
        <v>0</v>
      </c>
      <c r="BH226" s="136">
        <f t="shared" si="24"/>
        <v>0</v>
      </c>
      <c r="BI226" s="136">
        <f t="shared" si="25"/>
        <v>0</v>
      </c>
      <c r="BJ226" s="136">
        <f t="shared" si="18"/>
        <v>0</v>
      </c>
      <c r="BK226" s="136">
        <f t="shared" si="26"/>
        <v>0</v>
      </c>
      <c r="BL226" s="136">
        <f t="shared" si="27"/>
        <v>0</v>
      </c>
      <c r="BM226" s="136">
        <f t="shared" si="28"/>
        <v>0</v>
      </c>
      <c r="BN226" s="136">
        <f t="shared" si="29"/>
        <v>0</v>
      </c>
      <c r="BO226" s="136">
        <f t="shared" si="30"/>
        <v>0</v>
      </c>
      <c r="BP226" s="136">
        <f t="shared" si="31"/>
        <v>0</v>
      </c>
      <c r="BQ226" s="136">
        <f t="shared" si="19"/>
        <v>0</v>
      </c>
      <c r="BR226" s="136">
        <f t="shared" si="32"/>
        <v>0</v>
      </c>
      <c r="BS226" s="136">
        <f t="shared" si="33"/>
        <v>0</v>
      </c>
      <c r="BT226" s="136">
        <f t="shared" si="34"/>
        <v>0</v>
      </c>
      <c r="BU226" s="136">
        <f t="shared" si="35"/>
        <v>0</v>
      </c>
      <c r="BV226" s="136">
        <f t="shared" si="36"/>
        <v>0</v>
      </c>
      <c r="BW226" s="136">
        <f t="shared" si="37"/>
        <v>0</v>
      </c>
      <c r="BX226" s="136">
        <f t="shared" si="40"/>
        <v>0</v>
      </c>
    </row>
    <row r="227" spans="53:77" x14ac:dyDescent="0.25">
      <c r="BA227" s="138">
        <f t="shared" si="38"/>
        <v>11</v>
      </c>
      <c r="BB227" s="136" t="str">
        <f t="shared" si="39"/>
        <v>Love affairs</v>
      </c>
      <c r="BC227" s="136">
        <f t="shared" si="17"/>
        <v>0</v>
      </c>
      <c r="BD227" s="136">
        <f t="shared" si="20"/>
        <v>1</v>
      </c>
      <c r="BE227" s="136">
        <f t="shared" si="21"/>
        <v>13</v>
      </c>
      <c r="BF227" s="136">
        <f t="shared" si="22"/>
        <v>1</v>
      </c>
      <c r="BG227" s="136">
        <f t="shared" si="23"/>
        <v>0</v>
      </c>
      <c r="BH227" s="136">
        <f t="shared" si="24"/>
        <v>0</v>
      </c>
      <c r="BI227" s="136">
        <f t="shared" si="25"/>
        <v>15</v>
      </c>
      <c r="BJ227" s="136">
        <f t="shared" si="18"/>
        <v>0</v>
      </c>
      <c r="BK227" s="136">
        <f t="shared" si="26"/>
        <v>0</v>
      </c>
      <c r="BL227" s="136">
        <f t="shared" si="27"/>
        <v>3</v>
      </c>
      <c r="BM227" s="136">
        <f t="shared" si="28"/>
        <v>1</v>
      </c>
      <c r="BN227" s="136">
        <f t="shared" si="29"/>
        <v>0</v>
      </c>
      <c r="BO227" s="136">
        <f t="shared" si="30"/>
        <v>0</v>
      </c>
      <c r="BP227" s="136">
        <f t="shared" si="31"/>
        <v>4</v>
      </c>
      <c r="BQ227" s="136">
        <f t="shared" si="19"/>
        <v>0</v>
      </c>
      <c r="BR227" s="136">
        <f t="shared" si="32"/>
        <v>0</v>
      </c>
      <c r="BS227" s="136">
        <f t="shared" si="33"/>
        <v>0</v>
      </c>
      <c r="BT227" s="136">
        <f t="shared" si="34"/>
        <v>0</v>
      </c>
      <c r="BU227" s="136">
        <f t="shared" si="35"/>
        <v>0</v>
      </c>
      <c r="BV227" s="136">
        <f t="shared" si="36"/>
        <v>0</v>
      </c>
      <c r="BW227" s="136">
        <f t="shared" si="37"/>
        <v>0</v>
      </c>
      <c r="BX227" s="136">
        <f t="shared" si="40"/>
        <v>19</v>
      </c>
    </row>
    <row r="228" spans="53:77" x14ac:dyDescent="0.25">
      <c r="BA228" s="138">
        <f t="shared" si="38"/>
        <v>12</v>
      </c>
      <c r="BB228" s="136" t="str">
        <f t="shared" si="39"/>
        <v>Poverty</v>
      </c>
      <c r="BC228" s="136">
        <f t="shared" si="17"/>
        <v>0</v>
      </c>
      <c r="BD228" s="136">
        <f t="shared" si="20"/>
        <v>0</v>
      </c>
      <c r="BE228" s="136">
        <f t="shared" si="21"/>
        <v>0</v>
      </c>
      <c r="BF228" s="136">
        <f t="shared" si="22"/>
        <v>1</v>
      </c>
      <c r="BG228" s="136">
        <f t="shared" si="23"/>
        <v>0</v>
      </c>
      <c r="BH228" s="136">
        <f t="shared" si="24"/>
        <v>1</v>
      </c>
      <c r="BI228" s="136">
        <f t="shared" si="25"/>
        <v>2</v>
      </c>
      <c r="BJ228" s="136">
        <f t="shared" si="18"/>
        <v>0</v>
      </c>
      <c r="BK228" s="136">
        <f t="shared" si="26"/>
        <v>0</v>
      </c>
      <c r="BL228" s="136">
        <f t="shared" si="27"/>
        <v>0</v>
      </c>
      <c r="BM228" s="136">
        <f t="shared" si="28"/>
        <v>0</v>
      </c>
      <c r="BN228" s="136">
        <f t="shared" si="29"/>
        <v>2</v>
      </c>
      <c r="BO228" s="136">
        <f t="shared" si="30"/>
        <v>1</v>
      </c>
      <c r="BP228" s="136">
        <f t="shared" si="31"/>
        <v>3</v>
      </c>
      <c r="BQ228" s="136">
        <f t="shared" si="19"/>
        <v>0</v>
      </c>
      <c r="BR228" s="136">
        <f t="shared" si="32"/>
        <v>0</v>
      </c>
      <c r="BS228" s="136">
        <f t="shared" si="33"/>
        <v>0</v>
      </c>
      <c r="BT228" s="136">
        <f t="shared" si="34"/>
        <v>0</v>
      </c>
      <c r="BU228" s="136">
        <f t="shared" si="35"/>
        <v>0</v>
      </c>
      <c r="BV228" s="136">
        <f t="shared" si="36"/>
        <v>0</v>
      </c>
      <c r="BW228" s="136">
        <f t="shared" si="37"/>
        <v>0</v>
      </c>
      <c r="BX228" s="136">
        <f t="shared" si="40"/>
        <v>5</v>
      </c>
    </row>
    <row r="229" spans="53:77" x14ac:dyDescent="0.25">
      <c r="BA229" s="138">
        <f t="shared" si="38"/>
        <v>13</v>
      </c>
      <c r="BB229" s="136" t="str">
        <f t="shared" si="39"/>
        <v>Unemployment</v>
      </c>
      <c r="BC229" s="136">
        <f t="shared" si="17"/>
        <v>0</v>
      </c>
      <c r="BD229" s="136">
        <f t="shared" si="20"/>
        <v>0</v>
      </c>
      <c r="BE229" s="136">
        <f t="shared" si="21"/>
        <v>8</v>
      </c>
      <c r="BF229" s="136">
        <f t="shared" si="22"/>
        <v>9</v>
      </c>
      <c r="BG229" s="136">
        <f t="shared" si="23"/>
        <v>6</v>
      </c>
      <c r="BH229" s="136">
        <f t="shared" si="24"/>
        <v>0</v>
      </c>
      <c r="BI229" s="136">
        <f t="shared" si="25"/>
        <v>23</v>
      </c>
      <c r="BJ229" s="136">
        <f t="shared" si="18"/>
        <v>0</v>
      </c>
      <c r="BK229" s="136">
        <f t="shared" si="26"/>
        <v>0</v>
      </c>
      <c r="BL229" s="136">
        <f t="shared" si="27"/>
        <v>0</v>
      </c>
      <c r="BM229" s="136">
        <f t="shared" si="28"/>
        <v>0</v>
      </c>
      <c r="BN229" s="136">
        <f t="shared" si="29"/>
        <v>0</v>
      </c>
      <c r="BO229" s="136">
        <f t="shared" si="30"/>
        <v>0</v>
      </c>
      <c r="BP229" s="136">
        <f t="shared" si="31"/>
        <v>0</v>
      </c>
      <c r="BQ229" s="136">
        <f t="shared" si="19"/>
        <v>0</v>
      </c>
      <c r="BR229" s="136">
        <f t="shared" si="32"/>
        <v>0</v>
      </c>
      <c r="BS229" s="136">
        <f t="shared" si="33"/>
        <v>0</v>
      </c>
      <c r="BT229" s="136">
        <f t="shared" si="34"/>
        <v>0</v>
      </c>
      <c r="BU229" s="136">
        <f t="shared" si="35"/>
        <v>0</v>
      </c>
      <c r="BV229" s="136">
        <f t="shared" si="36"/>
        <v>0</v>
      </c>
      <c r="BW229" s="136">
        <f t="shared" si="37"/>
        <v>0</v>
      </c>
      <c r="BX229" s="136">
        <f t="shared" si="40"/>
        <v>23</v>
      </c>
    </row>
    <row r="230" spans="53:77" x14ac:dyDescent="0.25">
      <c r="BA230" s="138">
        <f t="shared" si="38"/>
        <v>14</v>
      </c>
      <c r="BB230" s="136" t="str">
        <f t="shared" si="39"/>
        <v>Property dispute</v>
      </c>
      <c r="BC230" s="136">
        <f t="shared" si="17"/>
        <v>0</v>
      </c>
      <c r="BD230" s="136">
        <f t="shared" si="20"/>
        <v>0</v>
      </c>
      <c r="BE230" s="136">
        <f t="shared" si="21"/>
        <v>0</v>
      </c>
      <c r="BF230" s="136">
        <f t="shared" si="22"/>
        <v>0</v>
      </c>
      <c r="BG230" s="136">
        <f t="shared" si="23"/>
        <v>0</v>
      </c>
      <c r="BH230" s="136">
        <f t="shared" si="24"/>
        <v>0</v>
      </c>
      <c r="BI230" s="136">
        <f t="shared" si="25"/>
        <v>0</v>
      </c>
      <c r="BJ230" s="136">
        <f t="shared" si="18"/>
        <v>0</v>
      </c>
      <c r="BK230" s="136">
        <f t="shared" si="26"/>
        <v>0</v>
      </c>
      <c r="BL230" s="136">
        <f t="shared" si="27"/>
        <v>0</v>
      </c>
      <c r="BM230" s="136">
        <f t="shared" si="28"/>
        <v>0</v>
      </c>
      <c r="BN230" s="136">
        <f t="shared" si="29"/>
        <v>0</v>
      </c>
      <c r="BO230" s="136">
        <f t="shared" si="30"/>
        <v>0</v>
      </c>
      <c r="BP230" s="136">
        <f t="shared" si="31"/>
        <v>0</v>
      </c>
      <c r="BQ230" s="136">
        <f t="shared" si="19"/>
        <v>0</v>
      </c>
      <c r="BR230" s="136">
        <f t="shared" si="32"/>
        <v>0</v>
      </c>
      <c r="BS230" s="136">
        <f t="shared" si="33"/>
        <v>0</v>
      </c>
      <c r="BT230" s="136">
        <f t="shared" si="34"/>
        <v>0</v>
      </c>
      <c r="BU230" s="136">
        <f t="shared" si="35"/>
        <v>0</v>
      </c>
      <c r="BV230" s="136">
        <f t="shared" si="36"/>
        <v>0</v>
      </c>
      <c r="BW230" s="136">
        <f t="shared" si="37"/>
        <v>0</v>
      </c>
      <c r="BX230" s="136">
        <f t="shared" si="40"/>
        <v>0</v>
      </c>
    </row>
    <row r="231" spans="53:77" ht="25.5" x14ac:dyDescent="0.25">
      <c r="BA231" s="138">
        <f t="shared" si="38"/>
        <v>15</v>
      </c>
      <c r="BB231" s="140" t="str">
        <f t="shared" si="39"/>
        <v>Suspected/Illicit relation (other than item 2.3)</v>
      </c>
      <c r="BC231" s="136">
        <f t="shared" si="17"/>
        <v>0</v>
      </c>
      <c r="BD231" s="136">
        <f t="shared" si="20"/>
        <v>0</v>
      </c>
      <c r="BE231" s="136">
        <f t="shared" si="21"/>
        <v>0</v>
      </c>
      <c r="BF231" s="136">
        <f t="shared" si="22"/>
        <v>1</v>
      </c>
      <c r="BG231" s="136">
        <f t="shared" si="23"/>
        <v>0</v>
      </c>
      <c r="BH231" s="136">
        <f t="shared" si="24"/>
        <v>0</v>
      </c>
      <c r="BI231" s="136">
        <f t="shared" si="25"/>
        <v>1</v>
      </c>
      <c r="BJ231" s="136">
        <f t="shared" si="18"/>
        <v>0</v>
      </c>
      <c r="BK231" s="136">
        <f t="shared" si="26"/>
        <v>0</v>
      </c>
      <c r="BL231" s="136">
        <f t="shared" si="27"/>
        <v>0</v>
      </c>
      <c r="BM231" s="136">
        <f t="shared" si="28"/>
        <v>0</v>
      </c>
      <c r="BN231" s="136">
        <f t="shared" si="29"/>
        <v>0</v>
      </c>
      <c r="BO231" s="136">
        <f t="shared" si="30"/>
        <v>0</v>
      </c>
      <c r="BP231" s="136">
        <f t="shared" si="31"/>
        <v>0</v>
      </c>
      <c r="BQ231" s="136">
        <f t="shared" si="19"/>
        <v>0</v>
      </c>
      <c r="BR231" s="136">
        <f t="shared" si="32"/>
        <v>0</v>
      </c>
      <c r="BS231" s="136">
        <f t="shared" si="33"/>
        <v>0</v>
      </c>
      <c r="BT231" s="136">
        <f t="shared" si="34"/>
        <v>0</v>
      </c>
      <c r="BU231" s="136">
        <f t="shared" si="35"/>
        <v>0</v>
      </c>
      <c r="BV231" s="136">
        <f t="shared" si="36"/>
        <v>0</v>
      </c>
      <c r="BW231" s="136">
        <f t="shared" si="37"/>
        <v>0</v>
      </c>
      <c r="BX231" s="136">
        <f t="shared" si="40"/>
        <v>1</v>
      </c>
    </row>
    <row r="232" spans="53:77" ht="25.5" x14ac:dyDescent="0.25">
      <c r="BA232" s="138">
        <f t="shared" si="38"/>
        <v>16</v>
      </c>
      <c r="BB232" s="140" t="str">
        <f t="shared" si="39"/>
        <v>Illegitimate Pregnancy (other than item 2.3)</v>
      </c>
      <c r="BC232" s="136">
        <f t="shared" si="17"/>
        <v>0</v>
      </c>
      <c r="BD232" s="136">
        <f t="shared" si="20"/>
        <v>0</v>
      </c>
      <c r="BE232" s="136">
        <f t="shared" si="21"/>
        <v>0</v>
      </c>
      <c r="BF232" s="136">
        <f t="shared" si="22"/>
        <v>0</v>
      </c>
      <c r="BG232" s="136">
        <f t="shared" si="23"/>
        <v>0</v>
      </c>
      <c r="BH232" s="136">
        <f t="shared" si="24"/>
        <v>0</v>
      </c>
      <c r="BI232" s="136">
        <f t="shared" si="25"/>
        <v>0</v>
      </c>
      <c r="BJ232" s="136">
        <f t="shared" si="18"/>
        <v>0</v>
      </c>
      <c r="BK232" s="136">
        <f t="shared" si="26"/>
        <v>0</v>
      </c>
      <c r="BL232" s="136">
        <f t="shared" si="27"/>
        <v>0</v>
      </c>
      <c r="BM232" s="136">
        <f t="shared" si="28"/>
        <v>0</v>
      </c>
      <c r="BN232" s="136">
        <f t="shared" si="29"/>
        <v>0</v>
      </c>
      <c r="BO232" s="136">
        <f t="shared" si="30"/>
        <v>0</v>
      </c>
      <c r="BP232" s="136">
        <f t="shared" si="31"/>
        <v>0</v>
      </c>
      <c r="BQ232" s="136">
        <f t="shared" si="19"/>
        <v>0</v>
      </c>
      <c r="BR232" s="136">
        <f t="shared" si="32"/>
        <v>0</v>
      </c>
      <c r="BS232" s="136">
        <f t="shared" si="33"/>
        <v>0</v>
      </c>
      <c r="BT232" s="136">
        <f t="shared" si="34"/>
        <v>0</v>
      </c>
      <c r="BU232" s="136">
        <f t="shared" si="35"/>
        <v>0</v>
      </c>
      <c r="BV232" s="136">
        <f t="shared" si="36"/>
        <v>0</v>
      </c>
      <c r="BW232" s="136">
        <f t="shared" si="37"/>
        <v>0</v>
      </c>
      <c r="BX232" s="136">
        <f t="shared" si="40"/>
        <v>0</v>
      </c>
    </row>
    <row r="233" spans="53:77" x14ac:dyDescent="0.25">
      <c r="BA233" s="138">
        <f t="shared" si="38"/>
        <v>17</v>
      </c>
      <c r="BB233" s="136" t="str">
        <f t="shared" si="39"/>
        <v>Physical Abuse (Rape, etc.)</v>
      </c>
      <c r="BC233" s="136">
        <f t="shared" si="17"/>
        <v>1</v>
      </c>
      <c r="BD233" s="136">
        <f t="shared" si="20"/>
        <v>0</v>
      </c>
      <c r="BE233" s="136">
        <f t="shared" si="21"/>
        <v>0</v>
      </c>
      <c r="BF233" s="136">
        <f t="shared" si="22"/>
        <v>0</v>
      </c>
      <c r="BG233" s="136">
        <f t="shared" si="23"/>
        <v>0</v>
      </c>
      <c r="BH233" s="136">
        <f t="shared" si="24"/>
        <v>0</v>
      </c>
      <c r="BI233" s="136">
        <f t="shared" si="25"/>
        <v>1</v>
      </c>
      <c r="BJ233" s="136">
        <f t="shared" si="18"/>
        <v>0</v>
      </c>
      <c r="BK233" s="136">
        <f t="shared" si="26"/>
        <v>0</v>
      </c>
      <c r="BL233" s="136">
        <f t="shared" si="27"/>
        <v>0</v>
      </c>
      <c r="BM233" s="136">
        <f t="shared" si="28"/>
        <v>0</v>
      </c>
      <c r="BN233" s="136">
        <f t="shared" si="29"/>
        <v>0</v>
      </c>
      <c r="BO233" s="136">
        <f t="shared" si="30"/>
        <v>0</v>
      </c>
      <c r="BP233" s="136">
        <f t="shared" si="31"/>
        <v>0</v>
      </c>
      <c r="BQ233" s="136">
        <f t="shared" si="19"/>
        <v>0</v>
      </c>
      <c r="BR233" s="136">
        <f t="shared" si="32"/>
        <v>0</v>
      </c>
      <c r="BS233" s="136">
        <f t="shared" si="33"/>
        <v>0</v>
      </c>
      <c r="BT233" s="136">
        <f t="shared" si="34"/>
        <v>0</v>
      </c>
      <c r="BU233" s="136">
        <f t="shared" si="35"/>
        <v>0</v>
      </c>
      <c r="BV233" s="136">
        <f t="shared" si="36"/>
        <v>0</v>
      </c>
      <c r="BW233" s="136">
        <f t="shared" si="37"/>
        <v>0</v>
      </c>
      <c r="BX233" s="136">
        <f t="shared" si="40"/>
        <v>1</v>
      </c>
    </row>
    <row r="234" spans="53:77" x14ac:dyDescent="0.25">
      <c r="BA234" s="138">
        <f t="shared" si="38"/>
        <v>18</v>
      </c>
      <c r="BB234" s="136" t="str">
        <f t="shared" si="39"/>
        <v>Professional/Career Problem</v>
      </c>
      <c r="BC234" s="136">
        <f t="shared" si="17"/>
        <v>0</v>
      </c>
      <c r="BD234" s="136">
        <f t="shared" si="20"/>
        <v>0</v>
      </c>
      <c r="BE234" s="136">
        <f t="shared" si="21"/>
        <v>1</v>
      </c>
      <c r="BF234" s="136">
        <f t="shared" si="22"/>
        <v>3</v>
      </c>
      <c r="BG234" s="136">
        <f t="shared" si="23"/>
        <v>2</v>
      </c>
      <c r="BH234" s="136">
        <f t="shared" si="24"/>
        <v>0</v>
      </c>
      <c r="BI234" s="136">
        <f t="shared" si="25"/>
        <v>6</v>
      </c>
      <c r="BJ234" s="136">
        <f t="shared" si="18"/>
        <v>0</v>
      </c>
      <c r="BK234" s="136">
        <f t="shared" si="26"/>
        <v>0</v>
      </c>
      <c r="BL234" s="136">
        <f t="shared" si="27"/>
        <v>0</v>
      </c>
      <c r="BM234" s="136">
        <f t="shared" si="28"/>
        <v>1</v>
      </c>
      <c r="BN234" s="136">
        <f t="shared" si="29"/>
        <v>0</v>
      </c>
      <c r="BO234" s="136">
        <f t="shared" si="30"/>
        <v>0</v>
      </c>
      <c r="BP234" s="136">
        <f t="shared" si="31"/>
        <v>1</v>
      </c>
      <c r="BQ234" s="136">
        <f t="shared" si="19"/>
        <v>0</v>
      </c>
      <c r="BR234" s="136">
        <f t="shared" si="32"/>
        <v>0</v>
      </c>
      <c r="BS234" s="136">
        <f t="shared" si="33"/>
        <v>0</v>
      </c>
      <c r="BT234" s="136">
        <f t="shared" si="34"/>
        <v>0</v>
      </c>
      <c r="BU234" s="136">
        <f t="shared" si="35"/>
        <v>0</v>
      </c>
      <c r="BV234" s="136">
        <f t="shared" si="36"/>
        <v>0</v>
      </c>
      <c r="BW234" s="136">
        <f t="shared" si="37"/>
        <v>0</v>
      </c>
      <c r="BX234" s="136">
        <f t="shared" si="40"/>
        <v>7</v>
      </c>
    </row>
    <row r="235" spans="53:77" x14ac:dyDescent="0.25">
      <c r="BA235" s="138">
        <f t="shared" si="38"/>
        <v>19</v>
      </c>
      <c r="BB235" s="136" t="str">
        <f t="shared" si="39"/>
        <v>Causes not known</v>
      </c>
      <c r="BC235" s="136">
        <f t="shared" si="17"/>
        <v>0</v>
      </c>
      <c r="BD235" s="136">
        <f t="shared" si="20"/>
        <v>1</v>
      </c>
      <c r="BE235" s="136">
        <f t="shared" si="21"/>
        <v>1</v>
      </c>
      <c r="BF235" s="136">
        <f t="shared" si="22"/>
        <v>5</v>
      </c>
      <c r="BG235" s="136">
        <f t="shared" si="23"/>
        <v>2</v>
      </c>
      <c r="BH235" s="136">
        <f t="shared" si="24"/>
        <v>0</v>
      </c>
      <c r="BI235" s="136">
        <f t="shared" si="25"/>
        <v>9</v>
      </c>
      <c r="BJ235" s="136">
        <f t="shared" si="18"/>
        <v>1</v>
      </c>
      <c r="BK235" s="136">
        <f t="shared" si="26"/>
        <v>0</v>
      </c>
      <c r="BL235" s="136">
        <f t="shared" si="27"/>
        <v>4</v>
      </c>
      <c r="BM235" s="136">
        <f t="shared" si="28"/>
        <v>0</v>
      </c>
      <c r="BN235" s="136">
        <f t="shared" si="29"/>
        <v>0</v>
      </c>
      <c r="BO235" s="136">
        <f t="shared" si="30"/>
        <v>1</v>
      </c>
      <c r="BP235" s="136">
        <f t="shared" si="31"/>
        <v>6</v>
      </c>
      <c r="BQ235" s="136">
        <f t="shared" si="19"/>
        <v>0</v>
      </c>
      <c r="BR235" s="136">
        <f t="shared" si="32"/>
        <v>0</v>
      </c>
      <c r="BS235" s="136">
        <f t="shared" si="33"/>
        <v>0</v>
      </c>
      <c r="BT235" s="136">
        <f t="shared" si="34"/>
        <v>0</v>
      </c>
      <c r="BU235" s="136">
        <f t="shared" si="35"/>
        <v>0</v>
      </c>
      <c r="BV235" s="136">
        <f t="shared" si="36"/>
        <v>0</v>
      </c>
      <c r="BW235" s="136">
        <f t="shared" si="37"/>
        <v>0</v>
      </c>
      <c r="BX235" s="136">
        <f t="shared" si="40"/>
        <v>15</v>
      </c>
    </row>
    <row r="236" spans="53:77" x14ac:dyDescent="0.25">
      <c r="BA236" s="138">
        <f t="shared" si="38"/>
        <v>20</v>
      </c>
      <c r="BB236" s="136" t="str">
        <f t="shared" si="39"/>
        <v>Other causes</v>
      </c>
      <c r="BC236" s="136">
        <f t="shared" si="17"/>
        <v>1</v>
      </c>
      <c r="BD236" s="136">
        <f t="shared" si="20"/>
        <v>1</v>
      </c>
      <c r="BE236" s="136">
        <f t="shared" si="21"/>
        <v>3</v>
      </c>
      <c r="BF236" s="136">
        <f t="shared" si="22"/>
        <v>4</v>
      </c>
      <c r="BG236" s="136">
        <f t="shared" si="23"/>
        <v>3</v>
      </c>
      <c r="BH236" s="136">
        <f t="shared" si="24"/>
        <v>0</v>
      </c>
      <c r="BI236" s="136">
        <f t="shared" si="25"/>
        <v>12</v>
      </c>
      <c r="BJ236" s="136">
        <f t="shared" si="18"/>
        <v>0</v>
      </c>
      <c r="BK236" s="136">
        <f t="shared" si="26"/>
        <v>2</v>
      </c>
      <c r="BL236" s="136">
        <f t="shared" si="27"/>
        <v>2</v>
      </c>
      <c r="BM236" s="136">
        <f t="shared" si="28"/>
        <v>2</v>
      </c>
      <c r="BN236" s="136">
        <f t="shared" si="29"/>
        <v>0</v>
      </c>
      <c r="BO236" s="136">
        <f t="shared" si="30"/>
        <v>0</v>
      </c>
      <c r="BP236" s="136">
        <f t="shared" si="31"/>
        <v>6</v>
      </c>
      <c r="BQ236" s="136">
        <f t="shared" si="19"/>
        <v>0</v>
      </c>
      <c r="BR236" s="136">
        <f t="shared" si="32"/>
        <v>0</v>
      </c>
      <c r="BS236" s="136">
        <f t="shared" si="33"/>
        <v>0</v>
      </c>
      <c r="BT236" s="136">
        <f t="shared" si="34"/>
        <v>0</v>
      </c>
      <c r="BU236" s="136">
        <f t="shared" si="35"/>
        <v>0</v>
      </c>
      <c r="BV236" s="136">
        <f t="shared" si="36"/>
        <v>0</v>
      </c>
      <c r="BW236" s="136">
        <f t="shared" si="37"/>
        <v>0</v>
      </c>
      <c r="BX236" s="136">
        <f t="shared" si="40"/>
        <v>18</v>
      </c>
    </row>
    <row r="237" spans="53:77" x14ac:dyDescent="0.25">
      <c r="BA237" s="138">
        <f t="shared" si="38"/>
        <v>21</v>
      </c>
      <c r="BB237" s="136" t="str">
        <f t="shared" si="39"/>
        <v>Total (sum of Sl. 1 to 20)</v>
      </c>
      <c r="BC237" s="136">
        <f t="shared" si="17"/>
        <v>2</v>
      </c>
      <c r="BD237" s="136">
        <f t="shared" si="20"/>
        <v>6</v>
      </c>
      <c r="BE237" s="136">
        <f t="shared" si="21"/>
        <v>65</v>
      </c>
      <c r="BF237" s="136">
        <f t="shared" si="22"/>
        <v>79</v>
      </c>
      <c r="BG237" s="136">
        <f t="shared" si="23"/>
        <v>81</v>
      </c>
      <c r="BH237" s="136">
        <f t="shared" si="24"/>
        <v>16</v>
      </c>
      <c r="BI237" s="136">
        <f t="shared" si="25"/>
        <v>249</v>
      </c>
      <c r="BJ237" s="136">
        <f t="shared" si="18"/>
        <v>1</v>
      </c>
      <c r="BK237" s="136">
        <f t="shared" si="26"/>
        <v>4</v>
      </c>
      <c r="BL237" s="136">
        <f t="shared" si="27"/>
        <v>19</v>
      </c>
      <c r="BM237" s="136">
        <f t="shared" si="28"/>
        <v>21</v>
      </c>
      <c r="BN237" s="136">
        <f t="shared" si="29"/>
        <v>11</v>
      </c>
      <c r="BO237" s="136">
        <f t="shared" si="30"/>
        <v>16</v>
      </c>
      <c r="BP237" s="136">
        <f t="shared" si="31"/>
        <v>72</v>
      </c>
      <c r="BQ237" s="136">
        <f t="shared" si="19"/>
        <v>0</v>
      </c>
      <c r="BR237" s="136">
        <f t="shared" si="32"/>
        <v>0</v>
      </c>
      <c r="BS237" s="136">
        <f t="shared" si="33"/>
        <v>0</v>
      </c>
      <c r="BT237" s="136">
        <f t="shared" si="34"/>
        <v>0</v>
      </c>
      <c r="BU237" s="136">
        <f t="shared" si="35"/>
        <v>0</v>
      </c>
      <c r="BV237" s="136">
        <f t="shared" si="36"/>
        <v>0</v>
      </c>
      <c r="BW237" s="136">
        <f t="shared" si="37"/>
        <v>0</v>
      </c>
      <c r="BX237" s="136">
        <f t="shared" si="40"/>
        <v>321</v>
      </c>
    </row>
    <row r="238" spans="53:77" ht="24.95" customHeight="1" x14ac:dyDescent="0.25">
      <c r="BA238" s="618" t="str">
        <f>A39</f>
        <v>SL-2.5 ABNORMAL VARIATION IN "OTHERS" DATA</v>
      </c>
      <c r="BB238" s="618"/>
      <c r="BC238" s="310" t="str">
        <f>D39</f>
        <v/>
      </c>
      <c r="BD238" s="310" t="str">
        <f t="shared" si="20"/>
        <v/>
      </c>
      <c r="BE238" s="310" t="str">
        <f t="shared" si="21"/>
        <v/>
      </c>
      <c r="BF238" s="310" t="str">
        <f t="shared" si="22"/>
        <v/>
      </c>
      <c r="BG238" s="310" t="str">
        <f t="shared" si="23"/>
        <v/>
      </c>
      <c r="BH238" s="310" t="str">
        <f t="shared" si="24"/>
        <v/>
      </c>
      <c r="BI238" s="310" t="str">
        <f t="shared" si="25"/>
        <v/>
      </c>
      <c r="BJ238" s="310" t="str">
        <f t="shared" si="18"/>
        <v/>
      </c>
      <c r="BK238" s="310" t="str">
        <f t="shared" si="26"/>
        <v/>
      </c>
      <c r="BL238" s="310" t="str">
        <f t="shared" si="27"/>
        <v/>
      </c>
      <c r="BM238" s="310" t="str">
        <f t="shared" si="28"/>
        <v/>
      </c>
      <c r="BN238" s="310" t="str">
        <f t="shared" si="29"/>
        <v/>
      </c>
      <c r="BO238" s="310" t="str">
        <f t="shared" si="30"/>
        <v/>
      </c>
      <c r="BP238" s="310" t="str">
        <f t="shared" si="31"/>
        <v/>
      </c>
      <c r="BQ238" s="310" t="str">
        <f t="shared" si="19"/>
        <v/>
      </c>
      <c r="BR238" s="310" t="str">
        <f t="shared" si="32"/>
        <v/>
      </c>
      <c r="BS238" s="310" t="str">
        <f t="shared" si="33"/>
        <v/>
      </c>
      <c r="BT238" s="310" t="str">
        <f t="shared" si="34"/>
        <v/>
      </c>
      <c r="BU238" s="310" t="str">
        <f t="shared" si="35"/>
        <v/>
      </c>
      <c r="BV238" s="310" t="str">
        <f t="shared" si="36"/>
        <v/>
      </c>
      <c r="BW238" s="310" t="str">
        <f t="shared" si="37"/>
        <v/>
      </c>
      <c r="BX238" s="310" t="str">
        <f t="shared" si="40"/>
        <v/>
      </c>
      <c r="BY238" s="132"/>
    </row>
    <row r="239" spans="53:77" ht="35.1" customHeight="1" x14ac:dyDescent="0.25">
      <c r="BA239" s="618" t="str">
        <f t="shared" ref="BA239:BA241" si="41">A40</f>
        <v>SL-6.5 ABNORMAL VARIATION IN "OTHER PROLONGED ILLNESS" DATA</v>
      </c>
      <c r="BB239" s="618"/>
      <c r="BC239" s="310" t="str">
        <f t="shared" ref="BC239:BC241" si="42">D40</f>
        <v/>
      </c>
      <c r="BD239" s="310" t="str">
        <f t="shared" si="20"/>
        <v/>
      </c>
      <c r="BE239" s="310" t="str">
        <f t="shared" si="21"/>
        <v/>
      </c>
      <c r="BF239" s="310" t="str">
        <f t="shared" si="22"/>
        <v/>
      </c>
      <c r="BG239" s="310" t="str">
        <f t="shared" si="23"/>
        <v>ABVAR</v>
      </c>
      <c r="BH239" s="310" t="str">
        <f t="shared" si="24"/>
        <v>ABVAR</v>
      </c>
      <c r="BI239" s="310" t="str">
        <f t="shared" si="25"/>
        <v>ABVAR</v>
      </c>
      <c r="BJ239" s="310" t="str">
        <f t="shared" si="18"/>
        <v/>
      </c>
      <c r="BK239" s="310" t="str">
        <f t="shared" si="26"/>
        <v/>
      </c>
      <c r="BL239" s="310" t="str">
        <f t="shared" si="27"/>
        <v>ABVAR</v>
      </c>
      <c r="BM239" s="310" t="str">
        <f t="shared" si="28"/>
        <v>ABVAR</v>
      </c>
      <c r="BN239" s="310" t="str">
        <f t="shared" si="29"/>
        <v/>
      </c>
      <c r="BO239" s="310" t="str">
        <f t="shared" si="30"/>
        <v>ABVAR</v>
      </c>
      <c r="BP239" s="310" t="str">
        <f t="shared" si="31"/>
        <v>ABVAR</v>
      </c>
      <c r="BQ239" s="310" t="str">
        <f t="shared" si="19"/>
        <v/>
      </c>
      <c r="BR239" s="310" t="str">
        <f t="shared" si="32"/>
        <v/>
      </c>
      <c r="BS239" s="310" t="str">
        <f t="shared" si="33"/>
        <v/>
      </c>
      <c r="BT239" s="310" t="str">
        <f t="shared" si="34"/>
        <v/>
      </c>
      <c r="BU239" s="310" t="str">
        <f t="shared" si="35"/>
        <v/>
      </c>
      <c r="BV239" s="310" t="str">
        <f t="shared" si="36"/>
        <v/>
      </c>
      <c r="BW239" s="310" t="str">
        <f t="shared" si="37"/>
        <v/>
      </c>
      <c r="BX239" s="310" t="str">
        <f t="shared" si="40"/>
        <v>ABVAR</v>
      </c>
      <c r="BY239" s="132"/>
    </row>
    <row r="240" spans="53:77" ht="24.95" customHeight="1" x14ac:dyDescent="0.25">
      <c r="BA240" s="618" t="str">
        <f t="shared" si="41"/>
        <v>SL-19 ABNORMAL VARIATION IN "CAUSES NOT KNOWN" DATA</v>
      </c>
      <c r="BB240" s="618"/>
      <c r="BC240" s="310" t="str">
        <f t="shared" si="42"/>
        <v/>
      </c>
      <c r="BD240" s="310" t="str">
        <f t="shared" si="20"/>
        <v>ABVAR</v>
      </c>
      <c r="BE240" s="310" t="str">
        <f t="shared" si="21"/>
        <v/>
      </c>
      <c r="BF240" s="310" t="str">
        <f t="shared" si="22"/>
        <v/>
      </c>
      <c r="BG240" s="310" t="str">
        <f t="shared" si="23"/>
        <v/>
      </c>
      <c r="BH240" s="310" t="str">
        <f t="shared" si="24"/>
        <v/>
      </c>
      <c r="BI240" s="310" t="str">
        <f t="shared" si="25"/>
        <v/>
      </c>
      <c r="BJ240" s="310" t="str">
        <f t="shared" si="18"/>
        <v>ABVAR</v>
      </c>
      <c r="BK240" s="310" t="str">
        <f t="shared" si="26"/>
        <v/>
      </c>
      <c r="BL240" s="310" t="str">
        <f t="shared" si="27"/>
        <v>ABVAR</v>
      </c>
      <c r="BM240" s="310" t="str">
        <f t="shared" si="28"/>
        <v/>
      </c>
      <c r="BN240" s="310" t="str">
        <f t="shared" si="29"/>
        <v/>
      </c>
      <c r="BO240" s="310" t="str">
        <f t="shared" si="30"/>
        <v/>
      </c>
      <c r="BP240" s="310" t="str">
        <f t="shared" si="31"/>
        <v/>
      </c>
      <c r="BQ240" s="310" t="str">
        <f t="shared" si="19"/>
        <v/>
      </c>
      <c r="BR240" s="310" t="str">
        <f t="shared" si="32"/>
        <v/>
      </c>
      <c r="BS240" s="310" t="str">
        <f t="shared" si="33"/>
        <v/>
      </c>
      <c r="BT240" s="310" t="str">
        <f t="shared" si="34"/>
        <v/>
      </c>
      <c r="BU240" s="310" t="str">
        <f t="shared" si="35"/>
        <v/>
      </c>
      <c r="BV240" s="310" t="str">
        <f t="shared" si="36"/>
        <v/>
      </c>
      <c r="BW240" s="310" t="str">
        <f t="shared" si="37"/>
        <v/>
      </c>
      <c r="BX240" s="310" t="str">
        <f t="shared" si="40"/>
        <v/>
      </c>
      <c r="BY240" s="132"/>
    </row>
    <row r="241" spans="53:76" ht="24.95" customHeight="1" x14ac:dyDescent="0.25">
      <c r="BA241" s="618" t="str">
        <f t="shared" si="41"/>
        <v>SL-20 ABNORMAL VARIATION IN "OTHER CAUSES" DATA</v>
      </c>
      <c r="BB241" s="618"/>
      <c r="BC241" s="310" t="str">
        <f t="shared" si="42"/>
        <v>ABVAR</v>
      </c>
      <c r="BD241" s="310" t="str">
        <f t="shared" si="20"/>
        <v>ABVAR</v>
      </c>
      <c r="BE241" s="310" t="str">
        <f t="shared" si="21"/>
        <v/>
      </c>
      <c r="BF241" s="310" t="str">
        <f t="shared" si="22"/>
        <v/>
      </c>
      <c r="BG241" s="310" t="str">
        <f t="shared" si="23"/>
        <v/>
      </c>
      <c r="BH241" s="310" t="str">
        <f t="shared" si="24"/>
        <v/>
      </c>
      <c r="BI241" s="310" t="str">
        <f t="shared" si="25"/>
        <v/>
      </c>
      <c r="BJ241" s="310" t="str">
        <f t="shared" si="18"/>
        <v/>
      </c>
      <c r="BK241" s="310" t="str">
        <f t="shared" si="26"/>
        <v>ABVAR</v>
      </c>
      <c r="BL241" s="310" t="str">
        <f t="shared" si="27"/>
        <v>ABVAR</v>
      </c>
      <c r="BM241" s="310" t="str">
        <f t="shared" si="28"/>
        <v/>
      </c>
      <c r="BN241" s="310" t="str">
        <f t="shared" si="29"/>
        <v/>
      </c>
      <c r="BO241" s="310" t="str">
        <f t="shared" si="30"/>
        <v/>
      </c>
      <c r="BP241" s="310" t="str">
        <f t="shared" si="31"/>
        <v/>
      </c>
      <c r="BQ241" s="310" t="str">
        <f t="shared" si="19"/>
        <v/>
      </c>
      <c r="BR241" s="310" t="str">
        <f t="shared" si="32"/>
        <v/>
      </c>
      <c r="BS241" s="310" t="str">
        <f t="shared" si="33"/>
        <v/>
      </c>
      <c r="BT241" s="310" t="str">
        <f t="shared" si="34"/>
        <v/>
      </c>
      <c r="BU241" s="310" t="str">
        <f t="shared" si="35"/>
        <v/>
      </c>
      <c r="BV241" s="310" t="str">
        <f t="shared" si="36"/>
        <v/>
      </c>
      <c r="BW241" s="310" t="str">
        <f t="shared" si="37"/>
        <v/>
      </c>
      <c r="BX241" s="310" t="str">
        <f t="shared" si="40"/>
        <v/>
      </c>
    </row>
    <row r="242" spans="53:76" x14ac:dyDescent="0.25">
      <c r="BA242" s="132"/>
    </row>
    <row r="498" spans="1:26" s="365" customFormat="1" ht="12.75" x14ac:dyDescent="0.2"/>
    <row r="499" spans="1:26" s="365" customFormat="1" ht="12.75" x14ac:dyDescent="0.2"/>
    <row r="500" spans="1:26" s="365" customFormat="1" x14ac:dyDescent="0.25">
      <c r="A500" s="199" t="s">
        <v>450</v>
      </c>
      <c r="B500" s="199" t="s">
        <v>451</v>
      </c>
      <c r="C500" s="199" t="s">
        <v>452</v>
      </c>
      <c r="D500" s="199" t="s">
        <v>453</v>
      </c>
      <c r="E500" s="199" t="s">
        <v>1365</v>
      </c>
      <c r="F500" s="199" t="s">
        <v>454</v>
      </c>
      <c r="G500" s="199" t="s">
        <v>455</v>
      </c>
      <c r="H500" s="199" t="s">
        <v>456</v>
      </c>
      <c r="I500" s="199" t="s">
        <v>457</v>
      </c>
      <c r="J500" s="199" t="s">
        <v>458</v>
      </c>
      <c r="K500" s="199" t="s">
        <v>459</v>
      </c>
      <c r="L500" s="199" t="s">
        <v>1366</v>
      </c>
      <c r="M500" s="199" t="s">
        <v>460</v>
      </c>
      <c r="N500" s="199" t="s">
        <v>461</v>
      </c>
      <c r="O500" s="199" t="s">
        <v>462</v>
      </c>
      <c r="P500" s="199" t="s">
        <v>463</v>
      </c>
      <c r="Q500" s="199" t="s">
        <v>464</v>
      </c>
      <c r="R500" s="199" t="s">
        <v>465</v>
      </c>
      <c r="S500" s="199" t="s">
        <v>1367</v>
      </c>
      <c r="T500" s="199" t="s">
        <v>466</v>
      </c>
      <c r="U500" s="199" t="s">
        <v>467</v>
      </c>
      <c r="V500" s="199" t="s">
        <v>468</v>
      </c>
      <c r="W500" s="199" t="s">
        <v>469</v>
      </c>
      <c r="X500" s="199" t="s">
        <v>470</v>
      </c>
      <c r="Y500" s="199" t="s">
        <v>471</v>
      </c>
      <c r="Z500" s="199" t="s">
        <v>150</v>
      </c>
    </row>
    <row r="501" spans="1:26" s="365" customFormat="1" ht="12.75" x14ac:dyDescent="0.2">
      <c r="A501" s="348">
        <f>IF(ADSI!$G$12="",ADSI!$H$16,ADSI!$H$12)</f>
        <v>6</v>
      </c>
      <c r="B501" s="348" t="str">
        <f ca="1">IF(ADSI!$G$12="",ADSI!$H$16,ADSI!$H$14)</f>
        <v/>
      </c>
      <c r="C501" s="405">
        <f>A8</f>
        <v>725</v>
      </c>
      <c r="D501" s="348">
        <f>ADSI!$K$12</f>
        <v>2021</v>
      </c>
      <c r="E501" s="367">
        <f>D8</f>
        <v>0</v>
      </c>
      <c r="F501" s="367">
        <f t="shared" ref="F501:Z501" si="43">E8</f>
        <v>0</v>
      </c>
      <c r="G501" s="367">
        <f t="shared" si="43"/>
        <v>2</v>
      </c>
      <c r="H501" s="367">
        <f t="shared" si="43"/>
        <v>3</v>
      </c>
      <c r="I501" s="367">
        <f t="shared" si="43"/>
        <v>3</v>
      </c>
      <c r="J501" s="367">
        <f t="shared" si="43"/>
        <v>0</v>
      </c>
      <c r="K501" s="367">
        <f t="shared" si="43"/>
        <v>8</v>
      </c>
      <c r="L501" s="367">
        <f t="shared" si="43"/>
        <v>0</v>
      </c>
      <c r="M501" s="367">
        <f t="shared" si="43"/>
        <v>0</v>
      </c>
      <c r="N501" s="367">
        <f t="shared" si="43"/>
        <v>0</v>
      </c>
      <c r="O501" s="367">
        <f t="shared" si="43"/>
        <v>1</v>
      </c>
      <c r="P501" s="367">
        <f t="shared" si="43"/>
        <v>0</v>
      </c>
      <c r="Q501" s="367">
        <f t="shared" si="43"/>
        <v>0</v>
      </c>
      <c r="R501" s="367">
        <f t="shared" si="43"/>
        <v>1</v>
      </c>
      <c r="S501" s="367">
        <f t="shared" si="43"/>
        <v>0</v>
      </c>
      <c r="T501" s="367">
        <f t="shared" si="43"/>
        <v>0</v>
      </c>
      <c r="U501" s="367">
        <f t="shared" si="43"/>
        <v>0</v>
      </c>
      <c r="V501" s="367">
        <f t="shared" si="43"/>
        <v>0</v>
      </c>
      <c r="W501" s="367">
        <f t="shared" si="43"/>
        <v>0</v>
      </c>
      <c r="X501" s="367">
        <f t="shared" si="43"/>
        <v>0</v>
      </c>
      <c r="Y501" s="367">
        <f t="shared" si="43"/>
        <v>0</v>
      </c>
      <c r="Z501" s="367">
        <f t="shared" si="43"/>
        <v>9</v>
      </c>
    </row>
    <row r="502" spans="1:26" s="365" customFormat="1" ht="12.75" x14ac:dyDescent="0.2">
      <c r="A502" s="348">
        <f>IF(ADSI!$G$12="",ADSI!$H$16,ADSI!$H$12)</f>
        <v>6</v>
      </c>
      <c r="B502" s="348" t="str">
        <f ca="1">IF(ADSI!$G$12="",ADSI!$H$16,ADSI!$H$14)</f>
        <v/>
      </c>
      <c r="C502" s="405">
        <f t="shared" ref="C502:C531" si="44">A9</f>
        <v>726</v>
      </c>
      <c r="D502" s="348">
        <f>ADSI!$K$12</f>
        <v>2021</v>
      </c>
      <c r="E502" s="367">
        <f t="shared" ref="E502:Z502" si="45">D9</f>
        <v>0</v>
      </c>
      <c r="F502" s="367">
        <f t="shared" si="45"/>
        <v>0</v>
      </c>
      <c r="G502" s="367">
        <f t="shared" si="45"/>
        <v>2</v>
      </c>
      <c r="H502" s="367">
        <f t="shared" si="45"/>
        <v>0</v>
      </c>
      <c r="I502" s="367">
        <f t="shared" si="45"/>
        <v>1</v>
      </c>
      <c r="J502" s="367">
        <f t="shared" si="45"/>
        <v>0</v>
      </c>
      <c r="K502" s="367">
        <f t="shared" si="45"/>
        <v>3</v>
      </c>
      <c r="L502" s="367">
        <f t="shared" si="45"/>
        <v>0</v>
      </c>
      <c r="M502" s="367">
        <f t="shared" si="45"/>
        <v>0</v>
      </c>
      <c r="N502" s="367">
        <f t="shared" si="45"/>
        <v>1</v>
      </c>
      <c r="O502" s="367">
        <f t="shared" si="45"/>
        <v>0</v>
      </c>
      <c r="P502" s="367">
        <f t="shared" si="45"/>
        <v>0</v>
      </c>
      <c r="Q502" s="367">
        <f t="shared" si="45"/>
        <v>0</v>
      </c>
      <c r="R502" s="367">
        <f t="shared" si="45"/>
        <v>1</v>
      </c>
      <c r="S502" s="367">
        <f t="shared" si="45"/>
        <v>0</v>
      </c>
      <c r="T502" s="367">
        <f t="shared" si="45"/>
        <v>0</v>
      </c>
      <c r="U502" s="367">
        <f t="shared" si="45"/>
        <v>0</v>
      </c>
      <c r="V502" s="367">
        <f t="shared" si="45"/>
        <v>0</v>
      </c>
      <c r="W502" s="367">
        <f t="shared" si="45"/>
        <v>0</v>
      </c>
      <c r="X502" s="367">
        <f t="shared" si="45"/>
        <v>0</v>
      </c>
      <c r="Y502" s="367">
        <f t="shared" si="45"/>
        <v>0</v>
      </c>
      <c r="Z502" s="367">
        <f t="shared" si="45"/>
        <v>4</v>
      </c>
    </row>
    <row r="503" spans="1:26" s="365" customFormat="1" ht="12.75" x14ac:dyDescent="0.2">
      <c r="A503" s="348">
        <f>IF(ADSI!$G$12="",ADSI!$H$16,ADSI!$H$12)</f>
        <v>6</v>
      </c>
      <c r="B503" s="348" t="str">
        <f ca="1">IF(ADSI!$G$12="",ADSI!$H$16,ADSI!$H$14)</f>
        <v/>
      </c>
      <c r="C503" s="405">
        <f t="shared" si="44"/>
        <v>727</v>
      </c>
      <c r="D503" s="348">
        <f>ADSI!$K$12</f>
        <v>2021</v>
      </c>
      <c r="E503" s="367">
        <f t="shared" ref="E503:Z503" si="46">D10</f>
        <v>0</v>
      </c>
      <c r="F503" s="367">
        <f t="shared" si="46"/>
        <v>0</v>
      </c>
      <c r="G503" s="367">
        <f t="shared" si="46"/>
        <v>2</v>
      </c>
      <c r="H503" s="367">
        <f t="shared" si="46"/>
        <v>0</v>
      </c>
      <c r="I503" s="367">
        <f t="shared" si="46"/>
        <v>0</v>
      </c>
      <c r="J503" s="367">
        <f t="shared" si="46"/>
        <v>0</v>
      </c>
      <c r="K503" s="367">
        <f t="shared" si="46"/>
        <v>2</v>
      </c>
      <c r="L503" s="367">
        <f t="shared" si="46"/>
        <v>0</v>
      </c>
      <c r="M503" s="367">
        <f t="shared" si="46"/>
        <v>0</v>
      </c>
      <c r="N503" s="367">
        <f t="shared" si="46"/>
        <v>1</v>
      </c>
      <c r="O503" s="367">
        <f t="shared" si="46"/>
        <v>0</v>
      </c>
      <c r="P503" s="367">
        <f t="shared" si="46"/>
        <v>0</v>
      </c>
      <c r="Q503" s="367">
        <f t="shared" si="46"/>
        <v>0</v>
      </c>
      <c r="R503" s="367">
        <f t="shared" si="46"/>
        <v>1</v>
      </c>
      <c r="S503" s="367">
        <f t="shared" si="46"/>
        <v>0</v>
      </c>
      <c r="T503" s="367">
        <f t="shared" si="46"/>
        <v>0</v>
      </c>
      <c r="U503" s="367">
        <f t="shared" si="46"/>
        <v>0</v>
      </c>
      <c r="V503" s="367">
        <f t="shared" si="46"/>
        <v>0</v>
      </c>
      <c r="W503" s="367">
        <f t="shared" si="46"/>
        <v>0</v>
      </c>
      <c r="X503" s="367">
        <f t="shared" si="46"/>
        <v>0</v>
      </c>
      <c r="Y503" s="367">
        <f t="shared" si="46"/>
        <v>0</v>
      </c>
      <c r="Z503" s="367">
        <f t="shared" si="46"/>
        <v>3</v>
      </c>
    </row>
    <row r="504" spans="1:26" s="365" customFormat="1" ht="12.75" x14ac:dyDescent="0.2">
      <c r="A504" s="348">
        <f>IF(ADSI!$G$12="",ADSI!$H$16,ADSI!$H$12)</f>
        <v>6</v>
      </c>
      <c r="B504" s="348" t="str">
        <f ca="1">IF(ADSI!$G$12="",ADSI!$H$16,ADSI!$H$14)</f>
        <v/>
      </c>
      <c r="C504" s="405">
        <f t="shared" si="44"/>
        <v>728</v>
      </c>
      <c r="D504" s="348">
        <f>ADSI!$K$12</f>
        <v>2021</v>
      </c>
      <c r="E504" s="367">
        <f t="shared" ref="E504:Z504" si="47">D11</f>
        <v>0</v>
      </c>
      <c r="F504" s="367">
        <f t="shared" si="47"/>
        <v>0</v>
      </c>
      <c r="G504" s="367">
        <f t="shared" si="47"/>
        <v>0</v>
      </c>
      <c r="H504" s="367">
        <f t="shared" si="47"/>
        <v>0</v>
      </c>
      <c r="I504" s="367">
        <f t="shared" si="47"/>
        <v>0</v>
      </c>
      <c r="J504" s="367">
        <f t="shared" si="47"/>
        <v>0</v>
      </c>
      <c r="K504" s="367">
        <f t="shared" si="47"/>
        <v>0</v>
      </c>
      <c r="L504" s="367">
        <f t="shared" si="47"/>
        <v>0</v>
      </c>
      <c r="M504" s="367">
        <f t="shared" si="47"/>
        <v>0</v>
      </c>
      <c r="N504" s="367">
        <f t="shared" si="47"/>
        <v>0</v>
      </c>
      <c r="O504" s="367">
        <f t="shared" si="47"/>
        <v>0</v>
      </c>
      <c r="P504" s="367">
        <f t="shared" si="47"/>
        <v>0</v>
      </c>
      <c r="Q504" s="367">
        <f t="shared" si="47"/>
        <v>0</v>
      </c>
      <c r="R504" s="367">
        <f t="shared" si="47"/>
        <v>0</v>
      </c>
      <c r="S504" s="367">
        <f t="shared" si="47"/>
        <v>0</v>
      </c>
      <c r="T504" s="367">
        <f t="shared" si="47"/>
        <v>0</v>
      </c>
      <c r="U504" s="367">
        <f t="shared" si="47"/>
        <v>0</v>
      </c>
      <c r="V504" s="367">
        <f t="shared" si="47"/>
        <v>0</v>
      </c>
      <c r="W504" s="367">
        <f t="shared" si="47"/>
        <v>0</v>
      </c>
      <c r="X504" s="367">
        <f t="shared" si="47"/>
        <v>0</v>
      </c>
      <c r="Y504" s="367">
        <f t="shared" si="47"/>
        <v>0</v>
      </c>
      <c r="Z504" s="367">
        <f t="shared" si="47"/>
        <v>0</v>
      </c>
    </row>
    <row r="505" spans="1:26" s="365" customFormat="1" ht="12.75" x14ac:dyDescent="0.2">
      <c r="A505" s="348">
        <f>IF(ADSI!$G$12="",ADSI!$H$16,ADSI!$H$12)</f>
        <v>6</v>
      </c>
      <c r="B505" s="348" t="str">
        <f ca="1">IF(ADSI!$G$12="",ADSI!$H$16,ADSI!$H$14)</f>
        <v/>
      </c>
      <c r="C505" s="405">
        <f t="shared" si="44"/>
        <v>729</v>
      </c>
      <c r="D505" s="348">
        <f>ADSI!$K$12</f>
        <v>2021</v>
      </c>
      <c r="E505" s="367">
        <f t="shared" ref="E505:Z505" si="48">D12</f>
        <v>0</v>
      </c>
      <c r="F505" s="367">
        <f t="shared" si="48"/>
        <v>0</v>
      </c>
      <c r="G505" s="367">
        <f t="shared" si="48"/>
        <v>0</v>
      </c>
      <c r="H505" s="367">
        <f t="shared" si="48"/>
        <v>0</v>
      </c>
      <c r="I505" s="367">
        <f t="shared" si="48"/>
        <v>1</v>
      </c>
      <c r="J505" s="367">
        <f t="shared" si="48"/>
        <v>0</v>
      </c>
      <c r="K505" s="367">
        <f t="shared" si="48"/>
        <v>1</v>
      </c>
      <c r="L505" s="367">
        <f t="shared" si="48"/>
        <v>0</v>
      </c>
      <c r="M505" s="367">
        <f t="shared" si="48"/>
        <v>0</v>
      </c>
      <c r="N505" s="367">
        <f t="shared" si="48"/>
        <v>0</v>
      </c>
      <c r="O505" s="367">
        <f t="shared" si="48"/>
        <v>0</v>
      </c>
      <c r="P505" s="367">
        <f t="shared" si="48"/>
        <v>0</v>
      </c>
      <c r="Q505" s="367">
        <f t="shared" si="48"/>
        <v>0</v>
      </c>
      <c r="R505" s="367">
        <f t="shared" si="48"/>
        <v>0</v>
      </c>
      <c r="S505" s="367">
        <f t="shared" si="48"/>
        <v>0</v>
      </c>
      <c r="T505" s="367">
        <f t="shared" si="48"/>
        <v>0</v>
      </c>
      <c r="U505" s="367">
        <f t="shared" si="48"/>
        <v>0</v>
      </c>
      <c r="V505" s="367">
        <f t="shared" si="48"/>
        <v>0</v>
      </c>
      <c r="W505" s="367">
        <f t="shared" si="48"/>
        <v>0</v>
      </c>
      <c r="X505" s="367">
        <f t="shared" si="48"/>
        <v>0</v>
      </c>
      <c r="Y505" s="367">
        <f t="shared" si="48"/>
        <v>0</v>
      </c>
      <c r="Z505" s="367">
        <f t="shared" si="48"/>
        <v>1</v>
      </c>
    </row>
    <row r="506" spans="1:26" s="365" customFormat="1" ht="12.75" x14ac:dyDescent="0.2">
      <c r="A506" s="348">
        <f>IF(ADSI!$G$12="",ADSI!$H$16,ADSI!$H$12)</f>
        <v>6</v>
      </c>
      <c r="B506" s="348" t="str">
        <f ca="1">IF(ADSI!$G$12="",ADSI!$H$16,ADSI!$H$14)</f>
        <v/>
      </c>
      <c r="C506" s="405">
        <f t="shared" si="44"/>
        <v>730</v>
      </c>
      <c r="D506" s="348">
        <f>ADSI!$K$12</f>
        <v>2021</v>
      </c>
      <c r="E506" s="367">
        <f t="shared" ref="E506:Z506" si="49">D13</f>
        <v>0</v>
      </c>
      <c r="F506" s="367">
        <f t="shared" si="49"/>
        <v>0</v>
      </c>
      <c r="G506" s="367">
        <f t="shared" si="49"/>
        <v>0</v>
      </c>
      <c r="H506" s="367">
        <f t="shared" si="49"/>
        <v>0</v>
      </c>
      <c r="I506" s="367">
        <f t="shared" si="49"/>
        <v>0</v>
      </c>
      <c r="J506" s="367">
        <f t="shared" si="49"/>
        <v>0</v>
      </c>
      <c r="K506" s="367">
        <f t="shared" si="49"/>
        <v>0</v>
      </c>
      <c r="L506" s="367">
        <f t="shared" si="49"/>
        <v>0</v>
      </c>
      <c r="M506" s="367">
        <f t="shared" si="49"/>
        <v>0</v>
      </c>
      <c r="N506" s="367">
        <f t="shared" si="49"/>
        <v>0</v>
      </c>
      <c r="O506" s="367">
        <f t="shared" si="49"/>
        <v>0</v>
      </c>
      <c r="P506" s="367">
        <f t="shared" si="49"/>
        <v>0</v>
      </c>
      <c r="Q506" s="367">
        <f t="shared" si="49"/>
        <v>0</v>
      </c>
      <c r="R506" s="367">
        <f t="shared" si="49"/>
        <v>0</v>
      </c>
      <c r="S506" s="367">
        <f t="shared" si="49"/>
        <v>0</v>
      </c>
      <c r="T506" s="367">
        <f t="shared" si="49"/>
        <v>0</v>
      </c>
      <c r="U506" s="367">
        <f t="shared" si="49"/>
        <v>0</v>
      </c>
      <c r="V506" s="367">
        <f t="shared" si="49"/>
        <v>0</v>
      </c>
      <c r="W506" s="367">
        <f t="shared" si="49"/>
        <v>0</v>
      </c>
      <c r="X506" s="367">
        <f t="shared" si="49"/>
        <v>0</v>
      </c>
      <c r="Y506" s="367">
        <f t="shared" si="49"/>
        <v>0</v>
      </c>
      <c r="Z506" s="367">
        <f t="shared" si="49"/>
        <v>0</v>
      </c>
    </row>
    <row r="507" spans="1:26" s="365" customFormat="1" ht="12.75" x14ac:dyDescent="0.2">
      <c r="A507" s="348">
        <f>IF(ADSI!$G$12="",ADSI!$H$16,ADSI!$H$12)</f>
        <v>6</v>
      </c>
      <c r="B507" s="348" t="str">
        <f ca="1">IF(ADSI!$G$12="",ADSI!$H$16,ADSI!$H$14)</f>
        <v/>
      </c>
      <c r="C507" s="405">
        <f t="shared" si="44"/>
        <v>731</v>
      </c>
      <c r="D507" s="348">
        <f>ADSI!$K$12</f>
        <v>2021</v>
      </c>
      <c r="E507" s="367">
        <f t="shared" ref="E507:Z507" si="50">D14</f>
        <v>0</v>
      </c>
      <c r="F507" s="367">
        <f t="shared" si="50"/>
        <v>0</v>
      </c>
      <c r="G507" s="367">
        <f t="shared" si="50"/>
        <v>0</v>
      </c>
      <c r="H507" s="367">
        <f t="shared" si="50"/>
        <v>0</v>
      </c>
      <c r="I507" s="367">
        <f t="shared" si="50"/>
        <v>0</v>
      </c>
      <c r="J507" s="367">
        <f t="shared" si="50"/>
        <v>0</v>
      </c>
      <c r="K507" s="367">
        <f t="shared" si="50"/>
        <v>0</v>
      </c>
      <c r="L507" s="367">
        <f t="shared" si="50"/>
        <v>0</v>
      </c>
      <c r="M507" s="367">
        <f t="shared" si="50"/>
        <v>0</v>
      </c>
      <c r="N507" s="367">
        <f t="shared" si="50"/>
        <v>0</v>
      </c>
      <c r="O507" s="367">
        <f t="shared" si="50"/>
        <v>0</v>
      </c>
      <c r="P507" s="367">
        <f t="shared" si="50"/>
        <v>0</v>
      </c>
      <c r="Q507" s="367">
        <f t="shared" si="50"/>
        <v>0</v>
      </c>
      <c r="R507" s="367">
        <f t="shared" si="50"/>
        <v>0</v>
      </c>
      <c r="S507" s="367">
        <f t="shared" si="50"/>
        <v>0</v>
      </c>
      <c r="T507" s="367">
        <f t="shared" si="50"/>
        <v>0</v>
      </c>
      <c r="U507" s="367">
        <f t="shared" si="50"/>
        <v>0</v>
      </c>
      <c r="V507" s="367">
        <f t="shared" si="50"/>
        <v>0</v>
      </c>
      <c r="W507" s="367">
        <f t="shared" si="50"/>
        <v>0</v>
      </c>
      <c r="X507" s="367">
        <f t="shared" si="50"/>
        <v>0</v>
      </c>
      <c r="Y507" s="367">
        <f t="shared" si="50"/>
        <v>0</v>
      </c>
      <c r="Z507" s="367">
        <f t="shared" si="50"/>
        <v>0</v>
      </c>
    </row>
    <row r="508" spans="1:26" s="365" customFormat="1" ht="12.75" x14ac:dyDescent="0.2">
      <c r="A508" s="348">
        <f>IF(ADSI!$G$12="",ADSI!$H$16,ADSI!$H$12)</f>
        <v>6</v>
      </c>
      <c r="B508" s="348" t="str">
        <f ca="1">IF(ADSI!$G$12="",ADSI!$H$16,ADSI!$H$14)</f>
        <v/>
      </c>
      <c r="C508" s="405">
        <f t="shared" si="44"/>
        <v>732</v>
      </c>
      <c r="D508" s="348">
        <f>ADSI!$K$12</f>
        <v>2021</v>
      </c>
      <c r="E508" s="367">
        <f t="shared" ref="E508:Z508" si="51">D15</f>
        <v>0</v>
      </c>
      <c r="F508" s="367">
        <f t="shared" si="51"/>
        <v>0</v>
      </c>
      <c r="G508" s="367">
        <f t="shared" si="51"/>
        <v>1</v>
      </c>
      <c r="H508" s="367">
        <f t="shared" si="51"/>
        <v>0</v>
      </c>
      <c r="I508" s="367">
        <f t="shared" si="51"/>
        <v>0</v>
      </c>
      <c r="J508" s="367">
        <f t="shared" si="51"/>
        <v>0</v>
      </c>
      <c r="K508" s="367">
        <f t="shared" si="51"/>
        <v>1</v>
      </c>
      <c r="L508" s="367">
        <f t="shared" si="51"/>
        <v>0</v>
      </c>
      <c r="M508" s="367">
        <f t="shared" si="51"/>
        <v>1</v>
      </c>
      <c r="N508" s="367">
        <f t="shared" si="51"/>
        <v>0</v>
      </c>
      <c r="O508" s="367">
        <f t="shared" si="51"/>
        <v>0</v>
      </c>
      <c r="P508" s="367">
        <f t="shared" si="51"/>
        <v>0</v>
      </c>
      <c r="Q508" s="367">
        <f t="shared" si="51"/>
        <v>0</v>
      </c>
      <c r="R508" s="367">
        <f t="shared" si="51"/>
        <v>1</v>
      </c>
      <c r="S508" s="367">
        <f t="shared" si="51"/>
        <v>0</v>
      </c>
      <c r="T508" s="367">
        <f t="shared" si="51"/>
        <v>0</v>
      </c>
      <c r="U508" s="367">
        <f t="shared" si="51"/>
        <v>0</v>
      </c>
      <c r="V508" s="367">
        <f t="shared" si="51"/>
        <v>0</v>
      </c>
      <c r="W508" s="367">
        <f t="shared" si="51"/>
        <v>0</v>
      </c>
      <c r="X508" s="367">
        <f t="shared" si="51"/>
        <v>0</v>
      </c>
      <c r="Y508" s="367">
        <f t="shared" si="51"/>
        <v>0</v>
      </c>
      <c r="Z508" s="367">
        <f t="shared" si="51"/>
        <v>2</v>
      </c>
    </row>
    <row r="509" spans="1:26" s="365" customFormat="1" ht="12.75" x14ac:dyDescent="0.2">
      <c r="A509" s="348">
        <f>IF(ADSI!$G$12="",ADSI!$H$16,ADSI!$H$12)</f>
        <v>6</v>
      </c>
      <c r="B509" s="348" t="str">
        <f ca="1">IF(ADSI!$G$12="",ADSI!$H$16,ADSI!$H$14)</f>
        <v/>
      </c>
      <c r="C509" s="405">
        <f t="shared" si="44"/>
        <v>733</v>
      </c>
      <c r="D509" s="348">
        <f>ADSI!$K$12</f>
        <v>2021</v>
      </c>
      <c r="E509" s="367">
        <f t="shared" ref="E509:Z509" si="52">D16</f>
        <v>0</v>
      </c>
      <c r="F509" s="367">
        <f t="shared" si="52"/>
        <v>0</v>
      </c>
      <c r="G509" s="367">
        <f t="shared" si="52"/>
        <v>0</v>
      </c>
      <c r="H509" s="367">
        <f t="shared" si="52"/>
        <v>0</v>
      </c>
      <c r="I509" s="367">
        <f t="shared" si="52"/>
        <v>0</v>
      </c>
      <c r="J509" s="367">
        <f t="shared" si="52"/>
        <v>0</v>
      </c>
      <c r="K509" s="367">
        <f t="shared" si="52"/>
        <v>0</v>
      </c>
      <c r="L509" s="367">
        <f t="shared" si="52"/>
        <v>0</v>
      </c>
      <c r="M509" s="367">
        <f t="shared" si="52"/>
        <v>0</v>
      </c>
      <c r="N509" s="367">
        <f t="shared" si="52"/>
        <v>0</v>
      </c>
      <c r="O509" s="367">
        <f t="shared" si="52"/>
        <v>0</v>
      </c>
      <c r="P509" s="367">
        <f t="shared" si="52"/>
        <v>0</v>
      </c>
      <c r="Q509" s="367">
        <f t="shared" si="52"/>
        <v>0</v>
      </c>
      <c r="R509" s="367">
        <f t="shared" si="52"/>
        <v>0</v>
      </c>
      <c r="S509" s="367">
        <f t="shared" si="52"/>
        <v>0</v>
      </c>
      <c r="T509" s="367">
        <f t="shared" si="52"/>
        <v>0</v>
      </c>
      <c r="U509" s="367">
        <f t="shared" si="52"/>
        <v>0</v>
      </c>
      <c r="V509" s="367">
        <f t="shared" si="52"/>
        <v>0</v>
      </c>
      <c r="W509" s="367">
        <f t="shared" si="52"/>
        <v>0</v>
      </c>
      <c r="X509" s="367">
        <f t="shared" si="52"/>
        <v>0</v>
      </c>
      <c r="Y509" s="367">
        <f t="shared" si="52"/>
        <v>0</v>
      </c>
      <c r="Z509" s="367">
        <f t="shared" si="52"/>
        <v>0</v>
      </c>
    </row>
    <row r="510" spans="1:26" s="365" customFormat="1" ht="12.75" x14ac:dyDescent="0.2">
      <c r="A510" s="348">
        <f>IF(ADSI!$G$12="",ADSI!$H$16,ADSI!$H$12)</f>
        <v>6</v>
      </c>
      <c r="B510" s="348" t="str">
        <f ca="1">IF(ADSI!$G$12="",ADSI!$H$16,ADSI!$H$14)</f>
        <v/>
      </c>
      <c r="C510" s="405">
        <f t="shared" si="44"/>
        <v>734</v>
      </c>
      <c r="D510" s="348">
        <f>ADSI!$K$12</f>
        <v>2021</v>
      </c>
      <c r="E510" s="367">
        <f t="shared" ref="E510:Z510" si="53">D17</f>
        <v>0</v>
      </c>
      <c r="F510" s="367">
        <f t="shared" si="53"/>
        <v>3</v>
      </c>
      <c r="G510" s="367">
        <f t="shared" si="53"/>
        <v>22</v>
      </c>
      <c r="H510" s="367">
        <f t="shared" si="53"/>
        <v>21</v>
      </c>
      <c r="I510" s="367">
        <f t="shared" si="53"/>
        <v>27</v>
      </c>
      <c r="J510" s="367">
        <f t="shared" si="53"/>
        <v>5</v>
      </c>
      <c r="K510" s="367">
        <f t="shared" si="53"/>
        <v>78</v>
      </c>
      <c r="L510" s="367">
        <f t="shared" si="53"/>
        <v>0</v>
      </c>
      <c r="M510" s="367">
        <f t="shared" si="53"/>
        <v>1</v>
      </c>
      <c r="N510" s="367">
        <f t="shared" si="53"/>
        <v>5</v>
      </c>
      <c r="O510" s="367">
        <f t="shared" si="53"/>
        <v>6</v>
      </c>
      <c r="P510" s="367">
        <f t="shared" si="53"/>
        <v>6</v>
      </c>
      <c r="Q510" s="367">
        <f t="shared" si="53"/>
        <v>7</v>
      </c>
      <c r="R510" s="367">
        <f t="shared" si="53"/>
        <v>25</v>
      </c>
      <c r="S510" s="367">
        <f t="shared" si="53"/>
        <v>0</v>
      </c>
      <c r="T510" s="367">
        <f t="shared" si="53"/>
        <v>0</v>
      </c>
      <c r="U510" s="367">
        <f t="shared" si="53"/>
        <v>0</v>
      </c>
      <c r="V510" s="367">
        <f t="shared" si="53"/>
        <v>0</v>
      </c>
      <c r="W510" s="367">
        <f t="shared" si="53"/>
        <v>0</v>
      </c>
      <c r="X510" s="367">
        <f t="shared" si="53"/>
        <v>0</v>
      </c>
      <c r="Y510" s="367">
        <f t="shared" si="53"/>
        <v>0</v>
      </c>
      <c r="Z510" s="367">
        <f t="shared" si="53"/>
        <v>103</v>
      </c>
    </row>
    <row r="511" spans="1:26" s="365" customFormat="1" ht="12.75" x14ac:dyDescent="0.2">
      <c r="A511" s="348">
        <f>IF(ADSI!$G$12="",ADSI!$H$16,ADSI!$H$12)</f>
        <v>6</v>
      </c>
      <c r="B511" s="348" t="str">
        <f ca="1">IF(ADSI!$G$12="",ADSI!$H$16,ADSI!$H$14)</f>
        <v/>
      </c>
      <c r="C511" s="405">
        <f t="shared" si="44"/>
        <v>735</v>
      </c>
      <c r="D511" s="348">
        <f>ADSI!$K$12</f>
        <v>2021</v>
      </c>
      <c r="E511" s="367">
        <f t="shared" ref="E511:Z511" si="54">D18</f>
        <v>0</v>
      </c>
      <c r="F511" s="367">
        <f t="shared" si="54"/>
        <v>0</v>
      </c>
      <c r="G511" s="367">
        <f t="shared" si="54"/>
        <v>9</v>
      </c>
      <c r="H511" s="367">
        <f t="shared" si="54"/>
        <v>10</v>
      </c>
      <c r="I511" s="367">
        <f t="shared" si="54"/>
        <v>23</v>
      </c>
      <c r="J511" s="367">
        <f t="shared" si="54"/>
        <v>10</v>
      </c>
      <c r="K511" s="367">
        <f t="shared" si="54"/>
        <v>52</v>
      </c>
      <c r="L511" s="367">
        <f t="shared" si="54"/>
        <v>0</v>
      </c>
      <c r="M511" s="367">
        <f t="shared" si="54"/>
        <v>0</v>
      </c>
      <c r="N511" s="367">
        <f t="shared" si="54"/>
        <v>4</v>
      </c>
      <c r="O511" s="367">
        <f t="shared" si="54"/>
        <v>8</v>
      </c>
      <c r="P511" s="367">
        <f t="shared" si="54"/>
        <v>3</v>
      </c>
      <c r="Q511" s="367">
        <f t="shared" si="54"/>
        <v>6</v>
      </c>
      <c r="R511" s="367">
        <f t="shared" si="54"/>
        <v>21</v>
      </c>
      <c r="S511" s="367">
        <f t="shared" si="54"/>
        <v>0</v>
      </c>
      <c r="T511" s="367">
        <f t="shared" si="54"/>
        <v>0</v>
      </c>
      <c r="U511" s="367">
        <f t="shared" si="54"/>
        <v>0</v>
      </c>
      <c r="V511" s="367">
        <f t="shared" si="54"/>
        <v>0</v>
      </c>
      <c r="W511" s="367">
        <f t="shared" si="54"/>
        <v>0</v>
      </c>
      <c r="X511" s="367">
        <f t="shared" si="54"/>
        <v>0</v>
      </c>
      <c r="Y511" s="367">
        <f t="shared" si="54"/>
        <v>0</v>
      </c>
      <c r="Z511" s="367">
        <f t="shared" si="54"/>
        <v>73</v>
      </c>
    </row>
    <row r="512" spans="1:26" s="365" customFormat="1" ht="12.75" x14ac:dyDescent="0.2">
      <c r="A512" s="348">
        <f>IF(ADSI!$G$12="",ADSI!$H$16,ADSI!$H$12)</f>
        <v>6</v>
      </c>
      <c r="B512" s="348" t="str">
        <f ca="1">IF(ADSI!$G$12="",ADSI!$H$16,ADSI!$H$14)</f>
        <v/>
      </c>
      <c r="C512" s="405">
        <f t="shared" si="44"/>
        <v>736</v>
      </c>
      <c r="D512" s="348">
        <f>ADSI!$K$12</f>
        <v>2021</v>
      </c>
      <c r="E512" s="367">
        <f t="shared" ref="E512:Z512" si="55">D19</f>
        <v>0</v>
      </c>
      <c r="F512" s="367">
        <f t="shared" si="55"/>
        <v>0</v>
      </c>
      <c r="G512" s="367">
        <f t="shared" si="55"/>
        <v>0</v>
      </c>
      <c r="H512" s="367">
        <f t="shared" si="55"/>
        <v>0</v>
      </c>
      <c r="I512" s="367">
        <f t="shared" si="55"/>
        <v>1</v>
      </c>
      <c r="J512" s="367">
        <f t="shared" si="55"/>
        <v>0</v>
      </c>
      <c r="K512" s="367">
        <f t="shared" si="55"/>
        <v>1</v>
      </c>
      <c r="L512" s="367">
        <f t="shared" si="55"/>
        <v>0</v>
      </c>
      <c r="M512" s="367">
        <f t="shared" si="55"/>
        <v>0</v>
      </c>
      <c r="N512" s="367">
        <f t="shared" si="55"/>
        <v>0</v>
      </c>
      <c r="O512" s="367">
        <f t="shared" si="55"/>
        <v>0</v>
      </c>
      <c r="P512" s="367">
        <f t="shared" si="55"/>
        <v>0</v>
      </c>
      <c r="Q512" s="367">
        <f t="shared" si="55"/>
        <v>0</v>
      </c>
      <c r="R512" s="367">
        <f t="shared" si="55"/>
        <v>0</v>
      </c>
      <c r="S512" s="367">
        <f t="shared" si="55"/>
        <v>0</v>
      </c>
      <c r="T512" s="367">
        <f t="shared" si="55"/>
        <v>0</v>
      </c>
      <c r="U512" s="367">
        <f t="shared" si="55"/>
        <v>0</v>
      </c>
      <c r="V512" s="367">
        <f t="shared" si="55"/>
        <v>0</v>
      </c>
      <c r="W512" s="367">
        <f t="shared" si="55"/>
        <v>0</v>
      </c>
      <c r="X512" s="367">
        <f t="shared" si="55"/>
        <v>0</v>
      </c>
      <c r="Y512" s="367">
        <f t="shared" si="55"/>
        <v>0</v>
      </c>
      <c r="Z512" s="367">
        <f t="shared" si="55"/>
        <v>1</v>
      </c>
    </row>
    <row r="513" spans="1:26" s="365" customFormat="1" ht="12.75" x14ac:dyDescent="0.2">
      <c r="A513" s="348">
        <f>IF(ADSI!$G$12="",ADSI!$H$16,ADSI!$H$12)</f>
        <v>6</v>
      </c>
      <c r="B513" s="348" t="str">
        <f ca="1">IF(ADSI!$G$12="",ADSI!$H$16,ADSI!$H$14)</f>
        <v/>
      </c>
      <c r="C513" s="405">
        <f t="shared" si="44"/>
        <v>737</v>
      </c>
      <c r="D513" s="348">
        <f>ADSI!$K$12</f>
        <v>2021</v>
      </c>
      <c r="E513" s="367">
        <f t="shared" ref="E513:Z513" si="56">D20</f>
        <v>0</v>
      </c>
      <c r="F513" s="367">
        <f t="shared" si="56"/>
        <v>0</v>
      </c>
      <c r="G513" s="367">
        <f t="shared" si="56"/>
        <v>0</v>
      </c>
      <c r="H513" s="367">
        <f t="shared" si="56"/>
        <v>1</v>
      </c>
      <c r="I513" s="367">
        <f t="shared" si="56"/>
        <v>2</v>
      </c>
      <c r="J513" s="367">
        <f t="shared" si="56"/>
        <v>1</v>
      </c>
      <c r="K513" s="367">
        <f t="shared" si="56"/>
        <v>4</v>
      </c>
      <c r="L513" s="367">
        <f t="shared" si="56"/>
        <v>0</v>
      </c>
      <c r="M513" s="367">
        <f t="shared" si="56"/>
        <v>0</v>
      </c>
      <c r="N513" s="367">
        <f t="shared" si="56"/>
        <v>0</v>
      </c>
      <c r="O513" s="367">
        <f t="shared" si="56"/>
        <v>0</v>
      </c>
      <c r="P513" s="367">
        <f t="shared" si="56"/>
        <v>0</v>
      </c>
      <c r="Q513" s="367">
        <f t="shared" si="56"/>
        <v>0</v>
      </c>
      <c r="R513" s="367">
        <f t="shared" si="56"/>
        <v>0</v>
      </c>
      <c r="S513" s="367">
        <f t="shared" si="56"/>
        <v>0</v>
      </c>
      <c r="T513" s="367">
        <f t="shared" si="56"/>
        <v>0</v>
      </c>
      <c r="U513" s="367">
        <f t="shared" si="56"/>
        <v>0</v>
      </c>
      <c r="V513" s="367">
        <f t="shared" si="56"/>
        <v>0</v>
      </c>
      <c r="W513" s="367">
        <f t="shared" si="56"/>
        <v>0</v>
      </c>
      <c r="X513" s="367">
        <f t="shared" si="56"/>
        <v>0</v>
      </c>
      <c r="Y513" s="367">
        <f t="shared" si="56"/>
        <v>0</v>
      </c>
      <c r="Z513" s="367">
        <f t="shared" si="56"/>
        <v>4</v>
      </c>
    </row>
    <row r="514" spans="1:26" s="365" customFormat="1" ht="12.75" x14ac:dyDescent="0.2">
      <c r="A514" s="348">
        <f>IF(ADSI!$G$12="",ADSI!$H$16,ADSI!$H$12)</f>
        <v>6</v>
      </c>
      <c r="B514" s="348" t="str">
        <f ca="1">IF(ADSI!$G$12="",ADSI!$H$16,ADSI!$H$14)</f>
        <v/>
      </c>
      <c r="C514" s="405">
        <f t="shared" si="44"/>
        <v>738</v>
      </c>
      <c r="D514" s="348">
        <f>ADSI!$K$12</f>
        <v>2021</v>
      </c>
      <c r="E514" s="367">
        <f t="shared" ref="E514:Z514" si="57">D21</f>
        <v>0</v>
      </c>
      <c r="F514" s="367">
        <f t="shared" si="57"/>
        <v>0</v>
      </c>
      <c r="G514" s="367">
        <f t="shared" si="57"/>
        <v>0</v>
      </c>
      <c r="H514" s="367">
        <f t="shared" si="57"/>
        <v>0</v>
      </c>
      <c r="I514" s="367">
        <f t="shared" si="57"/>
        <v>1</v>
      </c>
      <c r="J514" s="367">
        <f t="shared" si="57"/>
        <v>0</v>
      </c>
      <c r="K514" s="367">
        <f t="shared" si="57"/>
        <v>1</v>
      </c>
      <c r="L514" s="367">
        <f t="shared" si="57"/>
        <v>0</v>
      </c>
      <c r="M514" s="367">
        <f t="shared" si="57"/>
        <v>0</v>
      </c>
      <c r="N514" s="367">
        <f t="shared" si="57"/>
        <v>0</v>
      </c>
      <c r="O514" s="367">
        <f t="shared" si="57"/>
        <v>0</v>
      </c>
      <c r="P514" s="367">
        <f t="shared" si="57"/>
        <v>0</v>
      </c>
      <c r="Q514" s="367">
        <f t="shared" si="57"/>
        <v>0</v>
      </c>
      <c r="R514" s="367">
        <f t="shared" si="57"/>
        <v>0</v>
      </c>
      <c r="S514" s="367">
        <f t="shared" si="57"/>
        <v>0</v>
      </c>
      <c r="T514" s="367">
        <f t="shared" si="57"/>
        <v>0</v>
      </c>
      <c r="U514" s="367">
        <f t="shared" si="57"/>
        <v>0</v>
      </c>
      <c r="V514" s="367">
        <f t="shared" si="57"/>
        <v>0</v>
      </c>
      <c r="W514" s="367">
        <f t="shared" si="57"/>
        <v>0</v>
      </c>
      <c r="X514" s="367">
        <f t="shared" si="57"/>
        <v>0</v>
      </c>
      <c r="Y514" s="367">
        <f t="shared" si="57"/>
        <v>0</v>
      </c>
      <c r="Z514" s="367">
        <f t="shared" si="57"/>
        <v>1</v>
      </c>
    </row>
    <row r="515" spans="1:26" s="365" customFormat="1" ht="12.75" x14ac:dyDescent="0.2">
      <c r="A515" s="348">
        <f>IF(ADSI!$G$12="",ADSI!$H$16,ADSI!$H$12)</f>
        <v>6</v>
      </c>
      <c r="B515" s="348" t="str">
        <f ca="1">IF(ADSI!$G$12="",ADSI!$H$16,ADSI!$H$14)</f>
        <v/>
      </c>
      <c r="C515" s="405">
        <f t="shared" si="44"/>
        <v>739</v>
      </c>
      <c r="D515" s="348">
        <f>ADSI!$K$12</f>
        <v>2021</v>
      </c>
      <c r="E515" s="367">
        <f t="shared" ref="E515:Z515" si="58">D22</f>
        <v>0</v>
      </c>
      <c r="F515" s="367">
        <f t="shared" si="58"/>
        <v>0</v>
      </c>
      <c r="G515" s="367">
        <f t="shared" si="58"/>
        <v>9</v>
      </c>
      <c r="H515" s="367">
        <f t="shared" si="58"/>
        <v>8</v>
      </c>
      <c r="I515" s="367">
        <f t="shared" si="58"/>
        <v>11</v>
      </c>
      <c r="J515" s="367">
        <f t="shared" si="58"/>
        <v>5</v>
      </c>
      <c r="K515" s="367">
        <f t="shared" si="58"/>
        <v>33</v>
      </c>
      <c r="L515" s="367">
        <f t="shared" si="58"/>
        <v>0</v>
      </c>
      <c r="M515" s="367">
        <f t="shared" si="58"/>
        <v>0</v>
      </c>
      <c r="N515" s="367">
        <f t="shared" si="58"/>
        <v>2</v>
      </c>
      <c r="O515" s="367">
        <f t="shared" si="58"/>
        <v>6</v>
      </c>
      <c r="P515" s="367">
        <f t="shared" si="58"/>
        <v>3</v>
      </c>
      <c r="Q515" s="367">
        <f t="shared" si="58"/>
        <v>3</v>
      </c>
      <c r="R515" s="367">
        <f t="shared" si="58"/>
        <v>14</v>
      </c>
      <c r="S515" s="367">
        <f t="shared" si="58"/>
        <v>0</v>
      </c>
      <c r="T515" s="367">
        <f t="shared" si="58"/>
        <v>0</v>
      </c>
      <c r="U515" s="367">
        <f t="shared" si="58"/>
        <v>0</v>
      </c>
      <c r="V515" s="367">
        <f t="shared" si="58"/>
        <v>0</v>
      </c>
      <c r="W515" s="367">
        <f t="shared" si="58"/>
        <v>0</v>
      </c>
      <c r="X515" s="367">
        <f t="shared" si="58"/>
        <v>0</v>
      </c>
      <c r="Y515" s="367">
        <f t="shared" si="58"/>
        <v>0</v>
      </c>
      <c r="Z515" s="367">
        <f t="shared" si="58"/>
        <v>47</v>
      </c>
    </row>
    <row r="516" spans="1:26" s="365" customFormat="1" ht="12.75" x14ac:dyDescent="0.2">
      <c r="A516" s="348">
        <f>IF(ADSI!$G$12="",ADSI!$H$16,ADSI!$H$12)</f>
        <v>6</v>
      </c>
      <c r="B516" s="348" t="str">
        <f ca="1">IF(ADSI!$G$12="",ADSI!$H$16,ADSI!$H$14)</f>
        <v/>
      </c>
      <c r="C516" s="405">
        <f t="shared" si="44"/>
        <v>740</v>
      </c>
      <c r="D516" s="348">
        <f>ADSI!$K$12</f>
        <v>2021</v>
      </c>
      <c r="E516" s="367">
        <f t="shared" ref="E516:Z516" si="59">D23</f>
        <v>0</v>
      </c>
      <c r="F516" s="367">
        <f t="shared" si="59"/>
        <v>0</v>
      </c>
      <c r="G516" s="367">
        <f t="shared" si="59"/>
        <v>0</v>
      </c>
      <c r="H516" s="367">
        <f t="shared" si="59"/>
        <v>1</v>
      </c>
      <c r="I516" s="367">
        <f t="shared" si="59"/>
        <v>8</v>
      </c>
      <c r="J516" s="367">
        <f t="shared" si="59"/>
        <v>4</v>
      </c>
      <c r="K516" s="367">
        <f t="shared" si="59"/>
        <v>13</v>
      </c>
      <c r="L516" s="367">
        <f t="shared" si="59"/>
        <v>0</v>
      </c>
      <c r="M516" s="367">
        <f t="shared" si="59"/>
        <v>0</v>
      </c>
      <c r="N516" s="367">
        <f t="shared" si="59"/>
        <v>2</v>
      </c>
      <c r="O516" s="367">
        <f t="shared" si="59"/>
        <v>2</v>
      </c>
      <c r="P516" s="367">
        <f t="shared" si="59"/>
        <v>0</v>
      </c>
      <c r="Q516" s="367">
        <f t="shared" si="59"/>
        <v>3</v>
      </c>
      <c r="R516" s="367">
        <f t="shared" si="59"/>
        <v>7</v>
      </c>
      <c r="S516" s="367">
        <f t="shared" si="59"/>
        <v>0</v>
      </c>
      <c r="T516" s="367">
        <f t="shared" si="59"/>
        <v>0</v>
      </c>
      <c r="U516" s="367">
        <f t="shared" si="59"/>
        <v>0</v>
      </c>
      <c r="V516" s="367">
        <f t="shared" si="59"/>
        <v>0</v>
      </c>
      <c r="W516" s="367">
        <f t="shared" si="59"/>
        <v>0</v>
      </c>
      <c r="X516" s="367">
        <f t="shared" si="59"/>
        <v>0</v>
      </c>
      <c r="Y516" s="367">
        <f t="shared" si="59"/>
        <v>0</v>
      </c>
      <c r="Z516" s="367">
        <f t="shared" si="59"/>
        <v>20</v>
      </c>
    </row>
    <row r="517" spans="1:26" s="365" customFormat="1" ht="12.75" x14ac:dyDescent="0.2">
      <c r="A517" s="348">
        <f>IF(ADSI!$G$12="",ADSI!$H$16,ADSI!$H$12)</f>
        <v>6</v>
      </c>
      <c r="B517" s="348" t="str">
        <f ca="1">IF(ADSI!$G$12="",ADSI!$H$16,ADSI!$H$14)</f>
        <v/>
      </c>
      <c r="C517" s="405">
        <f t="shared" si="44"/>
        <v>741</v>
      </c>
      <c r="D517" s="348">
        <f>ADSI!$K$12</f>
        <v>2021</v>
      </c>
      <c r="E517" s="367">
        <f t="shared" ref="E517:Z517" si="60">D24</f>
        <v>0</v>
      </c>
      <c r="F517" s="367">
        <f t="shared" si="60"/>
        <v>0</v>
      </c>
      <c r="G517" s="367">
        <f t="shared" si="60"/>
        <v>1</v>
      </c>
      <c r="H517" s="367">
        <f t="shared" si="60"/>
        <v>1</v>
      </c>
      <c r="I517" s="367">
        <f t="shared" si="60"/>
        <v>2</v>
      </c>
      <c r="J517" s="367">
        <f t="shared" si="60"/>
        <v>0</v>
      </c>
      <c r="K517" s="367">
        <f t="shared" si="60"/>
        <v>4</v>
      </c>
      <c r="L517" s="367">
        <f t="shared" si="60"/>
        <v>0</v>
      </c>
      <c r="M517" s="367">
        <f t="shared" si="60"/>
        <v>0</v>
      </c>
      <c r="N517" s="367">
        <f t="shared" si="60"/>
        <v>0</v>
      </c>
      <c r="O517" s="367">
        <f t="shared" si="60"/>
        <v>1</v>
      </c>
      <c r="P517" s="367">
        <f t="shared" si="60"/>
        <v>0</v>
      </c>
      <c r="Q517" s="367">
        <f t="shared" si="60"/>
        <v>1</v>
      </c>
      <c r="R517" s="367">
        <f t="shared" si="60"/>
        <v>2</v>
      </c>
      <c r="S517" s="367">
        <f t="shared" si="60"/>
        <v>0</v>
      </c>
      <c r="T517" s="367">
        <f t="shared" si="60"/>
        <v>0</v>
      </c>
      <c r="U517" s="367">
        <f t="shared" si="60"/>
        <v>0</v>
      </c>
      <c r="V517" s="367">
        <f t="shared" si="60"/>
        <v>0</v>
      </c>
      <c r="W517" s="367">
        <f t="shared" si="60"/>
        <v>0</v>
      </c>
      <c r="X517" s="367">
        <f t="shared" si="60"/>
        <v>0</v>
      </c>
      <c r="Y517" s="367">
        <f t="shared" si="60"/>
        <v>0</v>
      </c>
      <c r="Z517" s="367">
        <f t="shared" si="60"/>
        <v>6</v>
      </c>
    </row>
    <row r="518" spans="1:26" s="365" customFormat="1" ht="12.75" x14ac:dyDescent="0.2">
      <c r="A518" s="348">
        <f>IF(ADSI!$G$12="",ADSI!$H$16,ADSI!$H$12)</f>
        <v>6</v>
      </c>
      <c r="B518" s="348" t="str">
        <f ca="1">IF(ADSI!$G$12="",ADSI!$H$16,ADSI!$H$14)</f>
        <v/>
      </c>
      <c r="C518" s="405">
        <f t="shared" si="44"/>
        <v>742</v>
      </c>
      <c r="D518" s="348">
        <f>ADSI!$K$12</f>
        <v>2021</v>
      </c>
      <c r="E518" s="367">
        <f t="shared" ref="E518:Z518" si="61">D25</f>
        <v>0</v>
      </c>
      <c r="F518" s="367">
        <f t="shared" si="61"/>
        <v>0</v>
      </c>
      <c r="G518" s="367">
        <f t="shared" si="61"/>
        <v>2</v>
      </c>
      <c r="H518" s="367">
        <f t="shared" si="61"/>
        <v>20</v>
      </c>
      <c r="I518" s="367">
        <f t="shared" si="61"/>
        <v>12</v>
      </c>
      <c r="J518" s="367">
        <f t="shared" si="61"/>
        <v>0</v>
      </c>
      <c r="K518" s="367">
        <f t="shared" si="61"/>
        <v>34</v>
      </c>
      <c r="L518" s="367">
        <f t="shared" si="61"/>
        <v>0</v>
      </c>
      <c r="M518" s="367">
        <f t="shared" si="61"/>
        <v>0</v>
      </c>
      <c r="N518" s="367">
        <f t="shared" si="61"/>
        <v>0</v>
      </c>
      <c r="O518" s="367">
        <f t="shared" si="61"/>
        <v>1</v>
      </c>
      <c r="P518" s="367">
        <f t="shared" si="61"/>
        <v>0</v>
      </c>
      <c r="Q518" s="367">
        <f t="shared" si="61"/>
        <v>0</v>
      </c>
      <c r="R518" s="367">
        <f t="shared" si="61"/>
        <v>1</v>
      </c>
      <c r="S518" s="367">
        <f t="shared" si="61"/>
        <v>0</v>
      </c>
      <c r="T518" s="367">
        <f t="shared" si="61"/>
        <v>0</v>
      </c>
      <c r="U518" s="367">
        <f t="shared" si="61"/>
        <v>0</v>
      </c>
      <c r="V518" s="367">
        <f t="shared" si="61"/>
        <v>0</v>
      </c>
      <c r="W518" s="367">
        <f t="shared" si="61"/>
        <v>0</v>
      </c>
      <c r="X518" s="367">
        <f t="shared" si="61"/>
        <v>0</v>
      </c>
      <c r="Y518" s="367">
        <f t="shared" si="61"/>
        <v>0</v>
      </c>
      <c r="Z518" s="367">
        <f t="shared" si="61"/>
        <v>35</v>
      </c>
    </row>
    <row r="519" spans="1:26" s="365" customFormat="1" ht="12.75" x14ac:dyDescent="0.2">
      <c r="A519" s="348">
        <f>IF(ADSI!$G$12="",ADSI!$H$16,ADSI!$H$12)</f>
        <v>6</v>
      </c>
      <c r="B519" s="348" t="str">
        <f ca="1">IF(ADSI!$G$12="",ADSI!$H$16,ADSI!$H$14)</f>
        <v/>
      </c>
      <c r="C519" s="405">
        <f t="shared" si="44"/>
        <v>743</v>
      </c>
      <c r="D519" s="348">
        <f>ADSI!$K$12</f>
        <v>2021</v>
      </c>
      <c r="E519" s="367">
        <f t="shared" ref="E519:Z519" si="62">D26</f>
        <v>0</v>
      </c>
      <c r="F519" s="367">
        <f t="shared" si="62"/>
        <v>0</v>
      </c>
      <c r="G519" s="367">
        <f t="shared" si="62"/>
        <v>0</v>
      </c>
      <c r="H519" s="367">
        <f t="shared" si="62"/>
        <v>0</v>
      </c>
      <c r="I519" s="367">
        <f t="shared" si="62"/>
        <v>0</v>
      </c>
      <c r="J519" s="367">
        <f t="shared" si="62"/>
        <v>0</v>
      </c>
      <c r="K519" s="367">
        <f t="shared" si="62"/>
        <v>0</v>
      </c>
      <c r="L519" s="367">
        <f t="shared" si="62"/>
        <v>0</v>
      </c>
      <c r="M519" s="367">
        <f t="shared" si="62"/>
        <v>0</v>
      </c>
      <c r="N519" s="367">
        <f t="shared" si="62"/>
        <v>0</v>
      </c>
      <c r="O519" s="367">
        <f t="shared" si="62"/>
        <v>0</v>
      </c>
      <c r="P519" s="367">
        <f t="shared" si="62"/>
        <v>0</v>
      </c>
      <c r="Q519" s="367">
        <f t="shared" si="62"/>
        <v>0</v>
      </c>
      <c r="R519" s="367">
        <f t="shared" si="62"/>
        <v>0</v>
      </c>
      <c r="S519" s="367">
        <f t="shared" si="62"/>
        <v>0</v>
      </c>
      <c r="T519" s="367">
        <f t="shared" si="62"/>
        <v>0</v>
      </c>
      <c r="U519" s="367">
        <f t="shared" si="62"/>
        <v>0</v>
      </c>
      <c r="V519" s="367">
        <f t="shared" si="62"/>
        <v>0</v>
      </c>
      <c r="W519" s="367">
        <f t="shared" si="62"/>
        <v>0</v>
      </c>
      <c r="X519" s="367">
        <f t="shared" si="62"/>
        <v>0</v>
      </c>
      <c r="Y519" s="367">
        <f t="shared" si="62"/>
        <v>0</v>
      </c>
      <c r="Z519" s="367">
        <f t="shared" si="62"/>
        <v>0</v>
      </c>
    </row>
    <row r="520" spans="1:26" s="365" customFormat="1" ht="12.75" x14ac:dyDescent="0.2">
      <c r="A520" s="348">
        <f>IF(ADSI!$G$12="",ADSI!$H$16,ADSI!$H$12)</f>
        <v>6</v>
      </c>
      <c r="B520" s="348" t="str">
        <f ca="1">IF(ADSI!$G$12="",ADSI!$H$16,ADSI!$H$14)</f>
        <v/>
      </c>
      <c r="C520" s="405">
        <f t="shared" si="44"/>
        <v>744</v>
      </c>
      <c r="D520" s="348">
        <f>ADSI!$K$12</f>
        <v>2021</v>
      </c>
      <c r="E520" s="367">
        <f t="shared" ref="E520:Z520" si="63">D27</f>
        <v>0</v>
      </c>
      <c r="F520" s="367">
        <f t="shared" si="63"/>
        <v>0</v>
      </c>
      <c r="G520" s="367">
        <f t="shared" si="63"/>
        <v>0</v>
      </c>
      <c r="H520" s="367">
        <f t="shared" si="63"/>
        <v>0</v>
      </c>
      <c r="I520" s="367">
        <f t="shared" si="63"/>
        <v>0</v>
      </c>
      <c r="J520" s="367">
        <f t="shared" si="63"/>
        <v>0</v>
      </c>
      <c r="K520" s="367">
        <f t="shared" si="63"/>
        <v>0</v>
      </c>
      <c r="L520" s="367">
        <f t="shared" si="63"/>
        <v>0</v>
      </c>
      <c r="M520" s="367">
        <f t="shared" si="63"/>
        <v>0</v>
      </c>
      <c r="N520" s="367">
        <f t="shared" si="63"/>
        <v>0</v>
      </c>
      <c r="O520" s="367">
        <f t="shared" si="63"/>
        <v>0</v>
      </c>
      <c r="P520" s="367">
        <f t="shared" si="63"/>
        <v>0</v>
      </c>
      <c r="Q520" s="367">
        <f t="shared" si="63"/>
        <v>0</v>
      </c>
      <c r="R520" s="367">
        <f t="shared" si="63"/>
        <v>0</v>
      </c>
      <c r="S520" s="367">
        <f t="shared" si="63"/>
        <v>0</v>
      </c>
      <c r="T520" s="367">
        <f t="shared" si="63"/>
        <v>0</v>
      </c>
      <c r="U520" s="367">
        <f t="shared" si="63"/>
        <v>0</v>
      </c>
      <c r="V520" s="367">
        <f t="shared" si="63"/>
        <v>0</v>
      </c>
      <c r="W520" s="367">
        <f t="shared" si="63"/>
        <v>0</v>
      </c>
      <c r="X520" s="367">
        <f t="shared" si="63"/>
        <v>0</v>
      </c>
      <c r="Y520" s="367">
        <f t="shared" si="63"/>
        <v>0</v>
      </c>
      <c r="Z520" s="367">
        <f t="shared" si="63"/>
        <v>0</v>
      </c>
    </row>
    <row r="521" spans="1:26" s="365" customFormat="1" ht="12.75" x14ac:dyDescent="0.2">
      <c r="A521" s="348">
        <f>IF(ADSI!$G$12="",ADSI!$H$16,ADSI!$H$12)</f>
        <v>6</v>
      </c>
      <c r="B521" s="348" t="str">
        <f ca="1">IF(ADSI!$G$12="",ADSI!$H$16,ADSI!$H$14)</f>
        <v/>
      </c>
      <c r="C521" s="405">
        <f t="shared" si="44"/>
        <v>745</v>
      </c>
      <c r="D521" s="348">
        <f>ADSI!$K$12</f>
        <v>2021</v>
      </c>
      <c r="E521" s="367">
        <f t="shared" ref="E521:Z521" si="64">D28</f>
        <v>0</v>
      </c>
      <c r="F521" s="367">
        <f t="shared" si="64"/>
        <v>1</v>
      </c>
      <c r="G521" s="367">
        <f t="shared" si="64"/>
        <v>13</v>
      </c>
      <c r="H521" s="367">
        <f t="shared" si="64"/>
        <v>1</v>
      </c>
      <c r="I521" s="367">
        <f t="shared" si="64"/>
        <v>0</v>
      </c>
      <c r="J521" s="367">
        <f t="shared" si="64"/>
        <v>0</v>
      </c>
      <c r="K521" s="367">
        <f t="shared" si="64"/>
        <v>15</v>
      </c>
      <c r="L521" s="367">
        <f t="shared" si="64"/>
        <v>0</v>
      </c>
      <c r="M521" s="367">
        <f t="shared" si="64"/>
        <v>0</v>
      </c>
      <c r="N521" s="367">
        <f t="shared" si="64"/>
        <v>3</v>
      </c>
      <c r="O521" s="367">
        <f t="shared" si="64"/>
        <v>1</v>
      </c>
      <c r="P521" s="367">
        <f t="shared" si="64"/>
        <v>0</v>
      </c>
      <c r="Q521" s="367">
        <f t="shared" si="64"/>
        <v>0</v>
      </c>
      <c r="R521" s="367">
        <f t="shared" si="64"/>
        <v>4</v>
      </c>
      <c r="S521" s="367">
        <f t="shared" si="64"/>
        <v>0</v>
      </c>
      <c r="T521" s="367">
        <f t="shared" si="64"/>
        <v>0</v>
      </c>
      <c r="U521" s="367">
        <f t="shared" si="64"/>
        <v>0</v>
      </c>
      <c r="V521" s="367">
        <f t="shared" si="64"/>
        <v>0</v>
      </c>
      <c r="W521" s="367">
        <f t="shared" si="64"/>
        <v>0</v>
      </c>
      <c r="X521" s="367">
        <f t="shared" si="64"/>
        <v>0</v>
      </c>
      <c r="Y521" s="367">
        <f t="shared" si="64"/>
        <v>0</v>
      </c>
      <c r="Z521" s="367">
        <f t="shared" si="64"/>
        <v>19</v>
      </c>
    </row>
    <row r="522" spans="1:26" s="365" customFormat="1" ht="12.75" x14ac:dyDescent="0.2">
      <c r="A522" s="348">
        <f>IF(ADSI!$G$12="",ADSI!$H$16,ADSI!$H$12)</f>
        <v>6</v>
      </c>
      <c r="B522" s="348" t="str">
        <f ca="1">IF(ADSI!$G$12="",ADSI!$H$16,ADSI!$H$14)</f>
        <v/>
      </c>
      <c r="C522" s="405">
        <f t="shared" si="44"/>
        <v>746</v>
      </c>
      <c r="D522" s="348">
        <f>ADSI!$K$12</f>
        <v>2021</v>
      </c>
      <c r="E522" s="367">
        <f t="shared" ref="E522:Z522" si="65">D29</f>
        <v>0</v>
      </c>
      <c r="F522" s="367">
        <f t="shared" si="65"/>
        <v>0</v>
      </c>
      <c r="G522" s="367">
        <f t="shared" si="65"/>
        <v>0</v>
      </c>
      <c r="H522" s="367">
        <f t="shared" si="65"/>
        <v>1</v>
      </c>
      <c r="I522" s="367">
        <f t="shared" si="65"/>
        <v>0</v>
      </c>
      <c r="J522" s="367">
        <f t="shared" si="65"/>
        <v>1</v>
      </c>
      <c r="K522" s="367">
        <f t="shared" si="65"/>
        <v>2</v>
      </c>
      <c r="L522" s="367">
        <f t="shared" si="65"/>
        <v>0</v>
      </c>
      <c r="M522" s="367">
        <f t="shared" si="65"/>
        <v>0</v>
      </c>
      <c r="N522" s="367">
        <f t="shared" si="65"/>
        <v>0</v>
      </c>
      <c r="O522" s="367">
        <f t="shared" si="65"/>
        <v>0</v>
      </c>
      <c r="P522" s="367">
        <f t="shared" si="65"/>
        <v>2</v>
      </c>
      <c r="Q522" s="367">
        <f t="shared" si="65"/>
        <v>1</v>
      </c>
      <c r="R522" s="367">
        <f t="shared" si="65"/>
        <v>3</v>
      </c>
      <c r="S522" s="367">
        <f t="shared" si="65"/>
        <v>0</v>
      </c>
      <c r="T522" s="367">
        <f t="shared" si="65"/>
        <v>0</v>
      </c>
      <c r="U522" s="367">
        <f t="shared" si="65"/>
        <v>0</v>
      </c>
      <c r="V522" s="367">
        <f t="shared" si="65"/>
        <v>0</v>
      </c>
      <c r="W522" s="367">
        <f t="shared" si="65"/>
        <v>0</v>
      </c>
      <c r="X522" s="367">
        <f t="shared" si="65"/>
        <v>0</v>
      </c>
      <c r="Y522" s="367">
        <f t="shared" si="65"/>
        <v>0</v>
      </c>
      <c r="Z522" s="367">
        <f t="shared" si="65"/>
        <v>5</v>
      </c>
    </row>
    <row r="523" spans="1:26" s="365" customFormat="1" ht="12.75" x14ac:dyDescent="0.2">
      <c r="A523" s="348">
        <f>IF(ADSI!$G$12="",ADSI!$H$16,ADSI!$H$12)</f>
        <v>6</v>
      </c>
      <c r="B523" s="348" t="str">
        <f ca="1">IF(ADSI!$G$12="",ADSI!$H$16,ADSI!$H$14)</f>
        <v/>
      </c>
      <c r="C523" s="405">
        <f t="shared" si="44"/>
        <v>747</v>
      </c>
      <c r="D523" s="348">
        <f>ADSI!$K$12</f>
        <v>2021</v>
      </c>
      <c r="E523" s="367">
        <f t="shared" ref="E523:Z523" si="66">D30</f>
        <v>0</v>
      </c>
      <c r="F523" s="367">
        <f t="shared" si="66"/>
        <v>0</v>
      </c>
      <c r="G523" s="367">
        <f t="shared" si="66"/>
        <v>8</v>
      </c>
      <c r="H523" s="367">
        <f t="shared" si="66"/>
        <v>9</v>
      </c>
      <c r="I523" s="367">
        <f t="shared" si="66"/>
        <v>6</v>
      </c>
      <c r="J523" s="367">
        <f t="shared" si="66"/>
        <v>0</v>
      </c>
      <c r="K523" s="367">
        <f t="shared" si="66"/>
        <v>23</v>
      </c>
      <c r="L523" s="367">
        <f t="shared" si="66"/>
        <v>0</v>
      </c>
      <c r="M523" s="367">
        <f t="shared" si="66"/>
        <v>0</v>
      </c>
      <c r="N523" s="367">
        <f t="shared" si="66"/>
        <v>0</v>
      </c>
      <c r="O523" s="367">
        <f t="shared" si="66"/>
        <v>0</v>
      </c>
      <c r="P523" s="367">
        <f t="shared" si="66"/>
        <v>0</v>
      </c>
      <c r="Q523" s="367">
        <f t="shared" si="66"/>
        <v>0</v>
      </c>
      <c r="R523" s="367">
        <f t="shared" si="66"/>
        <v>0</v>
      </c>
      <c r="S523" s="367">
        <f t="shared" si="66"/>
        <v>0</v>
      </c>
      <c r="T523" s="367">
        <f t="shared" si="66"/>
        <v>0</v>
      </c>
      <c r="U523" s="367">
        <f t="shared" si="66"/>
        <v>0</v>
      </c>
      <c r="V523" s="367">
        <f t="shared" si="66"/>
        <v>0</v>
      </c>
      <c r="W523" s="367">
        <f t="shared" si="66"/>
        <v>0</v>
      </c>
      <c r="X523" s="367">
        <f t="shared" si="66"/>
        <v>0</v>
      </c>
      <c r="Y523" s="367">
        <f t="shared" si="66"/>
        <v>0</v>
      </c>
      <c r="Z523" s="367">
        <f t="shared" si="66"/>
        <v>23</v>
      </c>
    </row>
    <row r="524" spans="1:26" s="365" customFormat="1" ht="12.75" x14ac:dyDescent="0.2">
      <c r="A524" s="348">
        <f>IF(ADSI!$G$12="",ADSI!$H$16,ADSI!$H$12)</f>
        <v>6</v>
      </c>
      <c r="B524" s="348" t="str">
        <f ca="1">IF(ADSI!$G$12="",ADSI!$H$16,ADSI!$H$14)</f>
        <v/>
      </c>
      <c r="C524" s="405">
        <f t="shared" si="44"/>
        <v>748</v>
      </c>
      <c r="D524" s="348">
        <f>ADSI!$K$12</f>
        <v>2021</v>
      </c>
      <c r="E524" s="367">
        <f t="shared" ref="E524:Z524" si="67">D31</f>
        <v>0</v>
      </c>
      <c r="F524" s="367">
        <f t="shared" si="67"/>
        <v>0</v>
      </c>
      <c r="G524" s="367">
        <f t="shared" si="67"/>
        <v>0</v>
      </c>
      <c r="H524" s="367">
        <f t="shared" si="67"/>
        <v>0</v>
      </c>
      <c r="I524" s="367">
        <f t="shared" si="67"/>
        <v>0</v>
      </c>
      <c r="J524" s="367">
        <f t="shared" si="67"/>
        <v>0</v>
      </c>
      <c r="K524" s="367">
        <f t="shared" si="67"/>
        <v>0</v>
      </c>
      <c r="L524" s="367">
        <f t="shared" si="67"/>
        <v>0</v>
      </c>
      <c r="M524" s="367">
        <f t="shared" si="67"/>
        <v>0</v>
      </c>
      <c r="N524" s="367">
        <f t="shared" si="67"/>
        <v>0</v>
      </c>
      <c r="O524" s="367">
        <f t="shared" si="67"/>
        <v>0</v>
      </c>
      <c r="P524" s="367">
        <f t="shared" si="67"/>
        <v>0</v>
      </c>
      <c r="Q524" s="367">
        <f t="shared" si="67"/>
        <v>0</v>
      </c>
      <c r="R524" s="367">
        <f t="shared" si="67"/>
        <v>0</v>
      </c>
      <c r="S524" s="367">
        <f t="shared" si="67"/>
        <v>0</v>
      </c>
      <c r="T524" s="367">
        <f t="shared" si="67"/>
        <v>0</v>
      </c>
      <c r="U524" s="367">
        <f t="shared" si="67"/>
        <v>0</v>
      </c>
      <c r="V524" s="367">
        <f t="shared" si="67"/>
        <v>0</v>
      </c>
      <c r="W524" s="367">
        <f t="shared" si="67"/>
        <v>0</v>
      </c>
      <c r="X524" s="367">
        <f t="shared" si="67"/>
        <v>0</v>
      </c>
      <c r="Y524" s="367">
        <f t="shared" si="67"/>
        <v>0</v>
      </c>
      <c r="Z524" s="367">
        <f t="shared" si="67"/>
        <v>0</v>
      </c>
    </row>
    <row r="525" spans="1:26" s="365" customFormat="1" ht="12.75" x14ac:dyDescent="0.2">
      <c r="A525" s="348">
        <f>IF(ADSI!$G$12="",ADSI!$H$16,ADSI!$H$12)</f>
        <v>6</v>
      </c>
      <c r="B525" s="348" t="str">
        <f ca="1">IF(ADSI!$G$12="",ADSI!$H$16,ADSI!$H$14)</f>
        <v/>
      </c>
      <c r="C525" s="405">
        <f t="shared" si="44"/>
        <v>749</v>
      </c>
      <c r="D525" s="348">
        <f>ADSI!$K$12</f>
        <v>2021</v>
      </c>
      <c r="E525" s="367">
        <f t="shared" ref="E525:Z525" si="68">D32</f>
        <v>0</v>
      </c>
      <c r="F525" s="367">
        <f t="shared" si="68"/>
        <v>0</v>
      </c>
      <c r="G525" s="367">
        <f t="shared" si="68"/>
        <v>0</v>
      </c>
      <c r="H525" s="367">
        <f t="shared" si="68"/>
        <v>1</v>
      </c>
      <c r="I525" s="367">
        <f t="shared" si="68"/>
        <v>0</v>
      </c>
      <c r="J525" s="367">
        <f t="shared" si="68"/>
        <v>0</v>
      </c>
      <c r="K525" s="367">
        <f t="shared" si="68"/>
        <v>1</v>
      </c>
      <c r="L525" s="367">
        <f t="shared" si="68"/>
        <v>0</v>
      </c>
      <c r="M525" s="367">
        <f t="shared" si="68"/>
        <v>0</v>
      </c>
      <c r="N525" s="367">
        <f t="shared" si="68"/>
        <v>0</v>
      </c>
      <c r="O525" s="367">
        <f t="shared" si="68"/>
        <v>0</v>
      </c>
      <c r="P525" s="367">
        <f t="shared" si="68"/>
        <v>0</v>
      </c>
      <c r="Q525" s="367">
        <f t="shared" si="68"/>
        <v>0</v>
      </c>
      <c r="R525" s="367">
        <f t="shared" si="68"/>
        <v>0</v>
      </c>
      <c r="S525" s="367">
        <f t="shared" si="68"/>
        <v>0</v>
      </c>
      <c r="T525" s="367">
        <f t="shared" si="68"/>
        <v>0</v>
      </c>
      <c r="U525" s="367">
        <f t="shared" si="68"/>
        <v>0</v>
      </c>
      <c r="V525" s="367">
        <f t="shared" si="68"/>
        <v>0</v>
      </c>
      <c r="W525" s="367">
        <f t="shared" si="68"/>
        <v>0</v>
      </c>
      <c r="X525" s="367">
        <f t="shared" si="68"/>
        <v>0</v>
      </c>
      <c r="Y525" s="367">
        <f t="shared" si="68"/>
        <v>0</v>
      </c>
      <c r="Z525" s="367">
        <f t="shared" si="68"/>
        <v>1</v>
      </c>
    </row>
    <row r="526" spans="1:26" s="365" customFormat="1" ht="12.75" x14ac:dyDescent="0.2">
      <c r="A526" s="348">
        <f>IF(ADSI!$G$12="",ADSI!$H$16,ADSI!$H$12)</f>
        <v>6</v>
      </c>
      <c r="B526" s="348" t="str">
        <f ca="1">IF(ADSI!$G$12="",ADSI!$H$16,ADSI!$H$14)</f>
        <v/>
      </c>
      <c r="C526" s="405">
        <f t="shared" si="44"/>
        <v>750</v>
      </c>
      <c r="D526" s="348">
        <f>ADSI!$K$12</f>
        <v>2021</v>
      </c>
      <c r="E526" s="367">
        <f t="shared" ref="E526:Z526" si="69">D33</f>
        <v>0</v>
      </c>
      <c r="F526" s="367">
        <f t="shared" si="69"/>
        <v>0</v>
      </c>
      <c r="G526" s="367">
        <f t="shared" si="69"/>
        <v>0</v>
      </c>
      <c r="H526" s="367">
        <f t="shared" si="69"/>
        <v>0</v>
      </c>
      <c r="I526" s="367">
        <f t="shared" si="69"/>
        <v>0</v>
      </c>
      <c r="J526" s="367">
        <f t="shared" si="69"/>
        <v>0</v>
      </c>
      <c r="K526" s="367">
        <f t="shared" si="69"/>
        <v>0</v>
      </c>
      <c r="L526" s="367">
        <f t="shared" si="69"/>
        <v>0</v>
      </c>
      <c r="M526" s="367">
        <f t="shared" si="69"/>
        <v>0</v>
      </c>
      <c r="N526" s="367">
        <f t="shared" si="69"/>
        <v>0</v>
      </c>
      <c r="O526" s="367">
        <f t="shared" si="69"/>
        <v>0</v>
      </c>
      <c r="P526" s="367">
        <f t="shared" si="69"/>
        <v>0</v>
      </c>
      <c r="Q526" s="367">
        <f t="shared" si="69"/>
        <v>0</v>
      </c>
      <c r="R526" s="367">
        <f t="shared" si="69"/>
        <v>0</v>
      </c>
      <c r="S526" s="367">
        <f t="shared" si="69"/>
        <v>0</v>
      </c>
      <c r="T526" s="367">
        <f t="shared" si="69"/>
        <v>0</v>
      </c>
      <c r="U526" s="367">
        <f t="shared" si="69"/>
        <v>0</v>
      </c>
      <c r="V526" s="367">
        <f t="shared" si="69"/>
        <v>0</v>
      </c>
      <c r="W526" s="367">
        <f t="shared" si="69"/>
        <v>0</v>
      </c>
      <c r="X526" s="367">
        <f t="shared" si="69"/>
        <v>0</v>
      </c>
      <c r="Y526" s="367">
        <f t="shared" si="69"/>
        <v>0</v>
      </c>
      <c r="Z526" s="367">
        <f t="shared" si="69"/>
        <v>0</v>
      </c>
    </row>
    <row r="527" spans="1:26" s="365" customFormat="1" ht="12.75" x14ac:dyDescent="0.2">
      <c r="A527" s="348">
        <f>IF(ADSI!$G$12="",ADSI!$H$16,ADSI!$H$12)</f>
        <v>6</v>
      </c>
      <c r="B527" s="348" t="str">
        <f ca="1">IF(ADSI!$G$12="",ADSI!$H$16,ADSI!$H$14)</f>
        <v/>
      </c>
      <c r="C527" s="405">
        <f t="shared" si="44"/>
        <v>751</v>
      </c>
      <c r="D527" s="348">
        <f>ADSI!$K$12</f>
        <v>2021</v>
      </c>
      <c r="E527" s="367">
        <f t="shared" ref="E527:Z527" si="70">D34</f>
        <v>1</v>
      </c>
      <c r="F527" s="367">
        <f t="shared" si="70"/>
        <v>0</v>
      </c>
      <c r="G527" s="367">
        <f t="shared" si="70"/>
        <v>0</v>
      </c>
      <c r="H527" s="367">
        <f t="shared" si="70"/>
        <v>0</v>
      </c>
      <c r="I527" s="367">
        <f t="shared" si="70"/>
        <v>0</v>
      </c>
      <c r="J527" s="367">
        <f t="shared" si="70"/>
        <v>0</v>
      </c>
      <c r="K527" s="367">
        <f t="shared" si="70"/>
        <v>1</v>
      </c>
      <c r="L527" s="367">
        <f t="shared" si="70"/>
        <v>0</v>
      </c>
      <c r="M527" s="367">
        <f t="shared" si="70"/>
        <v>0</v>
      </c>
      <c r="N527" s="367">
        <f t="shared" si="70"/>
        <v>0</v>
      </c>
      <c r="O527" s="367">
        <f t="shared" si="70"/>
        <v>0</v>
      </c>
      <c r="P527" s="367">
        <f t="shared" si="70"/>
        <v>0</v>
      </c>
      <c r="Q527" s="367">
        <f t="shared" si="70"/>
        <v>0</v>
      </c>
      <c r="R527" s="367">
        <f t="shared" si="70"/>
        <v>0</v>
      </c>
      <c r="S527" s="367">
        <f t="shared" si="70"/>
        <v>0</v>
      </c>
      <c r="T527" s="367">
        <f t="shared" si="70"/>
        <v>0</v>
      </c>
      <c r="U527" s="367">
        <f t="shared" si="70"/>
        <v>0</v>
      </c>
      <c r="V527" s="367">
        <f t="shared" si="70"/>
        <v>0</v>
      </c>
      <c r="W527" s="367">
        <f t="shared" si="70"/>
        <v>0</v>
      </c>
      <c r="X527" s="367">
        <f t="shared" si="70"/>
        <v>0</v>
      </c>
      <c r="Y527" s="367">
        <f t="shared" si="70"/>
        <v>0</v>
      </c>
      <c r="Z527" s="367">
        <f t="shared" si="70"/>
        <v>1</v>
      </c>
    </row>
    <row r="528" spans="1:26" s="365" customFormat="1" ht="12.75" x14ac:dyDescent="0.2">
      <c r="A528" s="348">
        <f>IF(ADSI!$G$12="",ADSI!$H$16,ADSI!$H$12)</f>
        <v>6</v>
      </c>
      <c r="B528" s="348" t="str">
        <f ca="1">IF(ADSI!$G$12="",ADSI!$H$16,ADSI!$H$14)</f>
        <v/>
      </c>
      <c r="C528" s="405">
        <f t="shared" si="44"/>
        <v>752</v>
      </c>
      <c r="D528" s="348">
        <f>ADSI!$K$12</f>
        <v>2021</v>
      </c>
      <c r="E528" s="367">
        <f t="shared" ref="E528:Z528" si="71">D35</f>
        <v>0</v>
      </c>
      <c r="F528" s="367">
        <f t="shared" si="71"/>
        <v>0</v>
      </c>
      <c r="G528" s="367">
        <f t="shared" si="71"/>
        <v>1</v>
      </c>
      <c r="H528" s="367">
        <f t="shared" si="71"/>
        <v>3</v>
      </c>
      <c r="I528" s="367">
        <f t="shared" si="71"/>
        <v>2</v>
      </c>
      <c r="J528" s="367">
        <f t="shared" si="71"/>
        <v>0</v>
      </c>
      <c r="K528" s="367">
        <f t="shared" si="71"/>
        <v>6</v>
      </c>
      <c r="L528" s="367">
        <f t="shared" si="71"/>
        <v>0</v>
      </c>
      <c r="M528" s="367">
        <f t="shared" si="71"/>
        <v>0</v>
      </c>
      <c r="N528" s="367">
        <f t="shared" si="71"/>
        <v>0</v>
      </c>
      <c r="O528" s="367">
        <f t="shared" si="71"/>
        <v>1</v>
      </c>
      <c r="P528" s="367">
        <f t="shared" si="71"/>
        <v>0</v>
      </c>
      <c r="Q528" s="367">
        <f t="shared" si="71"/>
        <v>0</v>
      </c>
      <c r="R528" s="367">
        <f t="shared" si="71"/>
        <v>1</v>
      </c>
      <c r="S528" s="367">
        <f t="shared" si="71"/>
        <v>0</v>
      </c>
      <c r="T528" s="367">
        <f t="shared" si="71"/>
        <v>0</v>
      </c>
      <c r="U528" s="367">
        <f t="shared" si="71"/>
        <v>0</v>
      </c>
      <c r="V528" s="367">
        <f t="shared" si="71"/>
        <v>0</v>
      </c>
      <c r="W528" s="367">
        <f t="shared" si="71"/>
        <v>0</v>
      </c>
      <c r="X528" s="367">
        <f t="shared" si="71"/>
        <v>0</v>
      </c>
      <c r="Y528" s="367">
        <f t="shared" si="71"/>
        <v>0</v>
      </c>
      <c r="Z528" s="367">
        <f t="shared" si="71"/>
        <v>7</v>
      </c>
    </row>
    <row r="529" spans="1:26" s="365" customFormat="1" ht="12.75" x14ac:dyDescent="0.2">
      <c r="A529" s="348">
        <f>IF(ADSI!$G$12="",ADSI!$H$16,ADSI!$H$12)</f>
        <v>6</v>
      </c>
      <c r="B529" s="348" t="str">
        <f ca="1">IF(ADSI!$G$12="",ADSI!$H$16,ADSI!$H$14)</f>
        <v/>
      </c>
      <c r="C529" s="405">
        <f t="shared" si="44"/>
        <v>753</v>
      </c>
      <c r="D529" s="348">
        <f>ADSI!$K$12</f>
        <v>2021</v>
      </c>
      <c r="E529" s="367">
        <f t="shared" ref="E529:Z529" si="72">D36</f>
        <v>0</v>
      </c>
      <c r="F529" s="367">
        <f t="shared" si="72"/>
        <v>1</v>
      </c>
      <c r="G529" s="367">
        <f t="shared" si="72"/>
        <v>1</v>
      </c>
      <c r="H529" s="367">
        <f t="shared" si="72"/>
        <v>5</v>
      </c>
      <c r="I529" s="367">
        <f t="shared" si="72"/>
        <v>2</v>
      </c>
      <c r="J529" s="367">
        <f t="shared" si="72"/>
        <v>0</v>
      </c>
      <c r="K529" s="367">
        <f t="shared" si="72"/>
        <v>9</v>
      </c>
      <c r="L529" s="367">
        <f t="shared" si="72"/>
        <v>1</v>
      </c>
      <c r="M529" s="367">
        <f t="shared" si="72"/>
        <v>0</v>
      </c>
      <c r="N529" s="367">
        <f t="shared" si="72"/>
        <v>4</v>
      </c>
      <c r="O529" s="367">
        <f t="shared" si="72"/>
        <v>0</v>
      </c>
      <c r="P529" s="367">
        <f t="shared" si="72"/>
        <v>0</v>
      </c>
      <c r="Q529" s="367">
        <f t="shared" si="72"/>
        <v>1</v>
      </c>
      <c r="R529" s="367">
        <f t="shared" si="72"/>
        <v>6</v>
      </c>
      <c r="S529" s="367">
        <f t="shared" si="72"/>
        <v>0</v>
      </c>
      <c r="T529" s="367">
        <f t="shared" si="72"/>
        <v>0</v>
      </c>
      <c r="U529" s="367">
        <f t="shared" si="72"/>
        <v>0</v>
      </c>
      <c r="V529" s="367">
        <f t="shared" si="72"/>
        <v>0</v>
      </c>
      <c r="W529" s="367">
        <f t="shared" si="72"/>
        <v>0</v>
      </c>
      <c r="X529" s="367">
        <f t="shared" si="72"/>
        <v>0</v>
      </c>
      <c r="Y529" s="367">
        <f t="shared" si="72"/>
        <v>0</v>
      </c>
      <c r="Z529" s="367">
        <f t="shared" si="72"/>
        <v>15</v>
      </c>
    </row>
    <row r="530" spans="1:26" s="365" customFormat="1" ht="12.75" x14ac:dyDescent="0.2">
      <c r="A530" s="348">
        <f>IF(ADSI!$G$12="",ADSI!$H$16,ADSI!$H$12)</f>
        <v>6</v>
      </c>
      <c r="B530" s="348" t="str">
        <f ca="1">IF(ADSI!$G$12="",ADSI!$H$16,ADSI!$H$14)</f>
        <v/>
      </c>
      <c r="C530" s="405">
        <f t="shared" si="44"/>
        <v>754</v>
      </c>
      <c r="D530" s="348">
        <f>ADSI!$K$12</f>
        <v>2021</v>
      </c>
      <c r="E530" s="367">
        <f t="shared" ref="E530:Z530" si="73">D37</f>
        <v>1</v>
      </c>
      <c r="F530" s="367">
        <f t="shared" si="73"/>
        <v>1</v>
      </c>
      <c r="G530" s="367">
        <f t="shared" si="73"/>
        <v>3</v>
      </c>
      <c r="H530" s="367">
        <f t="shared" si="73"/>
        <v>4</v>
      </c>
      <c r="I530" s="367">
        <f t="shared" si="73"/>
        <v>3</v>
      </c>
      <c r="J530" s="367">
        <f t="shared" si="73"/>
        <v>0</v>
      </c>
      <c r="K530" s="367">
        <f t="shared" si="73"/>
        <v>12</v>
      </c>
      <c r="L530" s="367">
        <f t="shared" si="73"/>
        <v>0</v>
      </c>
      <c r="M530" s="367">
        <f t="shared" si="73"/>
        <v>2</v>
      </c>
      <c r="N530" s="367">
        <f t="shared" si="73"/>
        <v>2</v>
      </c>
      <c r="O530" s="367">
        <f t="shared" si="73"/>
        <v>2</v>
      </c>
      <c r="P530" s="367">
        <f t="shared" si="73"/>
        <v>0</v>
      </c>
      <c r="Q530" s="367">
        <f t="shared" si="73"/>
        <v>0</v>
      </c>
      <c r="R530" s="367">
        <f t="shared" si="73"/>
        <v>6</v>
      </c>
      <c r="S530" s="367">
        <f t="shared" si="73"/>
        <v>0</v>
      </c>
      <c r="T530" s="367">
        <f t="shared" si="73"/>
        <v>0</v>
      </c>
      <c r="U530" s="367">
        <f t="shared" si="73"/>
        <v>0</v>
      </c>
      <c r="V530" s="367">
        <f t="shared" si="73"/>
        <v>0</v>
      </c>
      <c r="W530" s="367">
        <f t="shared" si="73"/>
        <v>0</v>
      </c>
      <c r="X530" s="367">
        <f t="shared" si="73"/>
        <v>0</v>
      </c>
      <c r="Y530" s="367">
        <f t="shared" si="73"/>
        <v>0</v>
      </c>
      <c r="Z530" s="367">
        <f t="shared" si="73"/>
        <v>18</v>
      </c>
    </row>
    <row r="531" spans="1:26" s="365" customFormat="1" ht="12.75" x14ac:dyDescent="0.2">
      <c r="A531" s="348">
        <f>IF(ADSI!$G$12="",ADSI!$H$16,ADSI!$H$12)</f>
        <v>6</v>
      </c>
      <c r="B531" s="348" t="str">
        <f ca="1">IF(ADSI!$G$12="",ADSI!$H$16,ADSI!$H$14)</f>
        <v/>
      </c>
      <c r="C531" s="405">
        <f t="shared" si="44"/>
        <v>780</v>
      </c>
      <c r="D531" s="348">
        <f>ADSI!$K$12</f>
        <v>2021</v>
      </c>
      <c r="E531" s="367">
        <f t="shared" ref="E531:Z531" si="74">D38</f>
        <v>2</v>
      </c>
      <c r="F531" s="367">
        <f t="shared" si="74"/>
        <v>6</v>
      </c>
      <c r="G531" s="367">
        <f t="shared" si="74"/>
        <v>65</v>
      </c>
      <c r="H531" s="367">
        <f t="shared" si="74"/>
        <v>79</v>
      </c>
      <c r="I531" s="367">
        <f t="shared" si="74"/>
        <v>81</v>
      </c>
      <c r="J531" s="367">
        <f t="shared" si="74"/>
        <v>16</v>
      </c>
      <c r="K531" s="367">
        <f t="shared" si="74"/>
        <v>249</v>
      </c>
      <c r="L531" s="367">
        <f t="shared" si="74"/>
        <v>1</v>
      </c>
      <c r="M531" s="367">
        <f t="shared" si="74"/>
        <v>4</v>
      </c>
      <c r="N531" s="367">
        <f t="shared" si="74"/>
        <v>19</v>
      </c>
      <c r="O531" s="367">
        <f t="shared" si="74"/>
        <v>21</v>
      </c>
      <c r="P531" s="367">
        <f t="shared" si="74"/>
        <v>11</v>
      </c>
      <c r="Q531" s="367">
        <f t="shared" si="74"/>
        <v>16</v>
      </c>
      <c r="R531" s="367">
        <f t="shared" si="74"/>
        <v>72</v>
      </c>
      <c r="S531" s="367">
        <f t="shared" si="74"/>
        <v>0</v>
      </c>
      <c r="T531" s="367">
        <f t="shared" si="74"/>
        <v>0</v>
      </c>
      <c r="U531" s="367">
        <f t="shared" si="74"/>
        <v>0</v>
      </c>
      <c r="V531" s="367">
        <f t="shared" si="74"/>
        <v>0</v>
      </c>
      <c r="W531" s="367">
        <f t="shared" si="74"/>
        <v>0</v>
      </c>
      <c r="X531" s="367">
        <f t="shared" si="74"/>
        <v>0</v>
      </c>
      <c r="Y531" s="367">
        <f t="shared" si="74"/>
        <v>0</v>
      </c>
      <c r="Z531" s="367">
        <f t="shared" si="74"/>
        <v>321</v>
      </c>
    </row>
    <row r="532" spans="1:26" s="365" customFormat="1" ht="12.75" x14ac:dyDescent="0.2">
      <c r="C532" s="369"/>
    </row>
  </sheetData>
  <sheetProtection password="C614" sheet="1" objects="1" scenarios="1" selectLockedCells="1"/>
  <mergeCells count="24">
    <mergeCell ref="R5:X5"/>
    <mergeCell ref="D4:X4"/>
    <mergeCell ref="A4:A6"/>
    <mergeCell ref="Y4:Y6"/>
    <mergeCell ref="D5:J5"/>
    <mergeCell ref="K5:Q5"/>
    <mergeCell ref="B4:B6"/>
    <mergeCell ref="C4:C6"/>
    <mergeCell ref="A39:C39"/>
    <mergeCell ref="A40:C40"/>
    <mergeCell ref="A41:C41"/>
    <mergeCell ref="BX203:BX205"/>
    <mergeCell ref="BJ204:BP204"/>
    <mergeCell ref="BC204:BI204"/>
    <mergeCell ref="BA203:BA205"/>
    <mergeCell ref="BB203:BB205"/>
    <mergeCell ref="BC203:BP203"/>
    <mergeCell ref="BQ203:BW203"/>
    <mergeCell ref="BQ204:BW204"/>
    <mergeCell ref="BA238:BB238"/>
    <mergeCell ref="BA239:BB239"/>
    <mergeCell ref="BA240:BB240"/>
    <mergeCell ref="BA241:BB241"/>
    <mergeCell ref="A42:C42"/>
  </mergeCells>
  <conditionalFormatting sqref="D42:Y42">
    <cfRule type="cellIs" dxfId="60" priority="7" operator="equal">
      <formula>"ABVAR"</formula>
    </cfRule>
    <cfRule type="cellIs" dxfId="59" priority="8" operator="equal">
      <formula>FALSE</formula>
    </cfRule>
  </conditionalFormatting>
  <conditionalFormatting sqref="D39:Y39">
    <cfRule type="cellIs" dxfId="58" priority="5" operator="equal">
      <formula>"ABVAR"</formula>
    </cfRule>
    <cfRule type="cellIs" dxfId="57" priority="6" operator="equal">
      <formula>FALSE</formula>
    </cfRule>
  </conditionalFormatting>
  <conditionalFormatting sqref="D40:Y40">
    <cfRule type="cellIs" dxfId="56" priority="3" operator="equal">
      <formula>"ABVAR"</formula>
    </cfRule>
    <cfRule type="cellIs" dxfId="55" priority="4" operator="equal">
      <formula>FALSE</formula>
    </cfRule>
  </conditionalFormatting>
  <conditionalFormatting sqref="D41:Y41">
    <cfRule type="cellIs" dxfId="54" priority="1" operator="equal">
      <formula>"ABVAR"</formula>
    </cfRule>
    <cfRule type="cellIs" dxfId="53" priority="2" operator="equal">
      <formula>FALSE</formula>
    </cfRule>
  </conditionalFormatting>
  <dataValidations count="1">
    <dataValidation type="whole" allowBlank="1" showInputMessage="1" showErrorMessage="1" sqref="D8:I8 R19:W37 D19:I37 K8:P8 K10:P17 K19:P37 R8:W8 R10:W17 D10:I17">
      <formula1>0</formula1>
      <formula2>999999999</formula2>
    </dataValidation>
  </dataValidations>
  <pageMargins left="0.39370078740157483" right="0" top="0.74803149606299213" bottom="0.74803149606299213" header="0.31496062992125984" footer="0.19685039370078741"/>
  <pageSetup paperSize="5" orientation="landscape" r:id="rId1"/>
  <headerFooter>
    <oddFooter>&amp;L&amp;9ADSI - &amp;A&amp;C&amp;9&amp;D &amp;T&amp;R&amp;9Page &amp;P of &amp;N</oddFooter>
  </headerFooter>
  <rowBreaks count="1" manualBreakCount="1">
    <brk id="228" min="52" max="75" man="1"/>
  </rowBreak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B533"/>
  <sheetViews>
    <sheetView showGridLines="0" workbookViewId="0">
      <pane xSplit="4" ySplit="8" topLeftCell="E9" activePane="bottomRight" state="frozen"/>
      <selection activeCell="D9" sqref="D9"/>
      <selection pane="topRight" activeCell="D9" sqref="D9"/>
      <selection pane="bottomLeft" activeCell="D9" sqref="D9"/>
      <selection pane="bottomRight" activeCell="L9" sqref="L9"/>
    </sheetView>
  </sheetViews>
  <sheetFormatPr defaultRowHeight="15" x14ac:dyDescent="0.25"/>
  <cols>
    <col min="1" max="2" width="6.7109375" style="7" customWidth="1"/>
    <col min="3" max="3" width="6.85546875" style="7" customWidth="1"/>
    <col min="4" max="4" width="31.5703125" style="7" bestFit="1" customWidth="1"/>
    <col min="5" max="10" width="12.7109375" style="7" customWidth="1"/>
    <col min="11" max="11" width="15.7109375" style="7" customWidth="1"/>
    <col min="12" max="17" width="12.7109375" style="7" customWidth="1"/>
    <col min="18" max="18" width="15.7109375" style="7" customWidth="1"/>
    <col min="19" max="24" width="12.7109375" style="7" customWidth="1"/>
    <col min="25" max="26" width="15.7109375" style="7" customWidth="1"/>
    <col min="27" max="27" width="8.7109375" style="7" customWidth="1"/>
    <col min="28" max="52" width="9.140625" style="7"/>
    <col min="53" max="53" width="3.5703125" style="7" customWidth="1"/>
    <col min="54" max="54" width="5" style="7" customWidth="1"/>
    <col min="55" max="55" width="15.7109375" style="7" customWidth="1"/>
    <col min="56" max="56" width="6.5703125" style="7" customWidth="1"/>
    <col min="57" max="60" width="6.7109375" style="7" customWidth="1"/>
    <col min="61" max="61" width="6.42578125" style="7" customWidth="1"/>
    <col min="62" max="69" width="6.7109375" style="7" customWidth="1"/>
    <col min="70" max="70" width="6.42578125" style="7" customWidth="1"/>
    <col min="71" max="74" width="6.7109375" style="7" customWidth="1"/>
    <col min="75" max="75" width="6.140625" style="7" customWidth="1"/>
    <col min="76" max="77" width="6.7109375" style="7" customWidth="1"/>
    <col min="78" max="16384" width="9.140625" style="7"/>
  </cols>
  <sheetData>
    <row r="1" spans="1:27" ht="15.75" x14ac:dyDescent="0.25">
      <c r="A1" s="285" t="str">
        <f>ADSI!$B$1</f>
        <v>Goa, , ADSI-2021</v>
      </c>
      <c r="G1" s="271" t="s">
        <v>1655</v>
      </c>
    </row>
    <row r="2" spans="1:27" ht="15.75" x14ac:dyDescent="0.25">
      <c r="A2" s="286" t="s">
        <v>657</v>
      </c>
      <c r="C2" s="291">
        <f>COUNTIF(E35:Z35,FALSE)</f>
        <v>0</v>
      </c>
      <c r="E2" s="465" t="s">
        <v>1570</v>
      </c>
      <c r="F2" s="464">
        <f>COUNTIF(E36:Z38,"ABVAR")</f>
        <v>8</v>
      </c>
      <c r="G2" s="271" t="s">
        <v>1541</v>
      </c>
    </row>
    <row r="3" spans="1:27" s="61" customFormat="1" ht="12.95" customHeight="1" x14ac:dyDescent="0.25">
      <c r="A3" s="296" t="s">
        <v>126</v>
      </c>
      <c r="G3" s="271"/>
      <c r="Y3" s="129"/>
    </row>
    <row r="4" spans="1:27" ht="12.95" customHeight="1" x14ac:dyDescent="0.25">
      <c r="A4" s="296" t="s">
        <v>107</v>
      </c>
      <c r="C4" s="61"/>
      <c r="D4" s="61"/>
      <c r="E4" s="61"/>
      <c r="F4" s="61"/>
      <c r="G4" s="61"/>
      <c r="H4" s="61"/>
      <c r="I4" s="61"/>
      <c r="J4" s="61"/>
      <c r="K4" s="61"/>
      <c r="L4" s="71"/>
      <c r="O4" s="61"/>
      <c r="P4" s="61"/>
      <c r="Q4" s="61"/>
      <c r="R4" s="61"/>
      <c r="S4" s="61"/>
      <c r="T4" s="61"/>
      <c r="U4" s="61"/>
      <c r="V4" s="61"/>
      <c r="W4" s="61"/>
      <c r="X4" s="61"/>
      <c r="Y4" s="61"/>
      <c r="Z4" s="61"/>
    </row>
    <row r="5" spans="1:27" ht="20.100000000000001" customHeight="1" x14ac:dyDescent="0.25">
      <c r="A5" s="646" t="s">
        <v>249</v>
      </c>
      <c r="B5" s="646" t="s">
        <v>0</v>
      </c>
      <c r="C5" s="698" t="s">
        <v>114</v>
      </c>
      <c r="D5" s="698"/>
      <c r="E5" s="641" t="s">
        <v>139</v>
      </c>
      <c r="F5" s="642"/>
      <c r="G5" s="642"/>
      <c r="H5" s="642"/>
      <c r="I5" s="642"/>
      <c r="J5" s="642"/>
      <c r="K5" s="642"/>
      <c r="L5" s="642"/>
      <c r="M5" s="642"/>
      <c r="N5" s="642"/>
      <c r="O5" s="642"/>
      <c r="P5" s="642"/>
      <c r="Q5" s="642"/>
      <c r="R5" s="642"/>
      <c r="S5" s="642"/>
      <c r="T5" s="642"/>
      <c r="U5" s="642"/>
      <c r="V5" s="642"/>
      <c r="W5" s="642"/>
      <c r="X5" s="642"/>
      <c r="Y5" s="643"/>
      <c r="Z5" s="698" t="s">
        <v>279</v>
      </c>
    </row>
    <row r="6" spans="1:27" ht="20.100000000000001" customHeight="1" x14ac:dyDescent="0.25">
      <c r="A6" s="646"/>
      <c r="B6" s="646"/>
      <c r="C6" s="698"/>
      <c r="D6" s="698"/>
      <c r="E6" s="646" t="s">
        <v>38</v>
      </c>
      <c r="F6" s="646"/>
      <c r="G6" s="646"/>
      <c r="H6" s="646"/>
      <c r="I6" s="646"/>
      <c r="J6" s="646"/>
      <c r="K6" s="646"/>
      <c r="L6" s="698" t="s">
        <v>39</v>
      </c>
      <c r="M6" s="698"/>
      <c r="N6" s="698"/>
      <c r="O6" s="698"/>
      <c r="P6" s="698"/>
      <c r="Q6" s="698"/>
      <c r="R6" s="698"/>
      <c r="S6" s="641" t="s">
        <v>240</v>
      </c>
      <c r="T6" s="642"/>
      <c r="U6" s="642"/>
      <c r="V6" s="642"/>
      <c r="W6" s="642"/>
      <c r="X6" s="642"/>
      <c r="Y6" s="643"/>
      <c r="Z6" s="698"/>
    </row>
    <row r="7" spans="1:27" ht="45" x14ac:dyDescent="0.25">
      <c r="A7" s="646"/>
      <c r="B7" s="646"/>
      <c r="C7" s="698"/>
      <c r="D7" s="698"/>
      <c r="E7" s="68" t="s">
        <v>169</v>
      </c>
      <c r="F7" s="68" t="s">
        <v>31</v>
      </c>
      <c r="G7" s="68" t="s">
        <v>171</v>
      </c>
      <c r="H7" s="68" t="s">
        <v>15</v>
      </c>
      <c r="I7" s="68" t="s">
        <v>178</v>
      </c>
      <c r="J7" s="68" t="s">
        <v>16</v>
      </c>
      <c r="K7" s="68" t="s">
        <v>280</v>
      </c>
      <c r="L7" s="225" t="s">
        <v>169</v>
      </c>
      <c r="M7" s="225" t="s">
        <v>31</v>
      </c>
      <c r="N7" s="225" t="s">
        <v>171</v>
      </c>
      <c r="O7" s="225" t="s">
        <v>15</v>
      </c>
      <c r="P7" s="225" t="s">
        <v>178</v>
      </c>
      <c r="Q7" s="225" t="s">
        <v>16</v>
      </c>
      <c r="R7" s="225" t="s">
        <v>199</v>
      </c>
      <c r="S7" s="68" t="s">
        <v>169</v>
      </c>
      <c r="T7" s="68" t="s">
        <v>31</v>
      </c>
      <c r="U7" s="68" t="s">
        <v>171</v>
      </c>
      <c r="V7" s="68" t="s">
        <v>15</v>
      </c>
      <c r="W7" s="68" t="s">
        <v>178</v>
      </c>
      <c r="X7" s="68" t="s">
        <v>16</v>
      </c>
      <c r="Y7" s="68" t="s">
        <v>199</v>
      </c>
      <c r="Z7" s="698"/>
    </row>
    <row r="8" spans="1:27" ht="20.100000000000001" customHeight="1" x14ac:dyDescent="0.25">
      <c r="A8" s="9"/>
      <c r="B8" s="9" t="s">
        <v>181</v>
      </c>
      <c r="C8" s="639" t="s">
        <v>182</v>
      </c>
      <c r="D8" s="640"/>
      <c r="E8" s="8" t="s">
        <v>183</v>
      </c>
      <c r="F8" s="9" t="s">
        <v>184</v>
      </c>
      <c r="G8" s="9" t="s">
        <v>185</v>
      </c>
      <c r="H8" s="9" t="s">
        <v>186</v>
      </c>
      <c r="I8" s="8" t="s">
        <v>187</v>
      </c>
      <c r="J8" s="8" t="s">
        <v>188</v>
      </c>
      <c r="K8" s="8" t="s">
        <v>189</v>
      </c>
      <c r="L8" s="219" t="s">
        <v>190</v>
      </c>
      <c r="M8" s="219" t="s">
        <v>191</v>
      </c>
      <c r="N8" s="219" t="s">
        <v>192</v>
      </c>
      <c r="O8" s="219" t="s">
        <v>193</v>
      </c>
      <c r="P8" s="219" t="s">
        <v>194</v>
      </c>
      <c r="Q8" s="219" t="s">
        <v>195</v>
      </c>
      <c r="R8" s="219" t="s">
        <v>196</v>
      </c>
      <c r="S8" s="8" t="s">
        <v>197</v>
      </c>
      <c r="T8" s="8" t="s">
        <v>204</v>
      </c>
      <c r="U8" s="8" t="s">
        <v>205</v>
      </c>
      <c r="V8" s="8" t="s">
        <v>206</v>
      </c>
      <c r="W8" s="8" t="s">
        <v>207</v>
      </c>
      <c r="X8" s="8" t="s">
        <v>208</v>
      </c>
      <c r="Y8" s="8" t="s">
        <v>209</v>
      </c>
      <c r="Z8" s="219" t="s">
        <v>210</v>
      </c>
    </row>
    <row r="9" spans="1:27" ht="20.100000000000001" customHeight="1" x14ac:dyDescent="0.25">
      <c r="A9" s="54">
        <v>800</v>
      </c>
      <c r="B9" s="262">
        <v>1</v>
      </c>
      <c r="C9" s="739" t="s">
        <v>278</v>
      </c>
      <c r="D9" s="739"/>
      <c r="E9" s="406">
        <v>0</v>
      </c>
      <c r="F9" s="406">
        <v>0</v>
      </c>
      <c r="G9" s="406">
        <v>0</v>
      </c>
      <c r="H9" s="406">
        <v>0</v>
      </c>
      <c r="I9" s="406">
        <v>0</v>
      </c>
      <c r="J9" s="406">
        <v>0</v>
      </c>
      <c r="K9" s="458">
        <f>SUM(E9:J9)</f>
        <v>0</v>
      </c>
      <c r="L9" s="234">
        <v>0</v>
      </c>
      <c r="M9" s="234">
        <v>1</v>
      </c>
      <c r="N9" s="234">
        <v>9</v>
      </c>
      <c r="O9" s="234">
        <v>17</v>
      </c>
      <c r="P9" s="234">
        <v>10</v>
      </c>
      <c r="Q9" s="234">
        <v>15</v>
      </c>
      <c r="R9" s="458">
        <f>SUM(L9:Q9)</f>
        <v>52</v>
      </c>
      <c r="S9" s="251">
        <v>0</v>
      </c>
      <c r="T9" s="251">
        <v>0</v>
      </c>
      <c r="U9" s="251">
        <v>0</v>
      </c>
      <c r="V9" s="251">
        <v>0</v>
      </c>
      <c r="W9" s="251">
        <v>0</v>
      </c>
      <c r="X9" s="251">
        <v>0</v>
      </c>
      <c r="Y9" s="458">
        <f>SUM(S9:X9)</f>
        <v>0</v>
      </c>
      <c r="Z9" s="458">
        <f>SUM(K9+R9+Y9)</f>
        <v>52</v>
      </c>
      <c r="AA9" s="331"/>
    </row>
    <row r="10" spans="1:27" ht="30" customHeight="1" x14ac:dyDescent="0.25">
      <c r="A10" s="72">
        <v>801</v>
      </c>
      <c r="B10" s="118">
        <v>2</v>
      </c>
      <c r="C10" s="737" t="s">
        <v>1617</v>
      </c>
      <c r="D10" s="738"/>
      <c r="E10" s="457">
        <f>SUM(E11,E15:E16)</f>
        <v>0</v>
      </c>
      <c r="F10" s="457">
        <f t="shared" ref="F10:J10" si="0">SUM(F11,F15:F16)</f>
        <v>0</v>
      </c>
      <c r="G10" s="457">
        <f t="shared" si="0"/>
        <v>26</v>
      </c>
      <c r="H10" s="457">
        <f t="shared" si="0"/>
        <v>33</v>
      </c>
      <c r="I10" s="457">
        <f t="shared" si="0"/>
        <v>26</v>
      </c>
      <c r="J10" s="457">
        <f t="shared" si="0"/>
        <v>2</v>
      </c>
      <c r="K10" s="458">
        <f t="shared" ref="K10:K33" si="1">SUM(E10:J10)</f>
        <v>87</v>
      </c>
      <c r="L10" s="457">
        <f t="shared" ref="L10:Q10" si="2">SUM(L11,L15:L16)</f>
        <v>0</v>
      </c>
      <c r="M10" s="457">
        <f t="shared" si="2"/>
        <v>0</v>
      </c>
      <c r="N10" s="457">
        <f t="shared" si="2"/>
        <v>3</v>
      </c>
      <c r="O10" s="457">
        <f t="shared" si="2"/>
        <v>2</v>
      </c>
      <c r="P10" s="457">
        <f t="shared" si="2"/>
        <v>0</v>
      </c>
      <c r="Q10" s="457">
        <f t="shared" si="2"/>
        <v>0</v>
      </c>
      <c r="R10" s="458">
        <f t="shared" ref="R10:R33" si="3">SUM(L10:Q10)</f>
        <v>5</v>
      </c>
      <c r="S10" s="457">
        <f t="shared" ref="S10:X10" si="4">SUM(S11,S15:S16)</f>
        <v>0</v>
      </c>
      <c r="T10" s="457">
        <f t="shared" si="4"/>
        <v>0</v>
      </c>
      <c r="U10" s="457">
        <f t="shared" si="4"/>
        <v>0</v>
      </c>
      <c r="V10" s="457">
        <f t="shared" si="4"/>
        <v>0</v>
      </c>
      <c r="W10" s="457">
        <f t="shared" si="4"/>
        <v>0</v>
      </c>
      <c r="X10" s="457">
        <f t="shared" si="4"/>
        <v>0</v>
      </c>
      <c r="Y10" s="458">
        <f t="shared" ref="Y10:Y33" si="5">SUM(S10:X10)</f>
        <v>0</v>
      </c>
      <c r="Z10" s="458">
        <f t="shared" ref="Z10:Z33" si="6">SUM(K10+R10+Y10)</f>
        <v>92</v>
      </c>
      <c r="AA10" s="331"/>
    </row>
    <row r="11" spans="1:27" ht="30" x14ac:dyDescent="0.25">
      <c r="A11" s="262">
        <v>802</v>
      </c>
      <c r="B11" s="118"/>
      <c r="C11" s="740" t="s">
        <v>1518</v>
      </c>
      <c r="D11" s="434" t="s">
        <v>1519</v>
      </c>
      <c r="E11" s="460">
        <f>SUM(E12:E14)</f>
        <v>0</v>
      </c>
      <c r="F11" s="460">
        <f t="shared" ref="F11:J11" si="7">SUM(F12:F14)</f>
        <v>0</v>
      </c>
      <c r="G11" s="460">
        <f t="shared" si="7"/>
        <v>1</v>
      </c>
      <c r="H11" s="460">
        <f t="shared" si="7"/>
        <v>6</v>
      </c>
      <c r="I11" s="460">
        <f t="shared" si="7"/>
        <v>5</v>
      </c>
      <c r="J11" s="460">
        <f t="shared" si="7"/>
        <v>0</v>
      </c>
      <c r="K11" s="458">
        <f t="shared" si="1"/>
        <v>12</v>
      </c>
      <c r="L11" s="460">
        <f t="shared" ref="L11:Q11" si="8">SUM(L12:L14)</f>
        <v>0</v>
      </c>
      <c r="M11" s="460">
        <f t="shared" si="8"/>
        <v>0</v>
      </c>
      <c r="N11" s="460">
        <f t="shared" si="8"/>
        <v>0</v>
      </c>
      <c r="O11" s="460">
        <f t="shared" si="8"/>
        <v>1</v>
      </c>
      <c r="P11" s="460">
        <f t="shared" si="8"/>
        <v>0</v>
      </c>
      <c r="Q11" s="460">
        <f t="shared" si="8"/>
        <v>0</v>
      </c>
      <c r="R11" s="458">
        <f t="shared" si="3"/>
        <v>1</v>
      </c>
      <c r="S11" s="460">
        <f t="shared" ref="S11:X11" si="9">SUM(S12:S14)</f>
        <v>0</v>
      </c>
      <c r="T11" s="460">
        <f t="shared" si="9"/>
        <v>0</v>
      </c>
      <c r="U11" s="460">
        <f t="shared" si="9"/>
        <v>0</v>
      </c>
      <c r="V11" s="460">
        <f t="shared" si="9"/>
        <v>0</v>
      </c>
      <c r="W11" s="460">
        <f t="shared" si="9"/>
        <v>0</v>
      </c>
      <c r="X11" s="460">
        <f t="shared" si="9"/>
        <v>0</v>
      </c>
      <c r="Y11" s="458">
        <f t="shared" si="5"/>
        <v>0</v>
      </c>
      <c r="Z11" s="458">
        <f t="shared" si="6"/>
        <v>13</v>
      </c>
      <c r="AA11" s="331"/>
    </row>
    <row r="12" spans="1:27" ht="20.100000000000001" customHeight="1" x14ac:dyDescent="0.25">
      <c r="A12" s="72">
        <v>803</v>
      </c>
      <c r="B12" s="118"/>
      <c r="C12" s="741"/>
      <c r="D12" s="181" t="s">
        <v>1520</v>
      </c>
      <c r="E12" s="235">
        <v>0</v>
      </c>
      <c r="F12" s="235">
        <v>0</v>
      </c>
      <c r="G12" s="235">
        <v>0</v>
      </c>
      <c r="H12" s="235">
        <v>0</v>
      </c>
      <c r="I12" s="235">
        <v>0</v>
      </c>
      <c r="J12" s="235">
        <v>0</v>
      </c>
      <c r="K12" s="458">
        <f t="shared" si="1"/>
        <v>0</v>
      </c>
      <c r="L12" s="235">
        <v>0</v>
      </c>
      <c r="M12" s="235">
        <v>0</v>
      </c>
      <c r="N12" s="235">
        <v>0</v>
      </c>
      <c r="O12" s="235">
        <v>0</v>
      </c>
      <c r="P12" s="235">
        <v>0</v>
      </c>
      <c r="Q12" s="235">
        <v>0</v>
      </c>
      <c r="R12" s="458">
        <f t="shared" si="3"/>
        <v>0</v>
      </c>
      <c r="S12" s="235">
        <v>0</v>
      </c>
      <c r="T12" s="235">
        <v>0</v>
      </c>
      <c r="U12" s="235">
        <v>0</v>
      </c>
      <c r="V12" s="235">
        <v>0</v>
      </c>
      <c r="W12" s="235">
        <v>0</v>
      </c>
      <c r="X12" s="235">
        <v>0</v>
      </c>
      <c r="Y12" s="458">
        <f t="shared" si="5"/>
        <v>0</v>
      </c>
      <c r="Z12" s="458">
        <f t="shared" si="6"/>
        <v>0</v>
      </c>
      <c r="AA12" s="331"/>
    </row>
    <row r="13" spans="1:27" ht="20.100000000000001" customHeight="1" x14ac:dyDescent="0.25">
      <c r="A13" s="262">
        <v>804</v>
      </c>
      <c r="B13" s="118"/>
      <c r="C13" s="741"/>
      <c r="D13" s="181" t="s">
        <v>1521</v>
      </c>
      <c r="E13" s="234">
        <v>0</v>
      </c>
      <c r="F13" s="234">
        <v>0</v>
      </c>
      <c r="G13" s="234">
        <v>0</v>
      </c>
      <c r="H13" s="234">
        <v>5</v>
      </c>
      <c r="I13" s="234">
        <v>2</v>
      </c>
      <c r="J13" s="234">
        <v>0</v>
      </c>
      <c r="K13" s="458">
        <f t="shared" si="1"/>
        <v>7</v>
      </c>
      <c r="L13" s="234">
        <v>0</v>
      </c>
      <c r="M13" s="234">
        <v>0</v>
      </c>
      <c r="N13" s="234">
        <v>0</v>
      </c>
      <c r="O13" s="234">
        <v>1</v>
      </c>
      <c r="P13" s="234">
        <v>0</v>
      </c>
      <c r="Q13" s="234">
        <v>0</v>
      </c>
      <c r="R13" s="458">
        <f t="shared" si="3"/>
        <v>1</v>
      </c>
      <c r="S13" s="234">
        <v>0</v>
      </c>
      <c r="T13" s="234">
        <v>0</v>
      </c>
      <c r="U13" s="234">
        <v>0</v>
      </c>
      <c r="V13" s="234">
        <v>0</v>
      </c>
      <c r="W13" s="234">
        <v>0</v>
      </c>
      <c r="X13" s="234">
        <v>0</v>
      </c>
      <c r="Y13" s="458">
        <f t="shared" si="5"/>
        <v>0</v>
      </c>
      <c r="Z13" s="458">
        <f t="shared" si="6"/>
        <v>8</v>
      </c>
      <c r="AA13" s="331"/>
    </row>
    <row r="14" spans="1:27" ht="20.100000000000001" customHeight="1" x14ac:dyDescent="0.25">
      <c r="A14" s="72">
        <v>805</v>
      </c>
      <c r="B14" s="118"/>
      <c r="C14" s="742"/>
      <c r="D14" s="181" t="s">
        <v>1522</v>
      </c>
      <c r="E14" s="234">
        <v>0</v>
      </c>
      <c r="F14" s="234">
        <v>0</v>
      </c>
      <c r="G14" s="234">
        <v>1</v>
      </c>
      <c r="H14" s="234">
        <v>1</v>
      </c>
      <c r="I14" s="234">
        <v>3</v>
      </c>
      <c r="J14" s="234">
        <v>0</v>
      </c>
      <c r="K14" s="458">
        <f t="shared" si="1"/>
        <v>5</v>
      </c>
      <c r="L14" s="234">
        <v>0</v>
      </c>
      <c r="M14" s="234">
        <v>0</v>
      </c>
      <c r="N14" s="234">
        <v>0</v>
      </c>
      <c r="O14" s="234">
        <v>0</v>
      </c>
      <c r="P14" s="234">
        <v>0</v>
      </c>
      <c r="Q14" s="234">
        <v>0</v>
      </c>
      <c r="R14" s="458">
        <f t="shared" si="3"/>
        <v>0</v>
      </c>
      <c r="S14" s="234">
        <v>0</v>
      </c>
      <c r="T14" s="234">
        <v>0</v>
      </c>
      <c r="U14" s="234">
        <v>0</v>
      </c>
      <c r="V14" s="234">
        <v>0</v>
      </c>
      <c r="W14" s="234">
        <v>0</v>
      </c>
      <c r="X14" s="234">
        <v>0</v>
      </c>
      <c r="Y14" s="458">
        <f t="shared" si="5"/>
        <v>0</v>
      </c>
      <c r="Z14" s="458">
        <f t="shared" si="6"/>
        <v>5</v>
      </c>
      <c r="AA14" s="331"/>
    </row>
    <row r="15" spans="1:27" ht="20.100000000000001" customHeight="1" x14ac:dyDescent="0.25">
      <c r="A15" s="262">
        <v>806</v>
      </c>
      <c r="B15" s="118"/>
      <c r="C15" s="733" t="s">
        <v>1523</v>
      </c>
      <c r="D15" s="734"/>
      <c r="E15" s="234">
        <v>0</v>
      </c>
      <c r="F15" s="234">
        <v>0</v>
      </c>
      <c r="G15" s="234">
        <v>24</v>
      </c>
      <c r="H15" s="234">
        <v>25</v>
      </c>
      <c r="I15" s="234">
        <v>20</v>
      </c>
      <c r="J15" s="234">
        <v>1</v>
      </c>
      <c r="K15" s="458">
        <f t="shared" si="1"/>
        <v>70</v>
      </c>
      <c r="L15" s="234">
        <v>0</v>
      </c>
      <c r="M15" s="234">
        <v>0</v>
      </c>
      <c r="N15" s="234">
        <v>3</v>
      </c>
      <c r="O15" s="234">
        <v>1</v>
      </c>
      <c r="P15" s="234">
        <v>0</v>
      </c>
      <c r="Q15" s="234">
        <v>0</v>
      </c>
      <c r="R15" s="458">
        <f t="shared" si="3"/>
        <v>4</v>
      </c>
      <c r="S15" s="234">
        <v>0</v>
      </c>
      <c r="T15" s="234">
        <v>0</v>
      </c>
      <c r="U15" s="234">
        <v>0</v>
      </c>
      <c r="V15" s="234">
        <v>0</v>
      </c>
      <c r="W15" s="234">
        <v>0</v>
      </c>
      <c r="X15" s="234">
        <v>0</v>
      </c>
      <c r="Y15" s="458">
        <f t="shared" si="5"/>
        <v>0</v>
      </c>
      <c r="Z15" s="458">
        <f t="shared" si="6"/>
        <v>74</v>
      </c>
      <c r="AA15" s="331"/>
    </row>
    <row r="16" spans="1:27" ht="20.100000000000001" customHeight="1" x14ac:dyDescent="0.25">
      <c r="A16" s="72">
        <v>807</v>
      </c>
      <c r="B16" s="118"/>
      <c r="C16" s="733" t="s">
        <v>1524</v>
      </c>
      <c r="D16" s="734"/>
      <c r="E16" s="235">
        <v>0</v>
      </c>
      <c r="F16" s="235">
        <v>0</v>
      </c>
      <c r="G16" s="235">
        <v>1</v>
      </c>
      <c r="H16" s="235">
        <v>2</v>
      </c>
      <c r="I16" s="235">
        <v>1</v>
      </c>
      <c r="J16" s="235">
        <v>1</v>
      </c>
      <c r="K16" s="458">
        <f t="shared" si="1"/>
        <v>5</v>
      </c>
      <c r="L16" s="235">
        <v>0</v>
      </c>
      <c r="M16" s="235">
        <v>0</v>
      </c>
      <c r="N16" s="235">
        <v>0</v>
      </c>
      <c r="O16" s="235">
        <v>0</v>
      </c>
      <c r="P16" s="235">
        <v>0</v>
      </c>
      <c r="Q16" s="235">
        <v>0</v>
      </c>
      <c r="R16" s="458">
        <f t="shared" si="3"/>
        <v>0</v>
      </c>
      <c r="S16" s="235">
        <v>0</v>
      </c>
      <c r="T16" s="235">
        <v>0</v>
      </c>
      <c r="U16" s="235">
        <v>0</v>
      </c>
      <c r="V16" s="235">
        <v>0</v>
      </c>
      <c r="W16" s="235">
        <v>0</v>
      </c>
      <c r="X16" s="235">
        <v>0</v>
      </c>
      <c r="Y16" s="458">
        <f t="shared" si="5"/>
        <v>0</v>
      </c>
      <c r="Z16" s="458">
        <f t="shared" si="6"/>
        <v>5</v>
      </c>
      <c r="AA16" s="331"/>
    </row>
    <row r="17" spans="1:27" ht="20.100000000000001" customHeight="1" x14ac:dyDescent="0.25">
      <c r="A17" s="262">
        <v>808</v>
      </c>
      <c r="B17" s="118">
        <v>3</v>
      </c>
      <c r="C17" s="735" t="s">
        <v>108</v>
      </c>
      <c r="D17" s="736"/>
      <c r="E17" s="234">
        <v>2</v>
      </c>
      <c r="F17" s="234">
        <v>6</v>
      </c>
      <c r="G17" s="234">
        <v>8</v>
      </c>
      <c r="H17" s="234">
        <v>0</v>
      </c>
      <c r="I17" s="234">
        <v>0</v>
      </c>
      <c r="J17" s="234">
        <v>0</v>
      </c>
      <c r="K17" s="458">
        <f t="shared" si="1"/>
        <v>16</v>
      </c>
      <c r="L17" s="234">
        <v>1</v>
      </c>
      <c r="M17" s="234">
        <v>3</v>
      </c>
      <c r="N17" s="234">
        <v>6</v>
      </c>
      <c r="O17" s="234">
        <v>1</v>
      </c>
      <c r="P17" s="234">
        <v>0</v>
      </c>
      <c r="Q17" s="234">
        <v>0</v>
      </c>
      <c r="R17" s="458">
        <f t="shared" si="3"/>
        <v>11</v>
      </c>
      <c r="S17" s="234">
        <v>0</v>
      </c>
      <c r="T17" s="234">
        <v>0</v>
      </c>
      <c r="U17" s="234">
        <v>0</v>
      </c>
      <c r="V17" s="234">
        <v>0</v>
      </c>
      <c r="W17" s="234">
        <v>0</v>
      </c>
      <c r="X17" s="234">
        <v>0</v>
      </c>
      <c r="Y17" s="458">
        <f t="shared" si="5"/>
        <v>0</v>
      </c>
      <c r="Z17" s="458">
        <f t="shared" si="6"/>
        <v>27</v>
      </c>
      <c r="AA17" s="331"/>
    </row>
    <row r="18" spans="1:27" ht="20.100000000000001" customHeight="1" x14ac:dyDescent="0.25">
      <c r="A18" s="72">
        <v>809</v>
      </c>
      <c r="B18" s="118">
        <v>4</v>
      </c>
      <c r="C18" s="735" t="s">
        <v>109</v>
      </c>
      <c r="D18" s="736"/>
      <c r="E18" s="234">
        <v>0</v>
      </c>
      <c r="F18" s="234">
        <v>0</v>
      </c>
      <c r="G18" s="234">
        <v>18</v>
      </c>
      <c r="H18" s="234">
        <v>28</v>
      </c>
      <c r="I18" s="234">
        <v>26</v>
      </c>
      <c r="J18" s="234">
        <v>9</v>
      </c>
      <c r="K18" s="458">
        <f t="shared" si="1"/>
        <v>81</v>
      </c>
      <c r="L18" s="234">
        <v>0</v>
      </c>
      <c r="M18" s="234">
        <v>0</v>
      </c>
      <c r="N18" s="234">
        <v>1</v>
      </c>
      <c r="O18" s="234">
        <v>1</v>
      </c>
      <c r="P18" s="234">
        <v>0</v>
      </c>
      <c r="Q18" s="234">
        <v>1</v>
      </c>
      <c r="R18" s="458">
        <f t="shared" si="3"/>
        <v>3</v>
      </c>
      <c r="S18" s="234">
        <v>0</v>
      </c>
      <c r="T18" s="234">
        <v>0</v>
      </c>
      <c r="U18" s="234">
        <v>0</v>
      </c>
      <c r="V18" s="234">
        <v>0</v>
      </c>
      <c r="W18" s="234">
        <v>0</v>
      </c>
      <c r="X18" s="234">
        <v>0</v>
      </c>
      <c r="Y18" s="458">
        <f t="shared" si="5"/>
        <v>0</v>
      </c>
      <c r="Z18" s="458">
        <f t="shared" si="6"/>
        <v>84</v>
      </c>
      <c r="AA18" s="331"/>
    </row>
    <row r="19" spans="1:27" ht="30" customHeight="1" x14ac:dyDescent="0.25">
      <c r="A19" s="262">
        <v>810</v>
      </c>
      <c r="B19" s="118">
        <v>5</v>
      </c>
      <c r="C19" s="737" t="s">
        <v>1615</v>
      </c>
      <c r="D19" s="738"/>
      <c r="E19" s="457">
        <f>SUM(E20,E24)</f>
        <v>0</v>
      </c>
      <c r="F19" s="457">
        <f t="shared" ref="F19:J19" si="10">SUM(F20,F24)</f>
        <v>0</v>
      </c>
      <c r="G19" s="457">
        <f t="shared" si="10"/>
        <v>6</v>
      </c>
      <c r="H19" s="457">
        <f t="shared" si="10"/>
        <v>0</v>
      </c>
      <c r="I19" s="457">
        <f t="shared" si="10"/>
        <v>15</v>
      </c>
      <c r="J19" s="457">
        <f t="shared" si="10"/>
        <v>0</v>
      </c>
      <c r="K19" s="458">
        <f t="shared" si="1"/>
        <v>21</v>
      </c>
      <c r="L19" s="457">
        <f>SUM(L20,L24)</f>
        <v>0</v>
      </c>
      <c r="M19" s="457">
        <f t="shared" ref="M19" si="11">SUM(M20,M24)</f>
        <v>0</v>
      </c>
      <c r="N19" s="457">
        <f t="shared" ref="N19" si="12">SUM(N20,N24)</f>
        <v>0</v>
      </c>
      <c r="O19" s="457">
        <f t="shared" ref="O19" si="13">SUM(O20,O24)</f>
        <v>0</v>
      </c>
      <c r="P19" s="457">
        <f t="shared" ref="P19" si="14">SUM(P20,P24)</f>
        <v>1</v>
      </c>
      <c r="Q19" s="457">
        <f t="shared" ref="Q19" si="15">SUM(Q20,Q24)</f>
        <v>0</v>
      </c>
      <c r="R19" s="458">
        <f t="shared" si="3"/>
        <v>1</v>
      </c>
      <c r="S19" s="457">
        <f>SUM(S20,S24)</f>
        <v>0</v>
      </c>
      <c r="T19" s="457">
        <f t="shared" ref="T19" si="16">SUM(T20,T24)</f>
        <v>0</v>
      </c>
      <c r="U19" s="457">
        <f t="shared" ref="U19" si="17">SUM(U20,U24)</f>
        <v>0</v>
      </c>
      <c r="V19" s="457">
        <f t="shared" ref="V19" si="18">SUM(V20,V24)</f>
        <v>0</v>
      </c>
      <c r="W19" s="457">
        <f t="shared" ref="W19" si="19">SUM(W20,W24)</f>
        <v>0</v>
      </c>
      <c r="X19" s="457">
        <f t="shared" ref="X19" si="20">SUM(X20,X24)</f>
        <v>0</v>
      </c>
      <c r="Y19" s="458">
        <f t="shared" si="5"/>
        <v>0</v>
      </c>
      <c r="Z19" s="458">
        <f t="shared" si="6"/>
        <v>22</v>
      </c>
      <c r="AA19" s="331"/>
    </row>
    <row r="20" spans="1:27" ht="30" customHeight="1" x14ac:dyDescent="0.25">
      <c r="A20" s="72">
        <v>811</v>
      </c>
      <c r="B20" s="118"/>
      <c r="C20" s="749" t="s">
        <v>1534</v>
      </c>
      <c r="D20" s="750"/>
      <c r="E20" s="461">
        <f>SUM(E21:E23)</f>
        <v>0</v>
      </c>
      <c r="F20" s="461">
        <f t="shared" ref="F20:Q20" si="21">SUM(F21:F23)</f>
        <v>0</v>
      </c>
      <c r="G20" s="461">
        <f t="shared" si="21"/>
        <v>2</v>
      </c>
      <c r="H20" s="461">
        <f t="shared" si="21"/>
        <v>0</v>
      </c>
      <c r="I20" s="461">
        <f t="shared" si="21"/>
        <v>10</v>
      </c>
      <c r="J20" s="461">
        <f t="shared" si="21"/>
        <v>0</v>
      </c>
      <c r="K20" s="458">
        <f t="shared" si="1"/>
        <v>12</v>
      </c>
      <c r="L20" s="461">
        <f>SUM(L21:L23)</f>
        <v>0</v>
      </c>
      <c r="M20" s="461">
        <f t="shared" si="21"/>
        <v>0</v>
      </c>
      <c r="N20" s="461">
        <f t="shared" si="21"/>
        <v>0</v>
      </c>
      <c r="O20" s="461">
        <f t="shared" si="21"/>
        <v>0</v>
      </c>
      <c r="P20" s="461">
        <f t="shared" si="21"/>
        <v>1</v>
      </c>
      <c r="Q20" s="461">
        <f t="shared" si="21"/>
        <v>0</v>
      </c>
      <c r="R20" s="458">
        <f t="shared" si="3"/>
        <v>1</v>
      </c>
      <c r="S20" s="461">
        <f>SUM(S21:S23)</f>
        <v>0</v>
      </c>
      <c r="T20" s="461">
        <f t="shared" ref="T20:X20" si="22">SUM(T21:T23)</f>
        <v>0</v>
      </c>
      <c r="U20" s="461">
        <f t="shared" si="22"/>
        <v>0</v>
      </c>
      <c r="V20" s="461">
        <f t="shared" si="22"/>
        <v>0</v>
      </c>
      <c r="W20" s="461">
        <f t="shared" si="22"/>
        <v>0</v>
      </c>
      <c r="X20" s="461">
        <f t="shared" si="22"/>
        <v>0</v>
      </c>
      <c r="Y20" s="458">
        <f t="shared" si="5"/>
        <v>0</v>
      </c>
      <c r="Z20" s="458">
        <f t="shared" si="6"/>
        <v>13</v>
      </c>
      <c r="AA20" s="331"/>
    </row>
    <row r="21" spans="1:27" ht="20.100000000000001" customHeight="1" x14ac:dyDescent="0.25">
      <c r="A21" s="262">
        <v>812</v>
      </c>
      <c r="B21" s="118"/>
      <c r="C21" s="747" t="s">
        <v>1525</v>
      </c>
      <c r="D21" s="748"/>
      <c r="E21" s="234">
        <v>0</v>
      </c>
      <c r="F21" s="234">
        <v>0</v>
      </c>
      <c r="G21" s="234">
        <v>0</v>
      </c>
      <c r="H21" s="234">
        <v>0</v>
      </c>
      <c r="I21" s="234">
        <v>3</v>
      </c>
      <c r="J21" s="234">
        <v>0</v>
      </c>
      <c r="K21" s="458">
        <f t="shared" si="1"/>
        <v>3</v>
      </c>
      <c r="L21" s="234">
        <v>0</v>
      </c>
      <c r="M21" s="234">
        <v>0</v>
      </c>
      <c r="N21" s="234">
        <v>0</v>
      </c>
      <c r="O21" s="234">
        <v>0</v>
      </c>
      <c r="P21" s="234">
        <v>1</v>
      </c>
      <c r="Q21" s="234">
        <v>0</v>
      </c>
      <c r="R21" s="458">
        <f t="shared" si="3"/>
        <v>1</v>
      </c>
      <c r="S21" s="234">
        <v>0</v>
      </c>
      <c r="T21" s="234">
        <v>0</v>
      </c>
      <c r="U21" s="234">
        <v>0</v>
      </c>
      <c r="V21" s="234">
        <v>0</v>
      </c>
      <c r="W21" s="234">
        <v>0</v>
      </c>
      <c r="X21" s="234">
        <v>0</v>
      </c>
      <c r="Y21" s="458">
        <f t="shared" si="5"/>
        <v>0</v>
      </c>
      <c r="Z21" s="458">
        <f t="shared" si="6"/>
        <v>4</v>
      </c>
      <c r="AA21" s="331"/>
    </row>
    <row r="22" spans="1:27" ht="20.100000000000001" customHeight="1" x14ac:dyDescent="0.25">
      <c r="A22" s="72">
        <v>813</v>
      </c>
      <c r="B22" s="118"/>
      <c r="C22" s="747" t="s">
        <v>1526</v>
      </c>
      <c r="D22" s="748"/>
      <c r="E22" s="234">
        <v>0</v>
      </c>
      <c r="F22" s="234">
        <v>0</v>
      </c>
      <c r="G22" s="234">
        <v>0</v>
      </c>
      <c r="H22" s="234">
        <v>0</v>
      </c>
      <c r="I22" s="234">
        <v>4</v>
      </c>
      <c r="J22" s="234">
        <v>0</v>
      </c>
      <c r="K22" s="458">
        <f t="shared" si="1"/>
        <v>4</v>
      </c>
      <c r="L22" s="234">
        <v>0</v>
      </c>
      <c r="M22" s="234">
        <v>0</v>
      </c>
      <c r="N22" s="234">
        <v>0</v>
      </c>
      <c r="O22" s="234">
        <v>0</v>
      </c>
      <c r="P22" s="234">
        <v>0</v>
      </c>
      <c r="Q22" s="234">
        <v>0</v>
      </c>
      <c r="R22" s="458">
        <f t="shared" si="3"/>
        <v>0</v>
      </c>
      <c r="S22" s="234">
        <v>0</v>
      </c>
      <c r="T22" s="234">
        <v>0</v>
      </c>
      <c r="U22" s="234">
        <v>0</v>
      </c>
      <c r="V22" s="234">
        <v>0</v>
      </c>
      <c r="W22" s="234">
        <v>0</v>
      </c>
      <c r="X22" s="234">
        <v>0</v>
      </c>
      <c r="Y22" s="458">
        <f t="shared" si="5"/>
        <v>0</v>
      </c>
      <c r="Z22" s="458">
        <f t="shared" si="6"/>
        <v>4</v>
      </c>
      <c r="AA22" s="331"/>
    </row>
    <row r="23" spans="1:27" ht="20.100000000000001" customHeight="1" x14ac:dyDescent="0.25">
      <c r="A23" s="262">
        <v>814</v>
      </c>
      <c r="B23" s="118"/>
      <c r="C23" s="747" t="s">
        <v>1543</v>
      </c>
      <c r="D23" s="748"/>
      <c r="E23" s="234">
        <v>0</v>
      </c>
      <c r="F23" s="234">
        <v>0</v>
      </c>
      <c r="G23" s="234">
        <v>2</v>
      </c>
      <c r="H23" s="234">
        <v>0</v>
      </c>
      <c r="I23" s="234">
        <v>3</v>
      </c>
      <c r="J23" s="234">
        <v>0</v>
      </c>
      <c r="K23" s="458">
        <f t="shared" si="1"/>
        <v>5</v>
      </c>
      <c r="L23" s="234">
        <v>0</v>
      </c>
      <c r="M23" s="234">
        <v>0</v>
      </c>
      <c r="N23" s="234">
        <v>0</v>
      </c>
      <c r="O23" s="234">
        <v>0</v>
      </c>
      <c r="P23" s="234">
        <v>0</v>
      </c>
      <c r="Q23" s="234">
        <v>0</v>
      </c>
      <c r="R23" s="458">
        <f t="shared" si="3"/>
        <v>0</v>
      </c>
      <c r="S23" s="234">
        <v>0</v>
      </c>
      <c r="T23" s="234">
        <v>0</v>
      </c>
      <c r="U23" s="234">
        <v>0</v>
      </c>
      <c r="V23" s="234">
        <v>0</v>
      </c>
      <c r="W23" s="234">
        <v>0</v>
      </c>
      <c r="X23" s="234">
        <v>0</v>
      </c>
      <c r="Y23" s="458">
        <f t="shared" si="5"/>
        <v>0</v>
      </c>
      <c r="Z23" s="458">
        <f t="shared" si="6"/>
        <v>5</v>
      </c>
      <c r="AA23" s="331"/>
    </row>
    <row r="24" spans="1:27" ht="20.100000000000001" customHeight="1" x14ac:dyDescent="0.25">
      <c r="A24" s="72">
        <v>815</v>
      </c>
      <c r="B24" s="118"/>
      <c r="C24" s="733" t="s">
        <v>1533</v>
      </c>
      <c r="D24" s="734"/>
      <c r="E24" s="265">
        <v>0</v>
      </c>
      <c r="F24" s="234">
        <v>0</v>
      </c>
      <c r="G24" s="234">
        <v>4</v>
      </c>
      <c r="H24" s="234">
        <v>0</v>
      </c>
      <c r="I24" s="234">
        <v>5</v>
      </c>
      <c r="J24" s="234">
        <v>0</v>
      </c>
      <c r="K24" s="458">
        <f t="shared" ref="K24" si="23">SUM(E24:J24)</f>
        <v>9</v>
      </c>
      <c r="L24" s="265">
        <v>0</v>
      </c>
      <c r="M24" s="234">
        <v>0</v>
      </c>
      <c r="N24" s="234">
        <v>0</v>
      </c>
      <c r="O24" s="234">
        <v>0</v>
      </c>
      <c r="P24" s="234">
        <v>0</v>
      </c>
      <c r="Q24" s="234">
        <v>0</v>
      </c>
      <c r="R24" s="458">
        <f t="shared" ref="R24" si="24">SUM(L24:Q24)</f>
        <v>0</v>
      </c>
      <c r="S24" s="265">
        <v>0</v>
      </c>
      <c r="T24" s="234">
        <v>0</v>
      </c>
      <c r="U24" s="234">
        <v>0</v>
      </c>
      <c r="V24" s="234">
        <v>0</v>
      </c>
      <c r="W24" s="234">
        <v>0</v>
      </c>
      <c r="X24" s="234">
        <v>0</v>
      </c>
      <c r="Y24" s="458">
        <f t="shared" ref="Y24" si="25">SUM(S24:X24)</f>
        <v>0</v>
      </c>
      <c r="Z24" s="458">
        <f t="shared" ref="Z24" si="26">SUM(K24+R24+Y24)</f>
        <v>9</v>
      </c>
      <c r="AA24" s="331"/>
    </row>
    <row r="25" spans="1:27" ht="32.25" customHeight="1" x14ac:dyDescent="0.25">
      <c r="A25" s="262">
        <v>816</v>
      </c>
      <c r="B25" s="118">
        <v>6</v>
      </c>
      <c r="C25" s="751" t="s">
        <v>1535</v>
      </c>
      <c r="D25" s="752"/>
      <c r="E25" s="457">
        <f>SUM(E26,E29)</f>
        <v>0</v>
      </c>
      <c r="F25" s="457">
        <f t="shared" ref="F25:L25" si="27">SUM(F26,F29)</f>
        <v>0</v>
      </c>
      <c r="G25" s="457">
        <f t="shared" si="27"/>
        <v>0</v>
      </c>
      <c r="H25" s="457">
        <f t="shared" si="27"/>
        <v>1</v>
      </c>
      <c r="I25" s="457">
        <f t="shared" si="27"/>
        <v>1</v>
      </c>
      <c r="J25" s="457">
        <f t="shared" si="27"/>
        <v>0</v>
      </c>
      <c r="K25" s="458">
        <f t="shared" si="1"/>
        <v>2</v>
      </c>
      <c r="L25" s="457">
        <f t="shared" si="27"/>
        <v>0</v>
      </c>
      <c r="M25" s="457">
        <f t="shared" ref="M25" si="28">SUM(M26,M29)</f>
        <v>0</v>
      </c>
      <c r="N25" s="457">
        <f t="shared" ref="N25" si="29">SUM(N26,N29)</f>
        <v>0</v>
      </c>
      <c r="O25" s="457">
        <f t="shared" ref="O25" si="30">SUM(O26,O29)</f>
        <v>0</v>
      </c>
      <c r="P25" s="457">
        <f t="shared" ref="P25" si="31">SUM(P26,P29)</f>
        <v>0</v>
      </c>
      <c r="Q25" s="457">
        <f t="shared" ref="Q25:S25" si="32">SUM(Q26,Q29)</f>
        <v>0</v>
      </c>
      <c r="R25" s="458">
        <f t="shared" si="3"/>
        <v>0</v>
      </c>
      <c r="S25" s="457">
        <f t="shared" si="32"/>
        <v>0</v>
      </c>
      <c r="T25" s="457">
        <f t="shared" ref="T25" si="33">SUM(T26,T29)</f>
        <v>0</v>
      </c>
      <c r="U25" s="457">
        <f t="shared" ref="U25" si="34">SUM(U26,U29)</f>
        <v>0</v>
      </c>
      <c r="V25" s="457">
        <f t="shared" ref="V25" si="35">SUM(V26,V29)</f>
        <v>0</v>
      </c>
      <c r="W25" s="457">
        <f t="shared" ref="W25" si="36">SUM(W26,W29)</f>
        <v>0</v>
      </c>
      <c r="X25" s="457">
        <f t="shared" ref="X25" si="37">SUM(X26,X29)</f>
        <v>0</v>
      </c>
      <c r="Y25" s="458">
        <f t="shared" si="5"/>
        <v>0</v>
      </c>
      <c r="Z25" s="458">
        <f t="shared" si="6"/>
        <v>2</v>
      </c>
      <c r="AA25" s="331"/>
    </row>
    <row r="26" spans="1:27" ht="33" customHeight="1" x14ac:dyDescent="0.25">
      <c r="A26" s="72">
        <v>817</v>
      </c>
      <c r="B26" s="118"/>
      <c r="C26" s="745" t="s">
        <v>1536</v>
      </c>
      <c r="D26" s="746"/>
      <c r="E26" s="457">
        <f>SUM(E27:E28)</f>
        <v>0</v>
      </c>
      <c r="F26" s="457">
        <f t="shared" ref="F26:L26" si="38">SUM(F27:F28)</f>
        <v>0</v>
      </c>
      <c r="G26" s="457">
        <f t="shared" si="38"/>
        <v>0</v>
      </c>
      <c r="H26" s="457">
        <f t="shared" si="38"/>
        <v>0</v>
      </c>
      <c r="I26" s="457">
        <f t="shared" si="38"/>
        <v>0</v>
      </c>
      <c r="J26" s="457">
        <f t="shared" si="38"/>
        <v>0</v>
      </c>
      <c r="K26" s="458">
        <f t="shared" si="1"/>
        <v>0</v>
      </c>
      <c r="L26" s="457">
        <f t="shared" si="38"/>
        <v>0</v>
      </c>
      <c r="M26" s="457">
        <f t="shared" ref="M26" si="39">SUM(M27:M28)</f>
        <v>0</v>
      </c>
      <c r="N26" s="457">
        <f t="shared" ref="N26" si="40">SUM(N27:N28)</f>
        <v>0</v>
      </c>
      <c r="O26" s="457">
        <f t="shared" ref="O26" si="41">SUM(O27:O28)</f>
        <v>0</v>
      </c>
      <c r="P26" s="457">
        <f t="shared" ref="P26" si="42">SUM(P27:P28)</f>
        <v>0</v>
      </c>
      <c r="Q26" s="457">
        <f t="shared" ref="Q26:S26" si="43">SUM(Q27:Q28)</f>
        <v>0</v>
      </c>
      <c r="R26" s="458">
        <f t="shared" si="3"/>
        <v>0</v>
      </c>
      <c r="S26" s="457">
        <f t="shared" si="43"/>
        <v>0</v>
      </c>
      <c r="T26" s="457">
        <f t="shared" ref="T26" si="44">SUM(T27:T28)</f>
        <v>0</v>
      </c>
      <c r="U26" s="457">
        <f t="shared" ref="U26" si="45">SUM(U27:U28)</f>
        <v>0</v>
      </c>
      <c r="V26" s="457">
        <f t="shared" ref="V26" si="46">SUM(V27:V28)</f>
        <v>0</v>
      </c>
      <c r="W26" s="457">
        <f t="shared" ref="W26" si="47">SUM(W27:W28)</f>
        <v>0</v>
      </c>
      <c r="X26" s="457">
        <f t="shared" ref="X26" si="48">SUM(X27:X28)</f>
        <v>0</v>
      </c>
      <c r="Y26" s="458">
        <f t="shared" si="5"/>
        <v>0</v>
      </c>
      <c r="Z26" s="458">
        <f t="shared" si="6"/>
        <v>0</v>
      </c>
      <c r="AA26" s="331"/>
    </row>
    <row r="27" spans="1:27" ht="48" customHeight="1" x14ac:dyDescent="0.25">
      <c r="A27" s="262">
        <v>818</v>
      </c>
      <c r="B27" s="118"/>
      <c r="C27" s="747" t="s">
        <v>1537</v>
      </c>
      <c r="D27" s="748"/>
      <c r="E27" s="265">
        <v>0</v>
      </c>
      <c r="F27" s="265">
        <v>0</v>
      </c>
      <c r="G27" s="265">
        <v>0</v>
      </c>
      <c r="H27" s="265">
        <v>0</v>
      </c>
      <c r="I27" s="265">
        <v>0</v>
      </c>
      <c r="J27" s="265">
        <v>0</v>
      </c>
      <c r="K27" s="458">
        <f t="shared" si="1"/>
        <v>0</v>
      </c>
      <c r="L27" s="265">
        <v>0</v>
      </c>
      <c r="M27" s="265">
        <v>0</v>
      </c>
      <c r="N27" s="265">
        <v>0</v>
      </c>
      <c r="O27" s="265">
        <v>0</v>
      </c>
      <c r="P27" s="265">
        <v>0</v>
      </c>
      <c r="Q27" s="265">
        <v>0</v>
      </c>
      <c r="R27" s="458">
        <f t="shared" si="3"/>
        <v>0</v>
      </c>
      <c r="S27" s="265">
        <v>0</v>
      </c>
      <c r="T27" s="265">
        <v>0</v>
      </c>
      <c r="U27" s="265">
        <v>0</v>
      </c>
      <c r="V27" s="265">
        <v>0</v>
      </c>
      <c r="W27" s="265">
        <v>0</v>
      </c>
      <c r="X27" s="265">
        <v>0</v>
      </c>
      <c r="Y27" s="458">
        <f t="shared" si="5"/>
        <v>0</v>
      </c>
      <c r="Z27" s="458">
        <f t="shared" si="6"/>
        <v>0</v>
      </c>
      <c r="AA27" s="331"/>
    </row>
    <row r="28" spans="1:27" ht="79.5" customHeight="1" x14ac:dyDescent="0.25">
      <c r="A28" s="72">
        <v>819</v>
      </c>
      <c r="B28" s="118"/>
      <c r="C28" s="747" t="s">
        <v>1538</v>
      </c>
      <c r="D28" s="748"/>
      <c r="E28" s="265">
        <v>0</v>
      </c>
      <c r="F28" s="265">
        <v>0</v>
      </c>
      <c r="G28" s="265">
        <v>0</v>
      </c>
      <c r="H28" s="265">
        <v>0</v>
      </c>
      <c r="I28" s="265">
        <v>0</v>
      </c>
      <c r="J28" s="265">
        <v>0</v>
      </c>
      <c r="K28" s="458">
        <f t="shared" si="1"/>
        <v>0</v>
      </c>
      <c r="L28" s="265">
        <v>0</v>
      </c>
      <c r="M28" s="265">
        <v>0</v>
      </c>
      <c r="N28" s="265">
        <v>0</v>
      </c>
      <c r="O28" s="265">
        <v>0</v>
      </c>
      <c r="P28" s="265">
        <v>0</v>
      </c>
      <c r="Q28" s="265">
        <v>0</v>
      </c>
      <c r="R28" s="458">
        <f t="shared" si="3"/>
        <v>0</v>
      </c>
      <c r="S28" s="265">
        <v>0</v>
      </c>
      <c r="T28" s="265">
        <v>0</v>
      </c>
      <c r="U28" s="265">
        <v>0</v>
      </c>
      <c r="V28" s="265">
        <v>0</v>
      </c>
      <c r="W28" s="265">
        <v>0</v>
      </c>
      <c r="X28" s="265">
        <v>0</v>
      </c>
      <c r="Y28" s="458">
        <f t="shared" si="5"/>
        <v>0</v>
      </c>
      <c r="Z28" s="458">
        <f t="shared" si="6"/>
        <v>0</v>
      </c>
      <c r="AA28" s="331"/>
    </row>
    <row r="29" spans="1:27" ht="20.100000000000001" customHeight="1" x14ac:dyDescent="0.25">
      <c r="A29" s="262">
        <v>820</v>
      </c>
      <c r="B29" s="118"/>
      <c r="C29" s="733" t="s">
        <v>1539</v>
      </c>
      <c r="D29" s="734"/>
      <c r="E29" s="265">
        <v>0</v>
      </c>
      <c r="F29" s="265">
        <v>0</v>
      </c>
      <c r="G29" s="265">
        <v>0</v>
      </c>
      <c r="H29" s="265">
        <v>1</v>
      </c>
      <c r="I29" s="265">
        <v>1</v>
      </c>
      <c r="J29" s="265">
        <v>0</v>
      </c>
      <c r="K29" s="458">
        <f t="shared" si="1"/>
        <v>2</v>
      </c>
      <c r="L29" s="265">
        <v>0</v>
      </c>
      <c r="M29" s="265">
        <v>0</v>
      </c>
      <c r="N29" s="265">
        <v>0</v>
      </c>
      <c r="O29" s="265">
        <v>0</v>
      </c>
      <c r="P29" s="265">
        <v>0</v>
      </c>
      <c r="Q29" s="265">
        <v>0</v>
      </c>
      <c r="R29" s="458">
        <f t="shared" si="3"/>
        <v>0</v>
      </c>
      <c r="S29" s="265">
        <v>0</v>
      </c>
      <c r="T29" s="265">
        <v>0</v>
      </c>
      <c r="U29" s="265">
        <v>0</v>
      </c>
      <c r="V29" s="265">
        <v>0</v>
      </c>
      <c r="W29" s="265">
        <v>0</v>
      </c>
      <c r="X29" s="265">
        <v>0</v>
      </c>
      <c r="Y29" s="458">
        <f t="shared" si="5"/>
        <v>0</v>
      </c>
      <c r="Z29" s="458">
        <f t="shared" si="6"/>
        <v>2</v>
      </c>
      <c r="AA29" s="331"/>
    </row>
    <row r="30" spans="1:27" ht="20.100000000000001" customHeight="1" x14ac:dyDescent="0.25">
      <c r="A30" s="72">
        <v>821</v>
      </c>
      <c r="B30" s="118">
        <v>7</v>
      </c>
      <c r="C30" s="753" t="s">
        <v>110</v>
      </c>
      <c r="D30" s="754"/>
      <c r="E30" s="265">
        <v>0</v>
      </c>
      <c r="F30" s="234">
        <v>0</v>
      </c>
      <c r="G30" s="234">
        <v>7</v>
      </c>
      <c r="H30" s="234">
        <v>14</v>
      </c>
      <c r="I30" s="234">
        <v>11</v>
      </c>
      <c r="J30" s="234">
        <v>1</v>
      </c>
      <c r="K30" s="458">
        <f t="shared" si="1"/>
        <v>33</v>
      </c>
      <c r="L30" s="265">
        <v>0</v>
      </c>
      <c r="M30" s="234">
        <v>0</v>
      </c>
      <c r="N30" s="234">
        <v>0</v>
      </c>
      <c r="O30" s="234">
        <v>0</v>
      </c>
      <c r="P30" s="234">
        <v>0</v>
      </c>
      <c r="Q30" s="234">
        <v>0</v>
      </c>
      <c r="R30" s="458">
        <f t="shared" si="3"/>
        <v>0</v>
      </c>
      <c r="S30" s="265">
        <v>0</v>
      </c>
      <c r="T30" s="234">
        <v>0</v>
      </c>
      <c r="U30" s="234">
        <v>0</v>
      </c>
      <c r="V30" s="234">
        <v>0</v>
      </c>
      <c r="W30" s="234">
        <v>0</v>
      </c>
      <c r="X30" s="234">
        <v>0</v>
      </c>
      <c r="Y30" s="458">
        <f t="shared" si="5"/>
        <v>0</v>
      </c>
      <c r="Z30" s="458">
        <f t="shared" si="6"/>
        <v>33</v>
      </c>
      <c r="AA30" s="331"/>
    </row>
    <row r="31" spans="1:27" ht="20.100000000000001" customHeight="1" x14ac:dyDescent="0.25">
      <c r="A31" s="262">
        <v>822</v>
      </c>
      <c r="B31" s="118">
        <v>8</v>
      </c>
      <c r="C31" s="735" t="s">
        <v>111</v>
      </c>
      <c r="D31" s="736"/>
      <c r="E31" s="406">
        <v>0</v>
      </c>
      <c r="F31" s="406">
        <v>0</v>
      </c>
      <c r="G31" s="406">
        <v>0</v>
      </c>
      <c r="H31" s="234">
        <v>0</v>
      </c>
      <c r="I31" s="234">
        <v>0</v>
      </c>
      <c r="J31" s="234">
        <v>4</v>
      </c>
      <c r="K31" s="458">
        <f t="shared" si="1"/>
        <v>4</v>
      </c>
      <c r="L31" s="406">
        <v>0</v>
      </c>
      <c r="M31" s="406">
        <v>0</v>
      </c>
      <c r="N31" s="406">
        <v>0</v>
      </c>
      <c r="O31" s="234">
        <v>0</v>
      </c>
      <c r="P31" s="234">
        <v>0</v>
      </c>
      <c r="Q31" s="234">
        <v>0</v>
      </c>
      <c r="R31" s="458">
        <f t="shared" si="3"/>
        <v>0</v>
      </c>
      <c r="S31" s="406">
        <v>0</v>
      </c>
      <c r="T31" s="406">
        <v>0</v>
      </c>
      <c r="U31" s="406">
        <v>0</v>
      </c>
      <c r="V31" s="234">
        <v>0</v>
      </c>
      <c r="W31" s="234">
        <v>0</v>
      </c>
      <c r="X31" s="234">
        <v>0</v>
      </c>
      <c r="Y31" s="458">
        <f t="shared" si="5"/>
        <v>0</v>
      </c>
      <c r="Z31" s="458">
        <f t="shared" si="6"/>
        <v>4</v>
      </c>
      <c r="AA31" s="331"/>
    </row>
    <row r="32" spans="1:27" ht="20.100000000000001" customHeight="1" x14ac:dyDescent="0.25">
      <c r="A32" s="72">
        <v>823</v>
      </c>
      <c r="B32" s="118">
        <v>9</v>
      </c>
      <c r="C32" s="735" t="s">
        <v>1544</v>
      </c>
      <c r="D32" s="736"/>
      <c r="E32" s="265">
        <v>0</v>
      </c>
      <c r="F32" s="234">
        <v>0</v>
      </c>
      <c r="G32" s="234">
        <v>0</v>
      </c>
      <c r="H32" s="234">
        <v>3</v>
      </c>
      <c r="I32" s="234">
        <v>2</v>
      </c>
      <c r="J32" s="234">
        <v>0</v>
      </c>
      <c r="K32" s="458">
        <f t="shared" si="1"/>
        <v>5</v>
      </c>
      <c r="L32" s="265">
        <v>0</v>
      </c>
      <c r="M32" s="234">
        <v>0</v>
      </c>
      <c r="N32" s="234">
        <v>0</v>
      </c>
      <c r="O32" s="234">
        <v>0</v>
      </c>
      <c r="P32" s="234">
        <v>0</v>
      </c>
      <c r="Q32" s="234">
        <v>0</v>
      </c>
      <c r="R32" s="458">
        <f t="shared" si="3"/>
        <v>0</v>
      </c>
      <c r="S32" s="265">
        <v>0</v>
      </c>
      <c r="T32" s="234">
        <v>0</v>
      </c>
      <c r="U32" s="234">
        <v>0</v>
      </c>
      <c r="V32" s="234">
        <v>0</v>
      </c>
      <c r="W32" s="234">
        <v>0</v>
      </c>
      <c r="X32" s="234">
        <v>0</v>
      </c>
      <c r="Y32" s="458">
        <f t="shared" si="5"/>
        <v>0</v>
      </c>
      <c r="Z32" s="458">
        <f t="shared" si="6"/>
        <v>5</v>
      </c>
      <c r="AA32" s="331"/>
    </row>
    <row r="33" spans="1:27" ht="20.100000000000001" customHeight="1" x14ac:dyDescent="0.25">
      <c r="A33" s="262">
        <v>840</v>
      </c>
      <c r="B33" s="266">
        <v>10</v>
      </c>
      <c r="C33" s="743" t="s">
        <v>1540</v>
      </c>
      <c r="D33" s="744"/>
      <c r="E33" s="441">
        <f>SUM(E9:E10,E17:E19,E25,E30:E32)</f>
        <v>2</v>
      </c>
      <c r="F33" s="441">
        <f t="shared" ref="F33:L33" si="49">SUM(F9:F10,F17:F19,F25,F30:F32)</f>
        <v>6</v>
      </c>
      <c r="G33" s="441">
        <f t="shared" si="49"/>
        <v>65</v>
      </c>
      <c r="H33" s="441">
        <f t="shared" si="49"/>
        <v>79</v>
      </c>
      <c r="I33" s="441">
        <f t="shared" si="49"/>
        <v>81</v>
      </c>
      <c r="J33" s="441">
        <f t="shared" si="49"/>
        <v>16</v>
      </c>
      <c r="K33" s="455">
        <f t="shared" si="1"/>
        <v>249</v>
      </c>
      <c r="L33" s="441">
        <f t="shared" si="49"/>
        <v>1</v>
      </c>
      <c r="M33" s="441">
        <f t="shared" ref="M33" si="50">SUM(M9:M10,M17:M19,M25,M30:M32)</f>
        <v>4</v>
      </c>
      <c r="N33" s="441">
        <f t="shared" ref="N33" si="51">SUM(N9:N10,N17:N19,N25,N30:N32)</f>
        <v>19</v>
      </c>
      <c r="O33" s="441">
        <f t="shared" ref="O33" si="52">SUM(O9:O10,O17:O19,O25,O30:O32)</f>
        <v>21</v>
      </c>
      <c r="P33" s="441">
        <f t="shared" ref="P33" si="53">SUM(P9:P10,P17:P19,P25,P30:P32)</f>
        <v>11</v>
      </c>
      <c r="Q33" s="441">
        <f t="shared" ref="Q33:S33" si="54">SUM(Q9:Q10,Q17:Q19,Q25,Q30:Q32)</f>
        <v>16</v>
      </c>
      <c r="R33" s="455">
        <f t="shared" si="3"/>
        <v>72</v>
      </c>
      <c r="S33" s="441">
        <f t="shared" si="54"/>
        <v>0</v>
      </c>
      <c r="T33" s="441">
        <f t="shared" ref="T33" si="55">SUM(T9:T10,T17:T19,T25,T30:T32)</f>
        <v>0</v>
      </c>
      <c r="U33" s="441">
        <f t="shared" ref="U33" si="56">SUM(U9:U10,U17:U19,U25,U30:U32)</f>
        <v>0</v>
      </c>
      <c r="V33" s="441">
        <f t="shared" ref="V33" si="57">SUM(V9:V10,V17:V19,V25,V30:V32)</f>
        <v>0</v>
      </c>
      <c r="W33" s="441">
        <f t="shared" ref="W33" si="58">SUM(W9:W10,W17:W19,W25,W30:W32)</f>
        <v>0</v>
      </c>
      <c r="X33" s="441">
        <f t="shared" ref="X33" si="59">SUM(X9:X10,X17:X19,X25,X30:X32)</f>
        <v>0</v>
      </c>
      <c r="Y33" s="455">
        <f t="shared" si="5"/>
        <v>0</v>
      </c>
      <c r="Z33" s="455">
        <f t="shared" si="6"/>
        <v>321</v>
      </c>
      <c r="AA33" s="331"/>
    </row>
    <row r="34" spans="1:27" s="2" customFormat="1" ht="24.95" customHeight="1" x14ac:dyDescent="0.25">
      <c r="A34" s="625" t="s">
        <v>627</v>
      </c>
      <c r="B34" s="625"/>
      <c r="C34" s="625"/>
      <c r="D34" s="626"/>
      <c r="E34" s="392">
        <f>'P-XIV'!D38</f>
        <v>2</v>
      </c>
      <c r="F34" s="392">
        <f>'P-XIV'!E38</f>
        <v>6</v>
      </c>
      <c r="G34" s="392">
        <f>'P-XIV'!F38</f>
        <v>65</v>
      </c>
      <c r="H34" s="392">
        <f>'P-XIV'!G38</f>
        <v>79</v>
      </c>
      <c r="I34" s="392">
        <f>'P-XIV'!H38</f>
        <v>81</v>
      </c>
      <c r="J34" s="392">
        <f>'P-XIV'!I38</f>
        <v>16</v>
      </c>
      <c r="K34" s="392">
        <f>'P-XIV'!J38</f>
        <v>249</v>
      </c>
      <c r="L34" s="392">
        <f>'P-XIV'!K38</f>
        <v>1</v>
      </c>
      <c r="M34" s="392">
        <f>'P-XIV'!L38</f>
        <v>4</v>
      </c>
      <c r="N34" s="392">
        <f>'P-XIV'!M38</f>
        <v>19</v>
      </c>
      <c r="O34" s="392">
        <f>'P-XIV'!N38</f>
        <v>21</v>
      </c>
      <c r="P34" s="392">
        <f>'P-XIV'!O38</f>
        <v>11</v>
      </c>
      <c r="Q34" s="392">
        <f>'P-XIV'!P38</f>
        <v>16</v>
      </c>
      <c r="R34" s="392">
        <f>'P-XIV'!Q38</f>
        <v>72</v>
      </c>
      <c r="S34" s="392">
        <f>'P-XIV'!R38</f>
        <v>0</v>
      </c>
      <c r="T34" s="392">
        <f>'P-XIV'!S38</f>
        <v>0</v>
      </c>
      <c r="U34" s="392">
        <f>'P-XIV'!T38</f>
        <v>0</v>
      </c>
      <c r="V34" s="392">
        <f>'P-XIV'!U38</f>
        <v>0</v>
      </c>
      <c r="W34" s="392">
        <f>'P-XIV'!V38</f>
        <v>0</v>
      </c>
      <c r="X34" s="392">
        <f>'P-XIV'!W38</f>
        <v>0</v>
      </c>
      <c r="Y34" s="392">
        <f>'P-XIV'!X38</f>
        <v>0</v>
      </c>
      <c r="Z34" s="392">
        <f>'P-XIV'!Y38</f>
        <v>321</v>
      </c>
    </row>
    <row r="35" spans="1:27" s="2" customFormat="1" ht="24.95" customHeight="1" x14ac:dyDescent="0.25">
      <c r="A35" s="722" t="s">
        <v>626</v>
      </c>
      <c r="B35" s="722"/>
      <c r="C35" s="722"/>
      <c r="D35" s="723"/>
      <c r="E35" s="399" t="str">
        <f>IF(E33='P-XIV'!D38,"",FALSE)</f>
        <v/>
      </c>
      <c r="F35" s="399" t="str">
        <f>IF(F33='P-XIV'!E38,"",FALSE)</f>
        <v/>
      </c>
      <c r="G35" s="399" t="str">
        <f>IF(G33='P-XIV'!F38,"",FALSE)</f>
        <v/>
      </c>
      <c r="H35" s="399" t="str">
        <f>IF(H33='P-XIV'!G38,"",FALSE)</f>
        <v/>
      </c>
      <c r="I35" s="399" t="str">
        <f>IF(I33='P-XIV'!H38,"",FALSE)</f>
        <v/>
      </c>
      <c r="J35" s="399" t="str">
        <f>IF(J33='P-XIV'!I38,"",FALSE)</f>
        <v/>
      </c>
      <c r="K35" s="399" t="str">
        <f>IF(K33='P-XIV'!J38,"",FALSE)</f>
        <v/>
      </c>
      <c r="L35" s="399" t="str">
        <f>IF(L33='P-XIV'!K38,"",FALSE)</f>
        <v/>
      </c>
      <c r="M35" s="399" t="str">
        <f>IF(M33='P-XIV'!L38,"",FALSE)</f>
        <v/>
      </c>
      <c r="N35" s="399" t="str">
        <f>IF(N33='P-XIV'!M38,"",FALSE)</f>
        <v/>
      </c>
      <c r="O35" s="399" t="str">
        <f>IF(O33='P-XIV'!N38,"",FALSE)</f>
        <v/>
      </c>
      <c r="P35" s="399" t="str">
        <f>IF(P33='P-XIV'!O38,"",FALSE)</f>
        <v/>
      </c>
      <c r="Q35" s="399" t="str">
        <f>IF(Q33='P-XIV'!P38,"",FALSE)</f>
        <v/>
      </c>
      <c r="R35" s="399" t="str">
        <f>IF(R33='P-XIV'!Q38,"",FALSE)</f>
        <v/>
      </c>
      <c r="S35" s="399" t="str">
        <f>IF(S33='P-XIV'!R38,"",FALSE)</f>
        <v/>
      </c>
      <c r="T35" s="399" t="str">
        <f>IF(T33='P-XIV'!S38,"",FALSE)</f>
        <v/>
      </c>
      <c r="U35" s="399" t="str">
        <f>IF(U33='P-XIV'!T38,"",FALSE)</f>
        <v/>
      </c>
      <c r="V35" s="399" t="str">
        <f>IF(V33='P-XIV'!U38,"",FALSE)</f>
        <v/>
      </c>
      <c r="W35" s="399" t="str">
        <f>IF(W33='P-XIV'!V38,"",FALSE)</f>
        <v/>
      </c>
      <c r="X35" s="399" t="str">
        <f>IF(X33='P-XIV'!W38,"",FALSE)</f>
        <v/>
      </c>
      <c r="Y35" s="399" t="str">
        <f>IF(Y33='P-XIV'!X38,"",FALSE)</f>
        <v/>
      </c>
      <c r="Z35" s="399" t="str">
        <f>IF(Z33='P-XIV'!Y38,"",FALSE)</f>
        <v/>
      </c>
    </row>
    <row r="36" spans="1:27" s="2" customFormat="1" ht="30" customHeight="1" x14ac:dyDescent="0.25">
      <c r="A36" s="595" t="s">
        <v>1588</v>
      </c>
      <c r="B36" s="596"/>
      <c r="C36" s="596"/>
      <c r="D36" s="597"/>
      <c r="E36" s="463" t="str">
        <f>IF(E20&gt;0,IF((E23/E20*100)&gt;10,"ABVAR",""),"")</f>
        <v/>
      </c>
      <c r="F36" s="463" t="str">
        <f t="shared" ref="F36:Z36" si="60">IF(F20&gt;0,IF((F23/F20*100)&gt;10,"ABVAR",""),"")</f>
        <v/>
      </c>
      <c r="G36" s="463" t="str">
        <f t="shared" si="60"/>
        <v>ABVAR</v>
      </c>
      <c r="H36" s="463" t="str">
        <f t="shared" si="60"/>
        <v/>
      </c>
      <c r="I36" s="463" t="str">
        <f t="shared" si="60"/>
        <v>ABVAR</v>
      </c>
      <c r="J36" s="463" t="str">
        <f t="shared" si="60"/>
        <v/>
      </c>
      <c r="K36" s="463" t="str">
        <f t="shared" si="60"/>
        <v>ABVAR</v>
      </c>
      <c r="L36" s="463" t="str">
        <f t="shared" si="60"/>
        <v/>
      </c>
      <c r="M36" s="463" t="str">
        <f t="shared" si="60"/>
        <v/>
      </c>
      <c r="N36" s="463" t="str">
        <f t="shared" si="60"/>
        <v/>
      </c>
      <c r="O36" s="463" t="str">
        <f t="shared" si="60"/>
        <v/>
      </c>
      <c r="P36" s="463" t="str">
        <f t="shared" si="60"/>
        <v/>
      </c>
      <c r="Q36" s="463" t="str">
        <f t="shared" si="60"/>
        <v/>
      </c>
      <c r="R36" s="463" t="str">
        <f t="shared" si="60"/>
        <v/>
      </c>
      <c r="S36" s="463" t="str">
        <f t="shared" si="60"/>
        <v/>
      </c>
      <c r="T36" s="463" t="str">
        <f t="shared" si="60"/>
        <v/>
      </c>
      <c r="U36" s="463" t="str">
        <f t="shared" si="60"/>
        <v/>
      </c>
      <c r="V36" s="463" t="str">
        <f t="shared" si="60"/>
        <v/>
      </c>
      <c r="W36" s="463" t="str">
        <f t="shared" si="60"/>
        <v/>
      </c>
      <c r="X36" s="463" t="str">
        <f t="shared" si="60"/>
        <v/>
      </c>
      <c r="Y36" s="463" t="str">
        <f t="shared" si="60"/>
        <v/>
      </c>
      <c r="Z36" s="463" t="str">
        <f t="shared" si="60"/>
        <v>ABVAR</v>
      </c>
    </row>
    <row r="37" spans="1:27" s="2" customFormat="1" ht="30" customHeight="1" x14ac:dyDescent="0.25">
      <c r="A37" s="595" t="s">
        <v>1589</v>
      </c>
      <c r="B37" s="596"/>
      <c r="C37" s="596"/>
      <c r="D37" s="597"/>
      <c r="E37" s="463" t="str">
        <f>IF(E19&gt;0,IF((E24/E19*100)&gt;10,"ABVAR",""),"")</f>
        <v/>
      </c>
      <c r="F37" s="463" t="str">
        <f t="shared" ref="F37:Z37" si="61">IF(F19&gt;0,IF((F24/F19*100)&gt;10,"ABVAR",""),"")</f>
        <v/>
      </c>
      <c r="G37" s="463" t="str">
        <f t="shared" si="61"/>
        <v>ABVAR</v>
      </c>
      <c r="H37" s="463" t="str">
        <f t="shared" si="61"/>
        <v/>
      </c>
      <c r="I37" s="463" t="str">
        <f t="shared" si="61"/>
        <v>ABVAR</v>
      </c>
      <c r="J37" s="463" t="str">
        <f t="shared" si="61"/>
        <v/>
      </c>
      <c r="K37" s="463" t="str">
        <f t="shared" si="61"/>
        <v>ABVAR</v>
      </c>
      <c r="L37" s="463" t="str">
        <f t="shared" si="61"/>
        <v/>
      </c>
      <c r="M37" s="463" t="str">
        <f t="shared" si="61"/>
        <v/>
      </c>
      <c r="N37" s="463" t="str">
        <f t="shared" si="61"/>
        <v/>
      </c>
      <c r="O37" s="463" t="str">
        <f t="shared" si="61"/>
        <v/>
      </c>
      <c r="P37" s="463" t="str">
        <f t="shared" si="61"/>
        <v/>
      </c>
      <c r="Q37" s="463" t="str">
        <f t="shared" si="61"/>
        <v/>
      </c>
      <c r="R37" s="463" t="str">
        <f t="shared" si="61"/>
        <v/>
      </c>
      <c r="S37" s="463" t="str">
        <f t="shared" si="61"/>
        <v/>
      </c>
      <c r="T37" s="463" t="str">
        <f t="shared" si="61"/>
        <v/>
      </c>
      <c r="U37" s="463" t="str">
        <f t="shared" si="61"/>
        <v/>
      </c>
      <c r="V37" s="463" t="str">
        <f t="shared" si="61"/>
        <v/>
      </c>
      <c r="W37" s="463" t="str">
        <f t="shared" si="61"/>
        <v/>
      </c>
      <c r="X37" s="463" t="str">
        <f t="shared" si="61"/>
        <v/>
      </c>
      <c r="Y37" s="463" t="str">
        <f t="shared" si="61"/>
        <v/>
      </c>
      <c r="Z37" s="463" t="str">
        <f t="shared" si="61"/>
        <v>ABVAR</v>
      </c>
    </row>
    <row r="38" spans="1:27" s="2" customFormat="1" ht="24.95" customHeight="1" x14ac:dyDescent="0.25">
      <c r="A38" s="605" t="s">
        <v>1590</v>
      </c>
      <c r="B38" s="606"/>
      <c r="C38" s="606"/>
      <c r="D38" s="607"/>
      <c r="E38" s="463" t="str">
        <f>IF(E33&gt;0,IF((E32/E33*100)&gt;10,"ABVAR",""),"")</f>
        <v/>
      </c>
      <c r="F38" s="463" t="str">
        <f t="shared" ref="F38:Z38" si="62">IF(F33&gt;0,IF((F32/F33*100)&gt;10,"ABVAR",""),"")</f>
        <v/>
      </c>
      <c r="G38" s="463" t="str">
        <f t="shared" si="62"/>
        <v/>
      </c>
      <c r="H38" s="463" t="str">
        <f t="shared" si="62"/>
        <v/>
      </c>
      <c r="I38" s="463" t="str">
        <f t="shared" si="62"/>
        <v/>
      </c>
      <c r="J38" s="463" t="str">
        <f t="shared" si="62"/>
        <v/>
      </c>
      <c r="K38" s="463" t="str">
        <f t="shared" si="62"/>
        <v/>
      </c>
      <c r="L38" s="463" t="str">
        <f t="shared" si="62"/>
        <v/>
      </c>
      <c r="M38" s="463" t="str">
        <f t="shared" si="62"/>
        <v/>
      </c>
      <c r="N38" s="463" t="str">
        <f t="shared" si="62"/>
        <v/>
      </c>
      <c r="O38" s="463" t="str">
        <f t="shared" si="62"/>
        <v/>
      </c>
      <c r="P38" s="463" t="str">
        <f t="shared" si="62"/>
        <v/>
      </c>
      <c r="Q38" s="463" t="str">
        <f t="shared" si="62"/>
        <v/>
      </c>
      <c r="R38" s="463" t="str">
        <f t="shared" si="62"/>
        <v/>
      </c>
      <c r="S38" s="463" t="str">
        <f t="shared" si="62"/>
        <v/>
      </c>
      <c r="T38" s="463" t="str">
        <f t="shared" si="62"/>
        <v/>
      </c>
      <c r="U38" s="463" t="str">
        <f t="shared" si="62"/>
        <v/>
      </c>
      <c r="V38" s="463" t="str">
        <f t="shared" si="62"/>
        <v/>
      </c>
      <c r="W38" s="463" t="str">
        <f t="shared" si="62"/>
        <v/>
      </c>
      <c r="X38" s="463" t="str">
        <f t="shared" si="62"/>
        <v/>
      </c>
      <c r="Y38" s="463" t="str">
        <f t="shared" si="62"/>
        <v/>
      </c>
      <c r="Z38" s="463" t="str">
        <f t="shared" si="62"/>
        <v/>
      </c>
    </row>
    <row r="39" spans="1:27" x14ac:dyDescent="0.25">
      <c r="A39" s="74"/>
      <c r="B39" s="74"/>
    </row>
    <row r="40" spans="1:27" x14ac:dyDescent="0.25">
      <c r="E40" s="271" t="s">
        <v>135</v>
      </c>
    </row>
    <row r="41" spans="1:27" x14ac:dyDescent="0.25">
      <c r="E41" s="271" t="s">
        <v>1542</v>
      </c>
    </row>
    <row r="42" spans="1:27" x14ac:dyDescent="0.25">
      <c r="E42" s="271"/>
    </row>
    <row r="48" spans="1:27" x14ac:dyDescent="0.25">
      <c r="F48" s="470"/>
    </row>
    <row r="200" spans="53:80" x14ac:dyDescent="0.25">
      <c r="BA200" s="141" t="str">
        <f>A1</f>
        <v>Goa, , ADSI-2021</v>
      </c>
      <c r="BB200" s="141"/>
      <c r="BC200" s="141"/>
    </row>
    <row r="201" spans="53:80" x14ac:dyDescent="0.25">
      <c r="BA201" s="141" t="str">
        <f>A2</f>
        <v>Errors</v>
      </c>
      <c r="BB201" s="141"/>
      <c r="BC201" s="309">
        <f>C2</f>
        <v>0</v>
      </c>
      <c r="BF201" s="472" t="str">
        <f>E2</f>
        <v>Abnormal Variations</v>
      </c>
      <c r="BG201" s="141">
        <f>F2</f>
        <v>8</v>
      </c>
    </row>
    <row r="202" spans="53:80" x14ac:dyDescent="0.25">
      <c r="BA202" s="141" t="str">
        <f>A3</f>
        <v>Proforma–XV</v>
      </c>
      <c r="BB202" s="132"/>
      <c r="BC202" s="132"/>
      <c r="BD202" s="132"/>
      <c r="BE202" s="132"/>
      <c r="BF202" s="132"/>
      <c r="BG202" s="132"/>
      <c r="BH202" s="132"/>
      <c r="BI202" s="132"/>
      <c r="BJ202" s="132"/>
      <c r="BK202" s="132"/>
      <c r="BL202" s="132"/>
      <c r="BM202" s="132"/>
      <c r="BO202" s="132"/>
      <c r="BP202" s="132"/>
      <c r="BQ202" s="132"/>
      <c r="BR202" s="132"/>
      <c r="BS202" s="132"/>
      <c r="BT202" s="132"/>
      <c r="BU202" s="132"/>
      <c r="BV202" s="132"/>
      <c r="BW202" s="132"/>
      <c r="BX202" s="132"/>
      <c r="BY202" s="157"/>
      <c r="BZ202" s="132"/>
      <c r="CA202" s="132"/>
      <c r="CB202" s="132"/>
    </row>
    <row r="203" spans="53:80" x14ac:dyDescent="0.25">
      <c r="BA203" s="141" t="str">
        <f>A4</f>
        <v>Profession Profile of Suicide Victims</v>
      </c>
      <c r="BB203" s="132"/>
      <c r="BC203" s="132"/>
      <c r="BD203" s="132"/>
      <c r="BE203" s="132"/>
      <c r="BF203" s="132"/>
      <c r="BG203" s="132"/>
      <c r="BH203" s="132"/>
      <c r="BI203" s="132"/>
      <c r="BJ203" s="132"/>
      <c r="BK203" s="132"/>
      <c r="BL203" s="132"/>
      <c r="BM203" s="132"/>
      <c r="BN203" s="132"/>
      <c r="BO203" s="132"/>
      <c r="BP203" s="132"/>
      <c r="BQ203" s="132"/>
      <c r="BR203" s="132"/>
      <c r="BS203" s="132"/>
      <c r="BT203" s="132"/>
      <c r="BU203" s="132"/>
      <c r="BV203" s="132"/>
      <c r="BW203" s="132"/>
      <c r="BX203" s="132"/>
      <c r="BY203" s="132"/>
      <c r="BZ203" s="132"/>
      <c r="CA203" s="132"/>
    </row>
    <row r="204" spans="53:80" x14ac:dyDescent="0.25">
      <c r="BA204" s="602" t="str">
        <f>B5</f>
        <v>Sl. No.</v>
      </c>
      <c r="BB204" s="667" t="str">
        <f>C5</f>
        <v>Profession</v>
      </c>
      <c r="BC204" s="668"/>
      <c r="BD204" s="619" t="str">
        <f t="shared" ref="BD204:BD223" si="63">E5</f>
        <v>Number of Suicidal Deaths</v>
      </c>
      <c r="BE204" s="620"/>
      <c r="BF204" s="620"/>
      <c r="BG204" s="620"/>
      <c r="BH204" s="620"/>
      <c r="BI204" s="620"/>
      <c r="BJ204" s="620"/>
      <c r="BK204" s="620"/>
      <c r="BL204" s="620"/>
      <c r="BM204" s="620"/>
      <c r="BN204" s="620"/>
      <c r="BO204" s="620"/>
      <c r="BP204" s="620"/>
      <c r="BQ204" s="621"/>
      <c r="BR204" s="619"/>
      <c r="BS204" s="620"/>
      <c r="BT204" s="620"/>
      <c r="BU204" s="620"/>
      <c r="BV204" s="620"/>
      <c r="BW204" s="620"/>
      <c r="BX204" s="621"/>
      <c r="BY204" s="602" t="str">
        <f>Z5</f>
        <v>Grand Total
[col. (9)+(16)+(23)]</v>
      </c>
      <c r="BZ204" s="132"/>
    </row>
    <row r="205" spans="53:80" x14ac:dyDescent="0.25">
      <c r="BA205" s="603"/>
      <c r="BB205" s="669"/>
      <c r="BC205" s="670"/>
      <c r="BD205" s="619" t="str">
        <f t="shared" si="63"/>
        <v>Male</v>
      </c>
      <c r="BE205" s="620"/>
      <c r="BF205" s="620"/>
      <c r="BG205" s="620"/>
      <c r="BH205" s="620"/>
      <c r="BI205" s="620"/>
      <c r="BJ205" s="621"/>
      <c r="BK205" s="619" t="str">
        <f t="shared" ref="BK205:BK223" si="64">L6</f>
        <v>Female</v>
      </c>
      <c r="BL205" s="620"/>
      <c r="BM205" s="620"/>
      <c r="BN205" s="620"/>
      <c r="BO205" s="620"/>
      <c r="BP205" s="620"/>
      <c r="BQ205" s="621"/>
      <c r="BR205" s="619" t="str">
        <f t="shared" ref="BR205:BR223" si="65">S6</f>
        <v>Transgender</v>
      </c>
      <c r="BS205" s="620"/>
      <c r="BT205" s="620"/>
      <c r="BU205" s="620"/>
      <c r="BV205" s="620"/>
      <c r="BW205" s="620"/>
      <c r="BX205" s="621"/>
      <c r="BY205" s="603"/>
      <c r="BZ205" s="132"/>
    </row>
    <row r="206" spans="53:80" ht="51" x14ac:dyDescent="0.25">
      <c r="BA206" s="604"/>
      <c r="BB206" s="671"/>
      <c r="BC206" s="672"/>
      <c r="BD206" s="155" t="str">
        <f t="shared" si="63"/>
        <v>below 14 years</v>
      </c>
      <c r="BE206" s="155" t="str">
        <f t="shared" ref="BE206:BE223" si="66">F7</f>
        <v>14 and above – below 18 yrs</v>
      </c>
      <c r="BF206" s="155" t="str">
        <f t="shared" ref="BF206:BF223" si="67">G7</f>
        <v>18 and above – below 30 years</v>
      </c>
      <c r="BG206" s="155" t="str">
        <f t="shared" ref="BG206:BG223" si="68">H7</f>
        <v>30 and above – below 45 years</v>
      </c>
      <c r="BH206" s="155" t="str">
        <f t="shared" ref="BH206:BH223" si="69">I7</f>
        <v>45 and above – below 60 years</v>
      </c>
      <c r="BI206" s="155" t="str">
        <f t="shared" ref="BI206:BI223" si="70">J7</f>
        <v>60 years &amp; above</v>
      </c>
      <c r="BJ206" s="155" t="str">
        <f t="shared" ref="BJ206:BJ223" si="71">K7</f>
        <v xml:space="preserve"> Total [sum of  (3) to (8)]</v>
      </c>
      <c r="BK206" s="155" t="str">
        <f t="shared" si="64"/>
        <v>below 14 years</v>
      </c>
      <c r="BL206" s="155" t="str">
        <f t="shared" ref="BL206:BL223" si="72">M7</f>
        <v>14 and above – below 18 yrs</v>
      </c>
      <c r="BM206" s="155" t="str">
        <f t="shared" ref="BM206:BM223" si="73">N7</f>
        <v>18 and above – below 30 years</v>
      </c>
      <c r="BN206" s="155" t="str">
        <f t="shared" ref="BN206:BN223" si="74">O7</f>
        <v>30 and above – below 45 years</v>
      </c>
      <c r="BO206" s="155" t="str">
        <f t="shared" ref="BO206:BO223" si="75">P7</f>
        <v>45 and above – below 60 years</v>
      </c>
      <c r="BP206" s="155" t="str">
        <f t="shared" ref="BP206:BP223" si="76">Q7</f>
        <v>60 years &amp; above</v>
      </c>
      <c r="BQ206" s="155" t="str">
        <f t="shared" ref="BQ206:BQ223" si="77">R7</f>
        <v>Total [sum of (10) to (15)]</v>
      </c>
      <c r="BR206" s="155" t="str">
        <f t="shared" si="65"/>
        <v>below 14 years</v>
      </c>
      <c r="BS206" s="155" t="str">
        <f t="shared" ref="BS206:BS223" si="78">T7</f>
        <v>14 and above – below 18 yrs</v>
      </c>
      <c r="BT206" s="155" t="str">
        <f t="shared" ref="BT206:BT223" si="79">U7</f>
        <v>18 and above – below 30 years</v>
      </c>
      <c r="BU206" s="155" t="str">
        <f t="shared" ref="BU206:BU223" si="80">V7</f>
        <v>30 and above – below 45 years</v>
      </c>
      <c r="BV206" s="155" t="str">
        <f t="shared" ref="BV206:BV223" si="81">W7</f>
        <v>45 and above – below 60 years</v>
      </c>
      <c r="BW206" s="155" t="str">
        <f t="shared" ref="BW206:BW223" si="82">X7</f>
        <v>60 years &amp; above</v>
      </c>
      <c r="BX206" s="155" t="str">
        <f t="shared" ref="BX206:BX223" si="83">Y7</f>
        <v>Total [sum of (10) to (15)]</v>
      </c>
      <c r="BY206" s="604"/>
      <c r="BZ206" s="132"/>
    </row>
    <row r="207" spans="53:80" x14ac:dyDescent="0.25">
      <c r="BA207" s="155" t="str">
        <f t="shared" ref="BA207:BB209" si="84">B8</f>
        <v>(1)</v>
      </c>
      <c r="BB207" s="619" t="str">
        <f t="shared" si="84"/>
        <v>(2)</v>
      </c>
      <c r="BC207" s="621"/>
      <c r="BD207" s="155" t="str">
        <f t="shared" si="63"/>
        <v>(3)</v>
      </c>
      <c r="BE207" s="155" t="str">
        <f t="shared" si="66"/>
        <v>(4)</v>
      </c>
      <c r="BF207" s="155" t="str">
        <f t="shared" si="67"/>
        <v>(5)</v>
      </c>
      <c r="BG207" s="155" t="str">
        <f t="shared" si="68"/>
        <v>(6)</v>
      </c>
      <c r="BH207" s="155" t="str">
        <f t="shared" si="69"/>
        <v>(7)</v>
      </c>
      <c r="BI207" s="155" t="str">
        <f t="shared" si="70"/>
        <v>(8)</v>
      </c>
      <c r="BJ207" s="155" t="str">
        <f t="shared" si="71"/>
        <v>(9)</v>
      </c>
      <c r="BK207" s="155" t="str">
        <f t="shared" si="64"/>
        <v>(10)</v>
      </c>
      <c r="BL207" s="155" t="str">
        <f t="shared" si="72"/>
        <v>(11)</v>
      </c>
      <c r="BM207" s="155" t="str">
        <f t="shared" si="73"/>
        <v>(12)</v>
      </c>
      <c r="BN207" s="155" t="str">
        <f t="shared" si="74"/>
        <v>(13)</v>
      </c>
      <c r="BO207" s="155" t="str">
        <f t="shared" si="75"/>
        <v>(14)</v>
      </c>
      <c r="BP207" s="155" t="str">
        <f t="shared" si="76"/>
        <v>(15)</v>
      </c>
      <c r="BQ207" s="155" t="str">
        <f t="shared" si="77"/>
        <v>(16)</v>
      </c>
      <c r="BR207" s="155" t="str">
        <f t="shared" si="65"/>
        <v>(17)</v>
      </c>
      <c r="BS207" s="155" t="str">
        <f t="shared" si="78"/>
        <v>(18)</v>
      </c>
      <c r="BT207" s="155" t="str">
        <f t="shared" si="79"/>
        <v>(19)</v>
      </c>
      <c r="BU207" s="155" t="str">
        <f t="shared" si="80"/>
        <v>(20)</v>
      </c>
      <c r="BV207" s="155" t="str">
        <f t="shared" si="81"/>
        <v>(21)</v>
      </c>
      <c r="BW207" s="155" t="str">
        <f t="shared" si="82"/>
        <v>(22)</v>
      </c>
      <c r="BX207" s="155" t="str">
        <f t="shared" si="83"/>
        <v>(23)</v>
      </c>
      <c r="BY207" s="155" t="str">
        <f t="shared" ref="BY207:BY223" si="85">Z8</f>
        <v>(24)</v>
      </c>
      <c r="BZ207" s="132"/>
    </row>
    <row r="208" spans="53:80" x14ac:dyDescent="0.25">
      <c r="BA208" s="138">
        <f t="shared" si="84"/>
        <v>1</v>
      </c>
      <c r="BB208" s="731" t="str">
        <f t="shared" si="84"/>
        <v>Housewife</v>
      </c>
      <c r="BC208" s="732"/>
      <c r="BD208" s="136">
        <f t="shared" si="63"/>
        <v>0</v>
      </c>
      <c r="BE208" s="136">
        <f t="shared" si="66"/>
        <v>0</v>
      </c>
      <c r="BF208" s="136">
        <f t="shared" si="67"/>
        <v>0</v>
      </c>
      <c r="BG208" s="136">
        <f t="shared" si="68"/>
        <v>0</v>
      </c>
      <c r="BH208" s="136">
        <f t="shared" si="69"/>
        <v>0</v>
      </c>
      <c r="BI208" s="136">
        <f t="shared" si="70"/>
        <v>0</v>
      </c>
      <c r="BJ208" s="136">
        <f t="shared" si="71"/>
        <v>0</v>
      </c>
      <c r="BK208" s="136">
        <f t="shared" si="64"/>
        <v>0</v>
      </c>
      <c r="BL208" s="136">
        <f t="shared" si="72"/>
        <v>1</v>
      </c>
      <c r="BM208" s="136">
        <f t="shared" si="73"/>
        <v>9</v>
      </c>
      <c r="BN208" s="136">
        <f t="shared" si="74"/>
        <v>17</v>
      </c>
      <c r="BO208" s="136">
        <f t="shared" si="75"/>
        <v>10</v>
      </c>
      <c r="BP208" s="136">
        <f t="shared" si="76"/>
        <v>15</v>
      </c>
      <c r="BQ208" s="136">
        <f t="shared" si="77"/>
        <v>52</v>
      </c>
      <c r="BR208" s="136">
        <f t="shared" si="65"/>
        <v>0</v>
      </c>
      <c r="BS208" s="136">
        <f t="shared" si="78"/>
        <v>0</v>
      </c>
      <c r="BT208" s="136">
        <f t="shared" si="79"/>
        <v>0</v>
      </c>
      <c r="BU208" s="136">
        <f t="shared" si="80"/>
        <v>0</v>
      </c>
      <c r="BV208" s="136">
        <f t="shared" si="81"/>
        <v>0</v>
      </c>
      <c r="BW208" s="136">
        <f t="shared" si="82"/>
        <v>0</v>
      </c>
      <c r="BX208" s="136">
        <f t="shared" si="83"/>
        <v>0</v>
      </c>
      <c r="BY208" s="136">
        <f t="shared" si="85"/>
        <v>52</v>
      </c>
      <c r="BZ208" s="132"/>
    </row>
    <row r="209" spans="53:78" ht="25.5" customHeight="1" x14ac:dyDescent="0.25">
      <c r="BA209" s="138">
        <f t="shared" si="84"/>
        <v>2</v>
      </c>
      <c r="BB209" s="673" t="str">
        <f t="shared" si="84"/>
        <v>Professional/Salaried Persons (Total) (sum of 2.1 to 2.3)</v>
      </c>
      <c r="BC209" s="674"/>
      <c r="BD209" s="136">
        <f t="shared" si="63"/>
        <v>0</v>
      </c>
      <c r="BE209" s="136">
        <f t="shared" si="66"/>
        <v>0</v>
      </c>
      <c r="BF209" s="136">
        <f t="shared" si="67"/>
        <v>26</v>
      </c>
      <c r="BG209" s="136">
        <f t="shared" si="68"/>
        <v>33</v>
      </c>
      <c r="BH209" s="136">
        <f t="shared" si="69"/>
        <v>26</v>
      </c>
      <c r="BI209" s="136">
        <f t="shared" si="70"/>
        <v>2</v>
      </c>
      <c r="BJ209" s="136">
        <f t="shared" si="71"/>
        <v>87</v>
      </c>
      <c r="BK209" s="136">
        <f t="shared" si="64"/>
        <v>0</v>
      </c>
      <c r="BL209" s="136">
        <f t="shared" si="72"/>
        <v>0</v>
      </c>
      <c r="BM209" s="136">
        <f t="shared" si="73"/>
        <v>3</v>
      </c>
      <c r="BN209" s="136">
        <f t="shared" si="74"/>
        <v>2</v>
      </c>
      <c r="BO209" s="136">
        <f t="shared" si="75"/>
        <v>0</v>
      </c>
      <c r="BP209" s="136">
        <f t="shared" si="76"/>
        <v>0</v>
      </c>
      <c r="BQ209" s="136">
        <f t="shared" si="77"/>
        <v>5</v>
      </c>
      <c r="BR209" s="136">
        <f t="shared" si="65"/>
        <v>0</v>
      </c>
      <c r="BS209" s="136">
        <f t="shared" si="78"/>
        <v>0</v>
      </c>
      <c r="BT209" s="136">
        <f t="shared" si="79"/>
        <v>0</v>
      </c>
      <c r="BU209" s="136">
        <f t="shared" si="80"/>
        <v>0</v>
      </c>
      <c r="BV209" s="136">
        <f t="shared" si="81"/>
        <v>0</v>
      </c>
      <c r="BW209" s="136">
        <f t="shared" si="82"/>
        <v>0</v>
      </c>
      <c r="BX209" s="136">
        <f t="shared" si="83"/>
        <v>0</v>
      </c>
      <c r="BY209" s="136">
        <f t="shared" si="85"/>
        <v>92</v>
      </c>
      <c r="BZ209" s="132"/>
    </row>
    <row r="210" spans="53:78" ht="25.5" x14ac:dyDescent="0.25">
      <c r="BA210" s="138"/>
      <c r="BB210" s="713" t="str">
        <f>C11</f>
        <v>2.1. Govt.</v>
      </c>
      <c r="BC210" s="140" t="str">
        <f>D11</f>
        <v>Govt. Servants (Total) (sum of 2.1.1 to 2.1.3)</v>
      </c>
      <c r="BD210" s="136">
        <f t="shared" si="63"/>
        <v>0</v>
      </c>
      <c r="BE210" s="136">
        <f t="shared" si="66"/>
        <v>0</v>
      </c>
      <c r="BF210" s="136">
        <f t="shared" si="67"/>
        <v>1</v>
      </c>
      <c r="BG210" s="136">
        <f t="shared" si="68"/>
        <v>6</v>
      </c>
      <c r="BH210" s="136">
        <f t="shared" si="69"/>
        <v>5</v>
      </c>
      <c r="BI210" s="136">
        <f t="shared" si="70"/>
        <v>0</v>
      </c>
      <c r="BJ210" s="136">
        <f t="shared" si="71"/>
        <v>12</v>
      </c>
      <c r="BK210" s="136">
        <f t="shared" si="64"/>
        <v>0</v>
      </c>
      <c r="BL210" s="136">
        <f t="shared" si="72"/>
        <v>0</v>
      </c>
      <c r="BM210" s="136">
        <f t="shared" si="73"/>
        <v>0</v>
      </c>
      <c r="BN210" s="136">
        <f t="shared" si="74"/>
        <v>1</v>
      </c>
      <c r="BO210" s="136">
        <f t="shared" si="75"/>
        <v>0</v>
      </c>
      <c r="BP210" s="136">
        <f t="shared" si="76"/>
        <v>0</v>
      </c>
      <c r="BQ210" s="136">
        <f t="shared" si="77"/>
        <v>1</v>
      </c>
      <c r="BR210" s="136">
        <f t="shared" si="65"/>
        <v>0</v>
      </c>
      <c r="BS210" s="136">
        <f t="shared" si="78"/>
        <v>0</v>
      </c>
      <c r="BT210" s="136">
        <f t="shared" si="79"/>
        <v>0</v>
      </c>
      <c r="BU210" s="136">
        <f t="shared" si="80"/>
        <v>0</v>
      </c>
      <c r="BV210" s="136">
        <f t="shared" si="81"/>
        <v>0</v>
      </c>
      <c r="BW210" s="136">
        <f t="shared" si="82"/>
        <v>0</v>
      </c>
      <c r="BX210" s="136">
        <f t="shared" si="83"/>
        <v>0</v>
      </c>
      <c r="BY210" s="136">
        <f t="shared" si="85"/>
        <v>13</v>
      </c>
      <c r="BZ210" s="132"/>
    </row>
    <row r="211" spans="53:78" ht="25.5" x14ac:dyDescent="0.25">
      <c r="BA211" s="138"/>
      <c r="BB211" s="714"/>
      <c r="BC211" s="140" t="str">
        <f>D12</f>
        <v>2.1.1 Central/UT Govt. Servants</v>
      </c>
      <c r="BD211" s="136">
        <f t="shared" si="63"/>
        <v>0</v>
      </c>
      <c r="BE211" s="136">
        <f t="shared" si="66"/>
        <v>0</v>
      </c>
      <c r="BF211" s="136">
        <f t="shared" si="67"/>
        <v>0</v>
      </c>
      <c r="BG211" s="136">
        <f t="shared" si="68"/>
        <v>0</v>
      </c>
      <c r="BH211" s="136">
        <f t="shared" si="69"/>
        <v>0</v>
      </c>
      <c r="BI211" s="136">
        <f t="shared" si="70"/>
        <v>0</v>
      </c>
      <c r="BJ211" s="136">
        <f t="shared" si="71"/>
        <v>0</v>
      </c>
      <c r="BK211" s="136">
        <f t="shared" si="64"/>
        <v>0</v>
      </c>
      <c r="BL211" s="136">
        <f t="shared" si="72"/>
        <v>0</v>
      </c>
      <c r="BM211" s="136">
        <f t="shared" si="73"/>
        <v>0</v>
      </c>
      <c r="BN211" s="136">
        <f t="shared" si="74"/>
        <v>0</v>
      </c>
      <c r="BO211" s="136">
        <f t="shared" si="75"/>
        <v>0</v>
      </c>
      <c r="BP211" s="136">
        <f t="shared" si="76"/>
        <v>0</v>
      </c>
      <c r="BQ211" s="136">
        <f t="shared" si="77"/>
        <v>0</v>
      </c>
      <c r="BR211" s="136">
        <f t="shared" si="65"/>
        <v>0</v>
      </c>
      <c r="BS211" s="136">
        <f t="shared" si="78"/>
        <v>0</v>
      </c>
      <c r="BT211" s="136">
        <f t="shared" si="79"/>
        <v>0</v>
      </c>
      <c r="BU211" s="136">
        <f t="shared" si="80"/>
        <v>0</v>
      </c>
      <c r="BV211" s="136">
        <f t="shared" si="81"/>
        <v>0</v>
      </c>
      <c r="BW211" s="136">
        <f t="shared" si="82"/>
        <v>0</v>
      </c>
      <c r="BX211" s="136">
        <f t="shared" si="83"/>
        <v>0</v>
      </c>
      <c r="BY211" s="136">
        <f t="shared" si="85"/>
        <v>0</v>
      </c>
    </row>
    <row r="212" spans="53:78" ht="25.5" x14ac:dyDescent="0.25">
      <c r="BA212" s="138"/>
      <c r="BB212" s="714"/>
      <c r="BC212" s="140" t="str">
        <f>D13</f>
        <v>2.1.2 State Govt. Servants</v>
      </c>
      <c r="BD212" s="136">
        <f t="shared" si="63"/>
        <v>0</v>
      </c>
      <c r="BE212" s="136">
        <f t="shared" si="66"/>
        <v>0</v>
      </c>
      <c r="BF212" s="136">
        <f t="shared" si="67"/>
        <v>0</v>
      </c>
      <c r="BG212" s="136">
        <f t="shared" si="68"/>
        <v>5</v>
      </c>
      <c r="BH212" s="136">
        <f t="shared" si="69"/>
        <v>2</v>
      </c>
      <c r="BI212" s="136">
        <f t="shared" si="70"/>
        <v>0</v>
      </c>
      <c r="BJ212" s="136">
        <f t="shared" si="71"/>
        <v>7</v>
      </c>
      <c r="BK212" s="136">
        <f t="shared" si="64"/>
        <v>0</v>
      </c>
      <c r="BL212" s="136">
        <f t="shared" si="72"/>
        <v>0</v>
      </c>
      <c r="BM212" s="136">
        <f t="shared" si="73"/>
        <v>0</v>
      </c>
      <c r="BN212" s="136">
        <f t="shared" si="74"/>
        <v>1</v>
      </c>
      <c r="BO212" s="136">
        <f t="shared" si="75"/>
        <v>0</v>
      </c>
      <c r="BP212" s="136">
        <f t="shared" si="76"/>
        <v>0</v>
      </c>
      <c r="BQ212" s="136">
        <f t="shared" si="77"/>
        <v>1</v>
      </c>
      <c r="BR212" s="136">
        <f t="shared" si="65"/>
        <v>0</v>
      </c>
      <c r="BS212" s="136">
        <f t="shared" si="78"/>
        <v>0</v>
      </c>
      <c r="BT212" s="136">
        <f t="shared" si="79"/>
        <v>0</v>
      </c>
      <c r="BU212" s="136">
        <f t="shared" si="80"/>
        <v>0</v>
      </c>
      <c r="BV212" s="136">
        <f t="shared" si="81"/>
        <v>0</v>
      </c>
      <c r="BW212" s="136">
        <f t="shared" si="82"/>
        <v>0</v>
      </c>
      <c r="BX212" s="136">
        <f t="shared" si="83"/>
        <v>0</v>
      </c>
      <c r="BY212" s="136">
        <f t="shared" si="85"/>
        <v>8</v>
      </c>
    </row>
    <row r="213" spans="53:78" ht="25.5" x14ac:dyDescent="0.25">
      <c r="BA213" s="138"/>
      <c r="BB213" s="715"/>
      <c r="BC213" s="140" t="str">
        <f>D14</f>
        <v>2.1.3 Other Statutory Body/etc.</v>
      </c>
      <c r="BD213" s="136">
        <f t="shared" si="63"/>
        <v>0</v>
      </c>
      <c r="BE213" s="136">
        <f t="shared" si="66"/>
        <v>0</v>
      </c>
      <c r="BF213" s="136">
        <f t="shared" si="67"/>
        <v>1</v>
      </c>
      <c r="BG213" s="136">
        <f t="shared" si="68"/>
        <v>1</v>
      </c>
      <c r="BH213" s="136">
        <f t="shared" si="69"/>
        <v>3</v>
      </c>
      <c r="BI213" s="136">
        <f t="shared" si="70"/>
        <v>0</v>
      </c>
      <c r="BJ213" s="136">
        <f t="shared" si="71"/>
        <v>5</v>
      </c>
      <c r="BK213" s="136">
        <f t="shared" si="64"/>
        <v>0</v>
      </c>
      <c r="BL213" s="136">
        <f t="shared" si="72"/>
        <v>0</v>
      </c>
      <c r="BM213" s="136">
        <f t="shared" si="73"/>
        <v>0</v>
      </c>
      <c r="BN213" s="136">
        <f t="shared" si="74"/>
        <v>0</v>
      </c>
      <c r="BO213" s="136">
        <f t="shared" si="75"/>
        <v>0</v>
      </c>
      <c r="BP213" s="136">
        <f t="shared" si="76"/>
        <v>0</v>
      </c>
      <c r="BQ213" s="136">
        <f t="shared" si="77"/>
        <v>0</v>
      </c>
      <c r="BR213" s="136">
        <f t="shared" si="65"/>
        <v>0</v>
      </c>
      <c r="BS213" s="136">
        <f t="shared" si="78"/>
        <v>0</v>
      </c>
      <c r="BT213" s="136">
        <f t="shared" si="79"/>
        <v>0</v>
      </c>
      <c r="BU213" s="136">
        <f t="shared" si="80"/>
        <v>0</v>
      </c>
      <c r="BV213" s="136">
        <f t="shared" si="81"/>
        <v>0</v>
      </c>
      <c r="BW213" s="136">
        <f t="shared" si="82"/>
        <v>0</v>
      </c>
      <c r="BX213" s="136">
        <f t="shared" si="83"/>
        <v>0</v>
      </c>
      <c r="BY213" s="136">
        <f t="shared" si="85"/>
        <v>5</v>
      </c>
    </row>
    <row r="214" spans="53:78" x14ac:dyDescent="0.25">
      <c r="BA214" s="138"/>
      <c r="BB214" s="136" t="str">
        <f t="shared" ref="BB214:BB222" si="86">C15</f>
        <v>2.2 Private Sector Enterprises</v>
      </c>
      <c r="BC214" s="136"/>
      <c r="BD214" s="136">
        <f t="shared" si="63"/>
        <v>0</v>
      </c>
      <c r="BE214" s="136">
        <f t="shared" si="66"/>
        <v>0</v>
      </c>
      <c r="BF214" s="136">
        <f t="shared" si="67"/>
        <v>24</v>
      </c>
      <c r="BG214" s="136">
        <f t="shared" si="68"/>
        <v>25</v>
      </c>
      <c r="BH214" s="136">
        <f t="shared" si="69"/>
        <v>20</v>
      </c>
      <c r="BI214" s="136">
        <f t="shared" si="70"/>
        <v>1</v>
      </c>
      <c r="BJ214" s="136">
        <f t="shared" si="71"/>
        <v>70</v>
      </c>
      <c r="BK214" s="136">
        <f t="shared" si="64"/>
        <v>0</v>
      </c>
      <c r="BL214" s="136">
        <f t="shared" si="72"/>
        <v>0</v>
      </c>
      <c r="BM214" s="136">
        <f t="shared" si="73"/>
        <v>3</v>
      </c>
      <c r="BN214" s="136">
        <f t="shared" si="74"/>
        <v>1</v>
      </c>
      <c r="BO214" s="136">
        <f t="shared" si="75"/>
        <v>0</v>
      </c>
      <c r="BP214" s="136">
        <f t="shared" si="76"/>
        <v>0</v>
      </c>
      <c r="BQ214" s="136">
        <f t="shared" si="77"/>
        <v>4</v>
      </c>
      <c r="BR214" s="136">
        <f t="shared" si="65"/>
        <v>0</v>
      </c>
      <c r="BS214" s="136">
        <f t="shared" si="78"/>
        <v>0</v>
      </c>
      <c r="BT214" s="136">
        <f t="shared" si="79"/>
        <v>0</v>
      </c>
      <c r="BU214" s="136">
        <f t="shared" si="80"/>
        <v>0</v>
      </c>
      <c r="BV214" s="136">
        <f t="shared" si="81"/>
        <v>0</v>
      </c>
      <c r="BW214" s="136">
        <f t="shared" si="82"/>
        <v>0</v>
      </c>
      <c r="BX214" s="136">
        <f t="shared" si="83"/>
        <v>0</v>
      </c>
      <c r="BY214" s="136">
        <f t="shared" si="85"/>
        <v>74</v>
      </c>
    </row>
    <row r="215" spans="53:78" x14ac:dyDescent="0.25">
      <c r="BA215" s="138"/>
      <c r="BB215" s="136" t="str">
        <f t="shared" si="86"/>
        <v>2.3 Public Sector Undertaking</v>
      </c>
      <c r="BC215" s="136"/>
      <c r="BD215" s="136">
        <f t="shared" si="63"/>
        <v>0</v>
      </c>
      <c r="BE215" s="136">
        <f t="shared" si="66"/>
        <v>0</v>
      </c>
      <c r="BF215" s="136">
        <f t="shared" si="67"/>
        <v>1</v>
      </c>
      <c r="BG215" s="136">
        <f t="shared" si="68"/>
        <v>2</v>
      </c>
      <c r="BH215" s="136">
        <f t="shared" si="69"/>
        <v>1</v>
      </c>
      <c r="BI215" s="136">
        <f t="shared" si="70"/>
        <v>1</v>
      </c>
      <c r="BJ215" s="136">
        <f t="shared" si="71"/>
        <v>5</v>
      </c>
      <c r="BK215" s="136">
        <f t="shared" si="64"/>
        <v>0</v>
      </c>
      <c r="BL215" s="136">
        <f t="shared" si="72"/>
        <v>0</v>
      </c>
      <c r="BM215" s="136">
        <f t="shared" si="73"/>
        <v>0</v>
      </c>
      <c r="BN215" s="136">
        <f t="shared" si="74"/>
        <v>0</v>
      </c>
      <c r="BO215" s="136">
        <f t="shared" si="75"/>
        <v>0</v>
      </c>
      <c r="BP215" s="136">
        <f t="shared" si="76"/>
        <v>0</v>
      </c>
      <c r="BQ215" s="136">
        <f t="shared" si="77"/>
        <v>0</v>
      </c>
      <c r="BR215" s="136">
        <f t="shared" si="65"/>
        <v>0</v>
      </c>
      <c r="BS215" s="136">
        <f t="shared" si="78"/>
        <v>0</v>
      </c>
      <c r="BT215" s="136">
        <f t="shared" si="79"/>
        <v>0</v>
      </c>
      <c r="BU215" s="136">
        <f t="shared" si="80"/>
        <v>0</v>
      </c>
      <c r="BV215" s="136">
        <f t="shared" si="81"/>
        <v>0</v>
      </c>
      <c r="BW215" s="136">
        <f t="shared" si="82"/>
        <v>0</v>
      </c>
      <c r="BX215" s="136">
        <f t="shared" si="83"/>
        <v>0</v>
      </c>
      <c r="BY215" s="136">
        <f t="shared" si="85"/>
        <v>5</v>
      </c>
    </row>
    <row r="216" spans="53:78" x14ac:dyDescent="0.25">
      <c r="BA216" s="138">
        <f>B17</f>
        <v>3</v>
      </c>
      <c r="BB216" s="731" t="str">
        <f t="shared" si="86"/>
        <v>Students</v>
      </c>
      <c r="BC216" s="732"/>
      <c r="BD216" s="136">
        <f t="shared" si="63"/>
        <v>2</v>
      </c>
      <c r="BE216" s="136">
        <f t="shared" si="66"/>
        <v>6</v>
      </c>
      <c r="BF216" s="136">
        <f t="shared" si="67"/>
        <v>8</v>
      </c>
      <c r="BG216" s="136">
        <f t="shared" si="68"/>
        <v>0</v>
      </c>
      <c r="BH216" s="136">
        <f t="shared" si="69"/>
        <v>0</v>
      </c>
      <c r="BI216" s="136">
        <f t="shared" si="70"/>
        <v>0</v>
      </c>
      <c r="BJ216" s="136">
        <f t="shared" si="71"/>
        <v>16</v>
      </c>
      <c r="BK216" s="136">
        <f t="shared" si="64"/>
        <v>1</v>
      </c>
      <c r="BL216" s="136">
        <f t="shared" si="72"/>
        <v>3</v>
      </c>
      <c r="BM216" s="136">
        <f t="shared" si="73"/>
        <v>6</v>
      </c>
      <c r="BN216" s="136">
        <f t="shared" si="74"/>
        <v>1</v>
      </c>
      <c r="BO216" s="136">
        <f t="shared" si="75"/>
        <v>0</v>
      </c>
      <c r="BP216" s="136">
        <f t="shared" si="76"/>
        <v>0</v>
      </c>
      <c r="BQ216" s="136">
        <f t="shared" si="77"/>
        <v>11</v>
      </c>
      <c r="BR216" s="136">
        <f t="shared" si="65"/>
        <v>0</v>
      </c>
      <c r="BS216" s="136">
        <f t="shared" si="78"/>
        <v>0</v>
      </c>
      <c r="BT216" s="136">
        <f t="shared" si="79"/>
        <v>0</v>
      </c>
      <c r="BU216" s="136">
        <f t="shared" si="80"/>
        <v>0</v>
      </c>
      <c r="BV216" s="136">
        <f t="shared" si="81"/>
        <v>0</v>
      </c>
      <c r="BW216" s="136">
        <f t="shared" si="82"/>
        <v>0</v>
      </c>
      <c r="BX216" s="136">
        <f t="shared" si="83"/>
        <v>0</v>
      </c>
      <c r="BY216" s="136">
        <f t="shared" si="85"/>
        <v>27</v>
      </c>
    </row>
    <row r="217" spans="53:78" x14ac:dyDescent="0.25">
      <c r="BA217" s="485">
        <f t="shared" ref="BA217:BA218" si="87">B18</f>
        <v>4</v>
      </c>
      <c r="BB217" s="136" t="str">
        <f t="shared" si="86"/>
        <v>Unemployed Persons</v>
      </c>
      <c r="BC217" s="136"/>
      <c r="BD217" s="136">
        <f t="shared" si="63"/>
        <v>0</v>
      </c>
      <c r="BE217" s="136">
        <f t="shared" si="66"/>
        <v>0</v>
      </c>
      <c r="BF217" s="136">
        <f t="shared" si="67"/>
        <v>18</v>
      </c>
      <c r="BG217" s="136">
        <f t="shared" si="68"/>
        <v>28</v>
      </c>
      <c r="BH217" s="136">
        <f t="shared" si="69"/>
        <v>26</v>
      </c>
      <c r="BI217" s="136">
        <f t="shared" si="70"/>
        <v>9</v>
      </c>
      <c r="BJ217" s="136">
        <f t="shared" si="71"/>
        <v>81</v>
      </c>
      <c r="BK217" s="136">
        <f t="shared" si="64"/>
        <v>0</v>
      </c>
      <c r="BL217" s="136">
        <f t="shared" si="72"/>
        <v>0</v>
      </c>
      <c r="BM217" s="136">
        <f t="shared" si="73"/>
        <v>1</v>
      </c>
      <c r="BN217" s="136">
        <f t="shared" si="74"/>
        <v>1</v>
      </c>
      <c r="BO217" s="136">
        <f t="shared" si="75"/>
        <v>0</v>
      </c>
      <c r="BP217" s="136">
        <f t="shared" si="76"/>
        <v>1</v>
      </c>
      <c r="BQ217" s="136">
        <f t="shared" si="77"/>
        <v>3</v>
      </c>
      <c r="BR217" s="136">
        <f t="shared" si="65"/>
        <v>0</v>
      </c>
      <c r="BS217" s="136">
        <f t="shared" si="78"/>
        <v>0</v>
      </c>
      <c r="BT217" s="136">
        <f t="shared" si="79"/>
        <v>0</v>
      </c>
      <c r="BU217" s="136">
        <f t="shared" si="80"/>
        <v>0</v>
      </c>
      <c r="BV217" s="136">
        <f t="shared" si="81"/>
        <v>0</v>
      </c>
      <c r="BW217" s="136">
        <f t="shared" si="82"/>
        <v>0</v>
      </c>
      <c r="BX217" s="136">
        <f t="shared" si="83"/>
        <v>0</v>
      </c>
      <c r="BY217" s="136">
        <f t="shared" si="85"/>
        <v>84</v>
      </c>
    </row>
    <row r="218" spans="53:78" ht="25.5" customHeight="1" x14ac:dyDescent="0.25">
      <c r="BA218" s="485">
        <f t="shared" si="87"/>
        <v>5</v>
      </c>
      <c r="BB218" s="673" t="str">
        <f t="shared" si="86"/>
        <v>Self-employed Persons (Total) 
(sum of 5.1 &amp; 5.2)</v>
      </c>
      <c r="BC218" s="674"/>
      <c r="BD218" s="136">
        <f t="shared" si="63"/>
        <v>0</v>
      </c>
      <c r="BE218" s="136">
        <f t="shared" si="66"/>
        <v>0</v>
      </c>
      <c r="BF218" s="136">
        <f t="shared" si="67"/>
        <v>6</v>
      </c>
      <c r="BG218" s="136">
        <f t="shared" si="68"/>
        <v>0</v>
      </c>
      <c r="BH218" s="136">
        <f t="shared" si="69"/>
        <v>15</v>
      </c>
      <c r="BI218" s="136">
        <f t="shared" si="70"/>
        <v>0</v>
      </c>
      <c r="BJ218" s="136">
        <f t="shared" si="71"/>
        <v>21</v>
      </c>
      <c r="BK218" s="136">
        <f t="shared" si="64"/>
        <v>0</v>
      </c>
      <c r="BL218" s="136">
        <f t="shared" si="72"/>
        <v>0</v>
      </c>
      <c r="BM218" s="136">
        <f t="shared" si="73"/>
        <v>0</v>
      </c>
      <c r="BN218" s="136">
        <f t="shared" si="74"/>
        <v>0</v>
      </c>
      <c r="BO218" s="136">
        <f t="shared" si="75"/>
        <v>1</v>
      </c>
      <c r="BP218" s="136">
        <f t="shared" si="76"/>
        <v>0</v>
      </c>
      <c r="BQ218" s="136">
        <f t="shared" si="77"/>
        <v>1</v>
      </c>
      <c r="BR218" s="136">
        <f t="shared" si="65"/>
        <v>0</v>
      </c>
      <c r="BS218" s="136">
        <f t="shared" si="78"/>
        <v>0</v>
      </c>
      <c r="BT218" s="136">
        <f t="shared" si="79"/>
        <v>0</v>
      </c>
      <c r="BU218" s="136">
        <f t="shared" si="80"/>
        <v>0</v>
      </c>
      <c r="BV218" s="136">
        <f t="shared" si="81"/>
        <v>0</v>
      </c>
      <c r="BW218" s="136">
        <f t="shared" si="82"/>
        <v>0</v>
      </c>
      <c r="BX218" s="136">
        <f t="shared" si="83"/>
        <v>0</v>
      </c>
      <c r="BY218" s="136">
        <f t="shared" si="85"/>
        <v>22</v>
      </c>
    </row>
    <row r="219" spans="53:78" ht="29.25" customHeight="1" x14ac:dyDescent="0.25">
      <c r="BA219" s="485"/>
      <c r="BB219" s="673" t="str">
        <f t="shared" si="86"/>
        <v>5.1 Business (Total) (sum of 5.1.1 to 5.1.3)</v>
      </c>
      <c r="BC219" s="674"/>
      <c r="BD219" s="136">
        <f t="shared" si="63"/>
        <v>0</v>
      </c>
      <c r="BE219" s="136">
        <f t="shared" si="66"/>
        <v>0</v>
      </c>
      <c r="BF219" s="136">
        <f t="shared" si="67"/>
        <v>2</v>
      </c>
      <c r="BG219" s="136">
        <f t="shared" si="68"/>
        <v>0</v>
      </c>
      <c r="BH219" s="136">
        <f t="shared" si="69"/>
        <v>10</v>
      </c>
      <c r="BI219" s="136">
        <f t="shared" si="70"/>
        <v>0</v>
      </c>
      <c r="BJ219" s="136">
        <f t="shared" si="71"/>
        <v>12</v>
      </c>
      <c r="BK219" s="136">
        <f t="shared" si="64"/>
        <v>0</v>
      </c>
      <c r="BL219" s="136">
        <f t="shared" si="72"/>
        <v>0</v>
      </c>
      <c r="BM219" s="136">
        <f t="shared" si="73"/>
        <v>0</v>
      </c>
      <c r="BN219" s="136">
        <f t="shared" si="74"/>
        <v>0</v>
      </c>
      <c r="BO219" s="136">
        <f t="shared" si="75"/>
        <v>1</v>
      </c>
      <c r="BP219" s="136">
        <f t="shared" si="76"/>
        <v>0</v>
      </c>
      <c r="BQ219" s="136">
        <f t="shared" si="77"/>
        <v>1</v>
      </c>
      <c r="BR219" s="136">
        <f t="shared" si="65"/>
        <v>0</v>
      </c>
      <c r="BS219" s="136">
        <f t="shared" si="78"/>
        <v>0</v>
      </c>
      <c r="BT219" s="136">
        <f t="shared" si="79"/>
        <v>0</v>
      </c>
      <c r="BU219" s="136">
        <f t="shared" si="80"/>
        <v>0</v>
      </c>
      <c r="BV219" s="136">
        <f t="shared" si="81"/>
        <v>0</v>
      </c>
      <c r="BW219" s="136">
        <f t="shared" si="82"/>
        <v>0</v>
      </c>
      <c r="BX219" s="136">
        <f t="shared" si="83"/>
        <v>0</v>
      </c>
      <c r="BY219" s="136">
        <f t="shared" si="85"/>
        <v>13</v>
      </c>
    </row>
    <row r="220" spans="53:78" x14ac:dyDescent="0.25">
      <c r="BA220" s="485"/>
      <c r="BB220" s="731" t="str">
        <f t="shared" si="86"/>
        <v>5.1.1 Vendor</v>
      </c>
      <c r="BC220" s="732"/>
      <c r="BD220" s="136">
        <f t="shared" si="63"/>
        <v>0</v>
      </c>
      <c r="BE220" s="136">
        <f t="shared" si="66"/>
        <v>0</v>
      </c>
      <c r="BF220" s="136">
        <f t="shared" si="67"/>
        <v>0</v>
      </c>
      <c r="BG220" s="136">
        <f t="shared" si="68"/>
        <v>0</v>
      </c>
      <c r="BH220" s="136">
        <f t="shared" si="69"/>
        <v>3</v>
      </c>
      <c r="BI220" s="136">
        <f t="shared" si="70"/>
        <v>0</v>
      </c>
      <c r="BJ220" s="136">
        <f t="shared" si="71"/>
        <v>3</v>
      </c>
      <c r="BK220" s="136">
        <f t="shared" si="64"/>
        <v>0</v>
      </c>
      <c r="BL220" s="136">
        <f t="shared" si="72"/>
        <v>0</v>
      </c>
      <c r="BM220" s="136">
        <f t="shared" si="73"/>
        <v>0</v>
      </c>
      <c r="BN220" s="136">
        <f t="shared" si="74"/>
        <v>0</v>
      </c>
      <c r="BO220" s="136">
        <f t="shared" si="75"/>
        <v>1</v>
      </c>
      <c r="BP220" s="136">
        <f t="shared" si="76"/>
        <v>0</v>
      </c>
      <c r="BQ220" s="136">
        <f t="shared" si="77"/>
        <v>1</v>
      </c>
      <c r="BR220" s="136">
        <f t="shared" si="65"/>
        <v>0</v>
      </c>
      <c r="BS220" s="136">
        <f t="shared" si="78"/>
        <v>0</v>
      </c>
      <c r="BT220" s="136">
        <f t="shared" si="79"/>
        <v>0</v>
      </c>
      <c r="BU220" s="136">
        <f t="shared" si="80"/>
        <v>0</v>
      </c>
      <c r="BV220" s="136">
        <f t="shared" si="81"/>
        <v>0</v>
      </c>
      <c r="BW220" s="136">
        <f t="shared" si="82"/>
        <v>0</v>
      </c>
      <c r="BX220" s="136">
        <f t="shared" si="83"/>
        <v>0</v>
      </c>
      <c r="BY220" s="136">
        <f t="shared" si="85"/>
        <v>4</v>
      </c>
    </row>
    <row r="221" spans="53:78" x14ac:dyDescent="0.25">
      <c r="BA221" s="485"/>
      <c r="BB221" s="731" t="str">
        <f t="shared" si="86"/>
        <v>5.1.2 Tradesmen</v>
      </c>
      <c r="BC221" s="732"/>
      <c r="BD221" s="136">
        <f t="shared" si="63"/>
        <v>0</v>
      </c>
      <c r="BE221" s="136">
        <f t="shared" si="66"/>
        <v>0</v>
      </c>
      <c r="BF221" s="136">
        <f t="shared" si="67"/>
        <v>0</v>
      </c>
      <c r="BG221" s="136">
        <f t="shared" si="68"/>
        <v>0</v>
      </c>
      <c r="BH221" s="136">
        <f t="shared" si="69"/>
        <v>4</v>
      </c>
      <c r="BI221" s="136">
        <f t="shared" si="70"/>
        <v>0</v>
      </c>
      <c r="BJ221" s="136">
        <f t="shared" si="71"/>
        <v>4</v>
      </c>
      <c r="BK221" s="136">
        <f t="shared" si="64"/>
        <v>0</v>
      </c>
      <c r="BL221" s="136">
        <f t="shared" si="72"/>
        <v>0</v>
      </c>
      <c r="BM221" s="136">
        <f t="shared" si="73"/>
        <v>0</v>
      </c>
      <c r="BN221" s="136">
        <f t="shared" si="74"/>
        <v>0</v>
      </c>
      <c r="BO221" s="136">
        <f t="shared" si="75"/>
        <v>0</v>
      </c>
      <c r="BP221" s="136">
        <f t="shared" si="76"/>
        <v>0</v>
      </c>
      <c r="BQ221" s="136">
        <f t="shared" si="77"/>
        <v>0</v>
      </c>
      <c r="BR221" s="136">
        <f t="shared" si="65"/>
        <v>0</v>
      </c>
      <c r="BS221" s="136">
        <f t="shared" si="78"/>
        <v>0</v>
      </c>
      <c r="BT221" s="136">
        <f t="shared" si="79"/>
        <v>0</v>
      </c>
      <c r="BU221" s="136">
        <f t="shared" si="80"/>
        <v>0</v>
      </c>
      <c r="BV221" s="136">
        <f t="shared" si="81"/>
        <v>0</v>
      </c>
      <c r="BW221" s="136">
        <f t="shared" si="82"/>
        <v>0</v>
      </c>
      <c r="BX221" s="136">
        <f t="shared" si="83"/>
        <v>0</v>
      </c>
      <c r="BY221" s="136">
        <f t="shared" si="85"/>
        <v>4</v>
      </c>
    </row>
    <row r="222" spans="53:78" x14ac:dyDescent="0.25">
      <c r="BA222" s="485"/>
      <c r="BB222" s="731" t="str">
        <f t="shared" si="86"/>
        <v>5.1.3 Other Business</v>
      </c>
      <c r="BC222" s="732"/>
      <c r="BD222" s="136">
        <f t="shared" si="63"/>
        <v>0</v>
      </c>
      <c r="BE222" s="136">
        <f t="shared" si="66"/>
        <v>0</v>
      </c>
      <c r="BF222" s="136">
        <f t="shared" si="67"/>
        <v>2</v>
      </c>
      <c r="BG222" s="136">
        <f t="shared" si="68"/>
        <v>0</v>
      </c>
      <c r="BH222" s="136">
        <f t="shared" si="69"/>
        <v>3</v>
      </c>
      <c r="BI222" s="136">
        <f t="shared" si="70"/>
        <v>0</v>
      </c>
      <c r="BJ222" s="136">
        <f t="shared" si="71"/>
        <v>5</v>
      </c>
      <c r="BK222" s="136">
        <f t="shared" si="64"/>
        <v>0</v>
      </c>
      <c r="BL222" s="136">
        <f t="shared" si="72"/>
        <v>0</v>
      </c>
      <c r="BM222" s="136">
        <f t="shared" si="73"/>
        <v>0</v>
      </c>
      <c r="BN222" s="136">
        <f t="shared" si="74"/>
        <v>0</v>
      </c>
      <c r="BO222" s="136">
        <f t="shared" si="75"/>
        <v>0</v>
      </c>
      <c r="BP222" s="136">
        <f t="shared" si="76"/>
        <v>0</v>
      </c>
      <c r="BQ222" s="136">
        <f t="shared" si="77"/>
        <v>0</v>
      </c>
      <c r="BR222" s="136">
        <f t="shared" si="65"/>
        <v>0</v>
      </c>
      <c r="BS222" s="136">
        <f t="shared" si="78"/>
        <v>0</v>
      </c>
      <c r="BT222" s="136">
        <f t="shared" si="79"/>
        <v>0</v>
      </c>
      <c r="BU222" s="136">
        <f t="shared" si="80"/>
        <v>0</v>
      </c>
      <c r="BV222" s="136">
        <f t="shared" si="81"/>
        <v>0</v>
      </c>
      <c r="BW222" s="136">
        <f t="shared" si="82"/>
        <v>0</v>
      </c>
      <c r="BX222" s="136">
        <f t="shared" si="83"/>
        <v>0</v>
      </c>
      <c r="BY222" s="136">
        <f t="shared" si="85"/>
        <v>5</v>
      </c>
    </row>
    <row r="223" spans="53:78" x14ac:dyDescent="0.25">
      <c r="BA223" s="485"/>
      <c r="BB223" s="731" t="str">
        <f t="shared" ref="BB223" si="88">C24</f>
        <v>5.2 Other Self-employed Persons</v>
      </c>
      <c r="BC223" s="732"/>
      <c r="BD223" s="136">
        <f t="shared" si="63"/>
        <v>0</v>
      </c>
      <c r="BE223" s="136">
        <f t="shared" si="66"/>
        <v>0</v>
      </c>
      <c r="BF223" s="136">
        <f t="shared" si="67"/>
        <v>4</v>
      </c>
      <c r="BG223" s="136">
        <f t="shared" si="68"/>
        <v>0</v>
      </c>
      <c r="BH223" s="136">
        <f t="shared" si="69"/>
        <v>5</v>
      </c>
      <c r="BI223" s="136">
        <f t="shared" si="70"/>
        <v>0</v>
      </c>
      <c r="BJ223" s="136">
        <f t="shared" si="71"/>
        <v>9</v>
      </c>
      <c r="BK223" s="136">
        <f t="shared" si="64"/>
        <v>0</v>
      </c>
      <c r="BL223" s="136">
        <f t="shared" si="72"/>
        <v>0</v>
      </c>
      <c r="BM223" s="136">
        <f t="shared" si="73"/>
        <v>0</v>
      </c>
      <c r="BN223" s="136">
        <f t="shared" si="74"/>
        <v>0</v>
      </c>
      <c r="BO223" s="136">
        <f t="shared" si="75"/>
        <v>0</v>
      </c>
      <c r="BP223" s="136">
        <f t="shared" si="76"/>
        <v>0</v>
      </c>
      <c r="BQ223" s="136">
        <f t="shared" si="77"/>
        <v>0</v>
      </c>
      <c r="BR223" s="136">
        <f t="shared" si="65"/>
        <v>0</v>
      </c>
      <c r="BS223" s="136">
        <f t="shared" si="78"/>
        <v>0</v>
      </c>
      <c r="BT223" s="136">
        <f t="shared" si="79"/>
        <v>0</v>
      </c>
      <c r="BU223" s="136">
        <f t="shared" si="80"/>
        <v>0</v>
      </c>
      <c r="BV223" s="136">
        <f t="shared" si="81"/>
        <v>0</v>
      </c>
      <c r="BW223" s="136">
        <f t="shared" si="82"/>
        <v>0</v>
      </c>
      <c r="BX223" s="136">
        <f t="shared" si="83"/>
        <v>0</v>
      </c>
      <c r="BY223" s="136">
        <f t="shared" si="85"/>
        <v>9</v>
      </c>
    </row>
    <row r="224" spans="53:78" ht="24" customHeight="1" x14ac:dyDescent="0.25">
      <c r="BA224" s="485">
        <f>B25</f>
        <v>6</v>
      </c>
      <c r="BB224" s="673" t="str">
        <f>C25</f>
        <v>Persons engaged in Farming Sector (Total) (sum of 6.1 &amp; 6.2)</v>
      </c>
      <c r="BC224" s="674"/>
      <c r="BD224" s="136">
        <f t="shared" ref="BD224:BY224" si="89">E25</f>
        <v>0</v>
      </c>
      <c r="BE224" s="136">
        <f t="shared" si="89"/>
        <v>0</v>
      </c>
      <c r="BF224" s="136">
        <f t="shared" si="89"/>
        <v>0</v>
      </c>
      <c r="BG224" s="136">
        <f t="shared" si="89"/>
        <v>1</v>
      </c>
      <c r="BH224" s="136">
        <f t="shared" si="89"/>
        <v>1</v>
      </c>
      <c r="BI224" s="136">
        <f t="shared" si="89"/>
        <v>0</v>
      </c>
      <c r="BJ224" s="136">
        <f t="shared" si="89"/>
        <v>2</v>
      </c>
      <c r="BK224" s="136">
        <f t="shared" si="89"/>
        <v>0</v>
      </c>
      <c r="BL224" s="136">
        <f t="shared" si="89"/>
        <v>0</v>
      </c>
      <c r="BM224" s="136">
        <f t="shared" si="89"/>
        <v>0</v>
      </c>
      <c r="BN224" s="136">
        <f t="shared" si="89"/>
        <v>0</v>
      </c>
      <c r="BO224" s="136">
        <f t="shared" si="89"/>
        <v>0</v>
      </c>
      <c r="BP224" s="136">
        <f t="shared" si="89"/>
        <v>0</v>
      </c>
      <c r="BQ224" s="136">
        <f t="shared" si="89"/>
        <v>0</v>
      </c>
      <c r="BR224" s="136">
        <f t="shared" si="89"/>
        <v>0</v>
      </c>
      <c r="BS224" s="136">
        <f t="shared" si="89"/>
        <v>0</v>
      </c>
      <c r="BT224" s="136">
        <f t="shared" si="89"/>
        <v>0</v>
      </c>
      <c r="BU224" s="136">
        <f t="shared" si="89"/>
        <v>0</v>
      </c>
      <c r="BV224" s="136">
        <f t="shared" si="89"/>
        <v>0</v>
      </c>
      <c r="BW224" s="136">
        <f t="shared" si="89"/>
        <v>0</v>
      </c>
      <c r="BX224" s="136">
        <f t="shared" si="89"/>
        <v>0</v>
      </c>
      <c r="BY224" s="136">
        <f t="shared" si="89"/>
        <v>2</v>
      </c>
    </row>
    <row r="225" spans="53:77" ht="30" customHeight="1" x14ac:dyDescent="0.25">
      <c r="BA225" s="138"/>
      <c r="BB225" s="673" t="str">
        <f t="shared" ref="BB225:BB232" si="90">C26</f>
        <v>6.1 Farmers/Cultivators (Sub-Total) (sum of 6.1.1 &amp; 6.1.2)</v>
      </c>
      <c r="BC225" s="674"/>
      <c r="BD225" s="136">
        <f t="shared" ref="BD225:BD232" si="91">E26</f>
        <v>0</v>
      </c>
      <c r="BE225" s="136">
        <f t="shared" ref="BE225:BE237" si="92">F26</f>
        <v>0</v>
      </c>
      <c r="BF225" s="136">
        <f t="shared" ref="BF225:BF237" si="93">G26</f>
        <v>0</v>
      </c>
      <c r="BG225" s="136">
        <f t="shared" ref="BG225:BG237" si="94">H26</f>
        <v>0</v>
      </c>
      <c r="BH225" s="136">
        <f t="shared" ref="BH225:BH237" si="95">I26</f>
        <v>0</v>
      </c>
      <c r="BI225" s="136">
        <f t="shared" ref="BI225:BI237" si="96">J26</f>
        <v>0</v>
      </c>
      <c r="BJ225" s="136">
        <f t="shared" ref="BJ225:BJ237" si="97">K26</f>
        <v>0</v>
      </c>
      <c r="BK225" s="136">
        <f t="shared" ref="BK225:BK237" si="98">L26</f>
        <v>0</v>
      </c>
      <c r="BL225" s="136">
        <f t="shared" ref="BL225:BL237" si="99">M26</f>
        <v>0</v>
      </c>
      <c r="BM225" s="136">
        <f t="shared" ref="BM225:BM237" si="100">N26</f>
        <v>0</v>
      </c>
      <c r="BN225" s="136">
        <f t="shared" ref="BN225:BN237" si="101">O26</f>
        <v>0</v>
      </c>
      <c r="BO225" s="136">
        <f t="shared" ref="BO225:BO237" si="102">P26</f>
        <v>0</v>
      </c>
      <c r="BP225" s="136">
        <f t="shared" ref="BP225:BP237" si="103">Q26</f>
        <v>0</v>
      </c>
      <c r="BQ225" s="136">
        <f t="shared" ref="BQ225:BQ237" si="104">R26</f>
        <v>0</v>
      </c>
      <c r="BR225" s="136">
        <f t="shared" ref="BR225:BR237" si="105">S26</f>
        <v>0</v>
      </c>
      <c r="BS225" s="136">
        <f t="shared" ref="BS225:BS237" si="106">T26</f>
        <v>0</v>
      </c>
      <c r="BT225" s="136">
        <f t="shared" ref="BT225:BT237" si="107">U26</f>
        <v>0</v>
      </c>
      <c r="BU225" s="136">
        <f t="shared" ref="BU225:BU237" si="108">V26</f>
        <v>0</v>
      </c>
      <c r="BV225" s="136">
        <f t="shared" ref="BV225:BV237" si="109">W26</f>
        <v>0</v>
      </c>
      <c r="BW225" s="136">
        <f t="shared" ref="BW225:BW237" si="110">X26</f>
        <v>0</v>
      </c>
      <c r="BX225" s="136">
        <f t="shared" ref="BX225:BX237" si="111">Y26</f>
        <v>0</v>
      </c>
      <c r="BY225" s="136">
        <f t="shared" ref="BY225:BY237" si="112">Z26</f>
        <v>0</v>
      </c>
    </row>
    <row r="226" spans="53:77" ht="45" customHeight="1" x14ac:dyDescent="0.25">
      <c r="BA226" s="138"/>
      <c r="BB226" s="673" t="str">
        <f t="shared" si="90"/>
        <v>6.1.1 who cultivate their own land with or without assistance of agricultural labourers</v>
      </c>
      <c r="BC226" s="674"/>
      <c r="BD226" s="136">
        <f t="shared" si="91"/>
        <v>0</v>
      </c>
      <c r="BE226" s="136">
        <f t="shared" si="92"/>
        <v>0</v>
      </c>
      <c r="BF226" s="136">
        <f t="shared" si="93"/>
        <v>0</v>
      </c>
      <c r="BG226" s="136">
        <f t="shared" si="94"/>
        <v>0</v>
      </c>
      <c r="BH226" s="136">
        <f t="shared" si="95"/>
        <v>0</v>
      </c>
      <c r="BI226" s="136">
        <f t="shared" si="96"/>
        <v>0</v>
      </c>
      <c r="BJ226" s="136">
        <f t="shared" si="97"/>
        <v>0</v>
      </c>
      <c r="BK226" s="136">
        <f t="shared" si="98"/>
        <v>0</v>
      </c>
      <c r="BL226" s="136">
        <f t="shared" si="99"/>
        <v>0</v>
      </c>
      <c r="BM226" s="136">
        <f t="shared" si="100"/>
        <v>0</v>
      </c>
      <c r="BN226" s="136">
        <f t="shared" si="101"/>
        <v>0</v>
      </c>
      <c r="BO226" s="136">
        <f t="shared" si="102"/>
        <v>0</v>
      </c>
      <c r="BP226" s="136">
        <f t="shared" si="103"/>
        <v>0</v>
      </c>
      <c r="BQ226" s="136">
        <f t="shared" si="104"/>
        <v>0</v>
      </c>
      <c r="BR226" s="136">
        <f t="shared" si="105"/>
        <v>0</v>
      </c>
      <c r="BS226" s="136">
        <f t="shared" si="106"/>
        <v>0</v>
      </c>
      <c r="BT226" s="136">
        <f t="shared" si="107"/>
        <v>0</v>
      </c>
      <c r="BU226" s="136">
        <f t="shared" si="108"/>
        <v>0</v>
      </c>
      <c r="BV226" s="136">
        <f t="shared" si="109"/>
        <v>0</v>
      </c>
      <c r="BW226" s="136">
        <f t="shared" si="110"/>
        <v>0</v>
      </c>
      <c r="BX226" s="136">
        <f t="shared" si="111"/>
        <v>0</v>
      </c>
      <c r="BY226" s="136">
        <f t="shared" si="112"/>
        <v>0</v>
      </c>
    </row>
    <row r="227" spans="53:77" ht="69.95" customHeight="1" x14ac:dyDescent="0.25">
      <c r="BA227" s="138"/>
      <c r="BB227" s="673" t="str">
        <f t="shared" si="90"/>
        <v>6.1.2 who cultivate on lease land/work on lease/on other's land (known by different nomenclature) with or without assistance of agricultural labourers</v>
      </c>
      <c r="BC227" s="674"/>
      <c r="BD227" s="136">
        <f t="shared" si="91"/>
        <v>0</v>
      </c>
      <c r="BE227" s="136">
        <f t="shared" si="92"/>
        <v>0</v>
      </c>
      <c r="BF227" s="136">
        <f t="shared" si="93"/>
        <v>0</v>
      </c>
      <c r="BG227" s="136">
        <f t="shared" si="94"/>
        <v>0</v>
      </c>
      <c r="BH227" s="136">
        <f t="shared" si="95"/>
        <v>0</v>
      </c>
      <c r="BI227" s="136">
        <f t="shared" si="96"/>
        <v>0</v>
      </c>
      <c r="BJ227" s="136">
        <f t="shared" si="97"/>
        <v>0</v>
      </c>
      <c r="BK227" s="136">
        <f t="shared" si="98"/>
        <v>0</v>
      </c>
      <c r="BL227" s="136">
        <f t="shared" si="99"/>
        <v>0</v>
      </c>
      <c r="BM227" s="136">
        <f t="shared" si="100"/>
        <v>0</v>
      </c>
      <c r="BN227" s="136">
        <f t="shared" si="101"/>
        <v>0</v>
      </c>
      <c r="BO227" s="136">
        <f t="shared" si="102"/>
        <v>0</v>
      </c>
      <c r="BP227" s="136">
        <f t="shared" si="103"/>
        <v>0</v>
      </c>
      <c r="BQ227" s="136">
        <f t="shared" si="104"/>
        <v>0</v>
      </c>
      <c r="BR227" s="136">
        <f t="shared" si="105"/>
        <v>0</v>
      </c>
      <c r="BS227" s="136">
        <f t="shared" si="106"/>
        <v>0</v>
      </c>
      <c r="BT227" s="136">
        <f t="shared" si="107"/>
        <v>0</v>
      </c>
      <c r="BU227" s="136">
        <f t="shared" si="108"/>
        <v>0</v>
      </c>
      <c r="BV227" s="136">
        <f t="shared" si="109"/>
        <v>0</v>
      </c>
      <c r="BW227" s="136">
        <f t="shared" si="110"/>
        <v>0</v>
      </c>
      <c r="BX227" s="136">
        <f t="shared" si="111"/>
        <v>0</v>
      </c>
      <c r="BY227" s="136">
        <f t="shared" si="112"/>
        <v>0</v>
      </c>
    </row>
    <row r="228" spans="53:77" x14ac:dyDescent="0.25">
      <c r="BA228" s="138"/>
      <c r="BB228" s="731" t="str">
        <f t="shared" si="90"/>
        <v>6.2 Agricultural labourers</v>
      </c>
      <c r="BC228" s="732"/>
      <c r="BD228" s="136">
        <f t="shared" si="91"/>
        <v>0</v>
      </c>
      <c r="BE228" s="136">
        <f t="shared" si="92"/>
        <v>0</v>
      </c>
      <c r="BF228" s="136">
        <f t="shared" si="93"/>
        <v>0</v>
      </c>
      <c r="BG228" s="136">
        <f t="shared" si="94"/>
        <v>1</v>
      </c>
      <c r="BH228" s="136">
        <f t="shared" si="95"/>
        <v>1</v>
      </c>
      <c r="BI228" s="136">
        <f t="shared" si="96"/>
        <v>0</v>
      </c>
      <c r="BJ228" s="136">
        <f t="shared" si="97"/>
        <v>2</v>
      </c>
      <c r="BK228" s="136">
        <f t="shared" si="98"/>
        <v>0</v>
      </c>
      <c r="BL228" s="136">
        <f t="shared" si="99"/>
        <v>0</v>
      </c>
      <c r="BM228" s="136">
        <f t="shared" si="100"/>
        <v>0</v>
      </c>
      <c r="BN228" s="136">
        <f t="shared" si="101"/>
        <v>0</v>
      </c>
      <c r="BO228" s="136">
        <f t="shared" si="102"/>
        <v>0</v>
      </c>
      <c r="BP228" s="136">
        <f t="shared" si="103"/>
        <v>0</v>
      </c>
      <c r="BQ228" s="136">
        <f t="shared" si="104"/>
        <v>0</v>
      </c>
      <c r="BR228" s="136">
        <f t="shared" si="105"/>
        <v>0</v>
      </c>
      <c r="BS228" s="136">
        <f t="shared" si="106"/>
        <v>0</v>
      </c>
      <c r="BT228" s="136">
        <f t="shared" si="107"/>
        <v>0</v>
      </c>
      <c r="BU228" s="136">
        <f t="shared" si="108"/>
        <v>0</v>
      </c>
      <c r="BV228" s="136">
        <f t="shared" si="109"/>
        <v>0</v>
      </c>
      <c r="BW228" s="136">
        <f t="shared" si="110"/>
        <v>0</v>
      </c>
      <c r="BX228" s="136">
        <f t="shared" si="111"/>
        <v>0</v>
      </c>
      <c r="BY228" s="136">
        <f t="shared" si="112"/>
        <v>2</v>
      </c>
    </row>
    <row r="229" spans="53:77" x14ac:dyDescent="0.25">
      <c r="BA229" s="138">
        <f t="shared" ref="BA229:BA232" si="113">B30</f>
        <v>7</v>
      </c>
      <c r="BB229" s="136" t="str">
        <f t="shared" si="90"/>
        <v>Daily Wage Earner</v>
      </c>
      <c r="BC229" s="136"/>
      <c r="BD229" s="136">
        <f t="shared" si="91"/>
        <v>0</v>
      </c>
      <c r="BE229" s="136">
        <f t="shared" si="92"/>
        <v>0</v>
      </c>
      <c r="BF229" s="136">
        <f t="shared" si="93"/>
        <v>7</v>
      </c>
      <c r="BG229" s="136">
        <f t="shared" si="94"/>
        <v>14</v>
      </c>
      <c r="BH229" s="136">
        <f t="shared" si="95"/>
        <v>11</v>
      </c>
      <c r="BI229" s="136">
        <f t="shared" si="96"/>
        <v>1</v>
      </c>
      <c r="BJ229" s="136">
        <f t="shared" si="97"/>
        <v>33</v>
      </c>
      <c r="BK229" s="136">
        <f t="shared" si="98"/>
        <v>0</v>
      </c>
      <c r="BL229" s="136">
        <f t="shared" si="99"/>
        <v>0</v>
      </c>
      <c r="BM229" s="136">
        <f t="shared" si="100"/>
        <v>0</v>
      </c>
      <c r="BN229" s="136">
        <f t="shared" si="101"/>
        <v>0</v>
      </c>
      <c r="BO229" s="136">
        <f t="shared" si="102"/>
        <v>0</v>
      </c>
      <c r="BP229" s="136">
        <f t="shared" si="103"/>
        <v>0</v>
      </c>
      <c r="BQ229" s="136">
        <f t="shared" si="104"/>
        <v>0</v>
      </c>
      <c r="BR229" s="136">
        <f t="shared" si="105"/>
        <v>0</v>
      </c>
      <c r="BS229" s="136">
        <f t="shared" si="106"/>
        <v>0</v>
      </c>
      <c r="BT229" s="136">
        <f t="shared" si="107"/>
        <v>0</v>
      </c>
      <c r="BU229" s="136">
        <f t="shared" si="108"/>
        <v>0</v>
      </c>
      <c r="BV229" s="136">
        <f t="shared" si="109"/>
        <v>0</v>
      </c>
      <c r="BW229" s="136">
        <f t="shared" si="110"/>
        <v>0</v>
      </c>
      <c r="BX229" s="136">
        <f t="shared" si="111"/>
        <v>0</v>
      </c>
      <c r="BY229" s="136">
        <f t="shared" si="112"/>
        <v>33</v>
      </c>
    </row>
    <row r="230" spans="53:77" x14ac:dyDescent="0.25">
      <c r="BA230" s="138">
        <f t="shared" si="113"/>
        <v>8</v>
      </c>
      <c r="BB230" s="136" t="str">
        <f t="shared" si="90"/>
        <v>Retired Persons</v>
      </c>
      <c r="BC230" s="136"/>
      <c r="BD230" s="136">
        <f t="shared" si="91"/>
        <v>0</v>
      </c>
      <c r="BE230" s="136">
        <f t="shared" si="92"/>
        <v>0</v>
      </c>
      <c r="BF230" s="136">
        <f t="shared" si="93"/>
        <v>0</v>
      </c>
      <c r="BG230" s="136">
        <f t="shared" si="94"/>
        <v>0</v>
      </c>
      <c r="BH230" s="136">
        <f t="shared" si="95"/>
        <v>0</v>
      </c>
      <c r="BI230" s="136">
        <f t="shared" si="96"/>
        <v>4</v>
      </c>
      <c r="BJ230" s="136">
        <f t="shared" si="97"/>
        <v>4</v>
      </c>
      <c r="BK230" s="136">
        <f t="shared" si="98"/>
        <v>0</v>
      </c>
      <c r="BL230" s="136">
        <f t="shared" si="99"/>
        <v>0</v>
      </c>
      <c r="BM230" s="136">
        <f t="shared" si="100"/>
        <v>0</v>
      </c>
      <c r="BN230" s="136">
        <f t="shared" si="101"/>
        <v>0</v>
      </c>
      <c r="BO230" s="136">
        <f t="shared" si="102"/>
        <v>0</v>
      </c>
      <c r="BP230" s="136">
        <f t="shared" si="103"/>
        <v>0</v>
      </c>
      <c r="BQ230" s="136">
        <f t="shared" si="104"/>
        <v>0</v>
      </c>
      <c r="BR230" s="136">
        <f t="shared" si="105"/>
        <v>0</v>
      </c>
      <c r="BS230" s="136">
        <f t="shared" si="106"/>
        <v>0</v>
      </c>
      <c r="BT230" s="136">
        <f t="shared" si="107"/>
        <v>0</v>
      </c>
      <c r="BU230" s="136">
        <f t="shared" si="108"/>
        <v>0</v>
      </c>
      <c r="BV230" s="136">
        <f t="shared" si="109"/>
        <v>0</v>
      </c>
      <c r="BW230" s="136">
        <f t="shared" si="110"/>
        <v>0</v>
      </c>
      <c r="BX230" s="136">
        <f t="shared" si="111"/>
        <v>0</v>
      </c>
      <c r="BY230" s="136">
        <f t="shared" si="112"/>
        <v>4</v>
      </c>
    </row>
    <row r="231" spans="53:77" x14ac:dyDescent="0.25">
      <c r="BA231" s="138">
        <f t="shared" si="113"/>
        <v>9</v>
      </c>
      <c r="BB231" s="731" t="str">
        <f t="shared" si="90"/>
        <v>Other Persons</v>
      </c>
      <c r="BC231" s="732"/>
      <c r="BD231" s="136">
        <f t="shared" si="91"/>
        <v>0</v>
      </c>
      <c r="BE231" s="136">
        <f t="shared" si="92"/>
        <v>0</v>
      </c>
      <c r="BF231" s="136">
        <f t="shared" si="93"/>
        <v>0</v>
      </c>
      <c r="BG231" s="136">
        <f t="shared" si="94"/>
        <v>3</v>
      </c>
      <c r="BH231" s="136">
        <f t="shared" si="95"/>
        <v>2</v>
      </c>
      <c r="BI231" s="136">
        <f t="shared" si="96"/>
        <v>0</v>
      </c>
      <c r="BJ231" s="136">
        <f t="shared" si="97"/>
        <v>5</v>
      </c>
      <c r="BK231" s="136">
        <f t="shared" si="98"/>
        <v>0</v>
      </c>
      <c r="BL231" s="136">
        <f t="shared" si="99"/>
        <v>0</v>
      </c>
      <c r="BM231" s="136">
        <f t="shared" si="100"/>
        <v>0</v>
      </c>
      <c r="BN231" s="136">
        <f t="shared" si="101"/>
        <v>0</v>
      </c>
      <c r="BO231" s="136">
        <f t="shared" si="102"/>
        <v>0</v>
      </c>
      <c r="BP231" s="136">
        <f t="shared" si="103"/>
        <v>0</v>
      </c>
      <c r="BQ231" s="136">
        <f t="shared" si="104"/>
        <v>0</v>
      </c>
      <c r="BR231" s="136">
        <f t="shared" si="105"/>
        <v>0</v>
      </c>
      <c r="BS231" s="136">
        <f t="shared" si="106"/>
        <v>0</v>
      </c>
      <c r="BT231" s="136">
        <f t="shared" si="107"/>
        <v>0</v>
      </c>
      <c r="BU231" s="136">
        <f t="shared" si="108"/>
        <v>0</v>
      </c>
      <c r="BV231" s="136">
        <f t="shared" si="109"/>
        <v>0</v>
      </c>
      <c r="BW231" s="136">
        <f t="shared" si="110"/>
        <v>0</v>
      </c>
      <c r="BX231" s="136">
        <f t="shared" si="111"/>
        <v>0</v>
      </c>
      <c r="BY231" s="136">
        <f t="shared" si="112"/>
        <v>5</v>
      </c>
    </row>
    <row r="232" spans="53:77" x14ac:dyDescent="0.25">
      <c r="BA232" s="138">
        <f t="shared" si="113"/>
        <v>10</v>
      </c>
      <c r="BB232" s="136" t="str">
        <f t="shared" si="90"/>
        <v>Total (sum of Sl. 1 to 9)</v>
      </c>
      <c r="BC232" s="136"/>
      <c r="BD232" s="136">
        <f t="shared" si="91"/>
        <v>2</v>
      </c>
      <c r="BE232" s="136">
        <f t="shared" si="92"/>
        <v>6</v>
      </c>
      <c r="BF232" s="136">
        <f t="shared" si="93"/>
        <v>65</v>
      </c>
      <c r="BG232" s="136">
        <f t="shared" si="94"/>
        <v>79</v>
      </c>
      <c r="BH232" s="136">
        <f t="shared" si="95"/>
        <v>81</v>
      </c>
      <c r="BI232" s="136">
        <f t="shared" si="96"/>
        <v>16</v>
      </c>
      <c r="BJ232" s="136">
        <f t="shared" si="97"/>
        <v>249</v>
      </c>
      <c r="BK232" s="136">
        <f t="shared" si="98"/>
        <v>1</v>
      </c>
      <c r="BL232" s="136">
        <f t="shared" si="99"/>
        <v>4</v>
      </c>
      <c r="BM232" s="136">
        <f t="shared" si="100"/>
        <v>19</v>
      </c>
      <c r="BN232" s="136">
        <f t="shared" si="101"/>
        <v>21</v>
      </c>
      <c r="BO232" s="136">
        <f t="shared" si="102"/>
        <v>11</v>
      </c>
      <c r="BP232" s="136">
        <f t="shared" si="103"/>
        <v>16</v>
      </c>
      <c r="BQ232" s="136">
        <f t="shared" si="104"/>
        <v>72</v>
      </c>
      <c r="BR232" s="136">
        <f t="shared" si="105"/>
        <v>0</v>
      </c>
      <c r="BS232" s="136">
        <f t="shared" si="106"/>
        <v>0</v>
      </c>
      <c r="BT232" s="136">
        <f t="shared" si="107"/>
        <v>0</v>
      </c>
      <c r="BU232" s="136">
        <f t="shared" si="108"/>
        <v>0</v>
      </c>
      <c r="BV232" s="136">
        <f t="shared" si="109"/>
        <v>0</v>
      </c>
      <c r="BW232" s="136">
        <f t="shared" si="110"/>
        <v>0</v>
      </c>
      <c r="BX232" s="136">
        <f t="shared" si="111"/>
        <v>0</v>
      </c>
      <c r="BY232" s="136">
        <f t="shared" si="112"/>
        <v>321</v>
      </c>
    </row>
    <row r="233" spans="53:77" ht="24.95" customHeight="1" x14ac:dyDescent="0.25">
      <c r="BA233" s="678" t="str">
        <f>A34</f>
        <v xml:space="preserve"> PROFORMA–XIV VALUES [Sl.–21 (Total)]</v>
      </c>
      <c r="BB233" s="684"/>
      <c r="BC233" s="679"/>
      <c r="BD233" s="136">
        <f>E34</f>
        <v>2</v>
      </c>
      <c r="BE233" s="136">
        <f t="shared" si="92"/>
        <v>6</v>
      </c>
      <c r="BF233" s="136">
        <f t="shared" si="93"/>
        <v>65</v>
      </c>
      <c r="BG233" s="136">
        <f t="shared" si="94"/>
        <v>79</v>
      </c>
      <c r="BH233" s="136">
        <f t="shared" si="95"/>
        <v>81</v>
      </c>
      <c r="BI233" s="136">
        <f t="shared" si="96"/>
        <v>16</v>
      </c>
      <c r="BJ233" s="136">
        <f t="shared" si="97"/>
        <v>249</v>
      </c>
      <c r="BK233" s="136">
        <f t="shared" si="98"/>
        <v>1</v>
      </c>
      <c r="BL233" s="136">
        <f t="shared" si="99"/>
        <v>4</v>
      </c>
      <c r="BM233" s="136">
        <f t="shared" si="100"/>
        <v>19</v>
      </c>
      <c r="BN233" s="136">
        <f t="shared" si="101"/>
        <v>21</v>
      </c>
      <c r="BO233" s="136">
        <f t="shared" si="102"/>
        <v>11</v>
      </c>
      <c r="BP233" s="136">
        <f t="shared" si="103"/>
        <v>16</v>
      </c>
      <c r="BQ233" s="136">
        <f t="shared" si="104"/>
        <v>72</v>
      </c>
      <c r="BR233" s="136">
        <f t="shared" si="105"/>
        <v>0</v>
      </c>
      <c r="BS233" s="136">
        <f t="shared" si="106"/>
        <v>0</v>
      </c>
      <c r="BT233" s="136">
        <f t="shared" si="107"/>
        <v>0</v>
      </c>
      <c r="BU233" s="136">
        <f t="shared" si="108"/>
        <v>0</v>
      </c>
      <c r="BV233" s="136">
        <f t="shared" si="109"/>
        <v>0</v>
      </c>
      <c r="BW233" s="136">
        <f t="shared" si="110"/>
        <v>0</v>
      </c>
      <c r="BX233" s="136">
        <f t="shared" si="111"/>
        <v>0</v>
      </c>
      <c r="BY233" s="136">
        <f t="shared" si="112"/>
        <v>321</v>
      </c>
    </row>
    <row r="234" spans="53:77" ht="24.95" customHeight="1" x14ac:dyDescent="0.25">
      <c r="BA234" s="678" t="str">
        <f>A35</f>
        <v>VALIDATION  WITH PROFORMA–XIV [Sl.–21 (Total)]</v>
      </c>
      <c r="BB234" s="684"/>
      <c r="BC234" s="679"/>
      <c r="BD234" s="136" t="str">
        <f>E35</f>
        <v/>
      </c>
      <c r="BE234" s="136" t="str">
        <f t="shared" si="92"/>
        <v/>
      </c>
      <c r="BF234" s="136" t="str">
        <f t="shared" si="93"/>
        <v/>
      </c>
      <c r="BG234" s="136" t="str">
        <f t="shared" si="94"/>
        <v/>
      </c>
      <c r="BH234" s="136" t="str">
        <f t="shared" si="95"/>
        <v/>
      </c>
      <c r="BI234" s="136" t="str">
        <f t="shared" si="96"/>
        <v/>
      </c>
      <c r="BJ234" s="136" t="str">
        <f t="shared" si="97"/>
        <v/>
      </c>
      <c r="BK234" s="136" t="str">
        <f t="shared" si="98"/>
        <v/>
      </c>
      <c r="BL234" s="136" t="str">
        <f t="shared" si="99"/>
        <v/>
      </c>
      <c r="BM234" s="136" t="str">
        <f t="shared" si="100"/>
        <v/>
      </c>
      <c r="BN234" s="136" t="str">
        <f t="shared" si="101"/>
        <v/>
      </c>
      <c r="BO234" s="136" t="str">
        <f t="shared" si="102"/>
        <v/>
      </c>
      <c r="BP234" s="136" t="str">
        <f t="shared" si="103"/>
        <v/>
      </c>
      <c r="BQ234" s="136" t="str">
        <f t="shared" si="104"/>
        <v/>
      </c>
      <c r="BR234" s="136" t="str">
        <f t="shared" si="105"/>
        <v/>
      </c>
      <c r="BS234" s="136" t="str">
        <f t="shared" si="106"/>
        <v/>
      </c>
      <c r="BT234" s="136" t="str">
        <f t="shared" si="107"/>
        <v/>
      </c>
      <c r="BU234" s="136" t="str">
        <f t="shared" si="108"/>
        <v/>
      </c>
      <c r="BV234" s="136" t="str">
        <f t="shared" si="109"/>
        <v/>
      </c>
      <c r="BW234" s="136" t="str">
        <f t="shared" si="110"/>
        <v/>
      </c>
      <c r="BX234" s="136" t="str">
        <f t="shared" si="111"/>
        <v/>
      </c>
      <c r="BY234" s="136" t="str">
        <f t="shared" si="112"/>
        <v/>
      </c>
    </row>
    <row r="235" spans="53:77" ht="24.95" customHeight="1" x14ac:dyDescent="0.25">
      <c r="BA235" s="618" t="str">
        <f>A36</f>
        <v>SL-5.1.3 ABNORMAL VARIATION IN "OTHER BUSINESS" DATA</v>
      </c>
      <c r="BB235" s="618"/>
      <c r="BC235" s="618"/>
      <c r="BD235" s="310" t="str">
        <f>E36</f>
        <v/>
      </c>
      <c r="BE235" s="310" t="str">
        <f t="shared" si="92"/>
        <v/>
      </c>
      <c r="BF235" s="310" t="str">
        <f t="shared" si="93"/>
        <v>ABVAR</v>
      </c>
      <c r="BG235" s="310" t="str">
        <f t="shared" si="94"/>
        <v/>
      </c>
      <c r="BH235" s="310" t="str">
        <f t="shared" si="95"/>
        <v>ABVAR</v>
      </c>
      <c r="BI235" s="310" t="str">
        <f t="shared" si="96"/>
        <v/>
      </c>
      <c r="BJ235" s="310" t="str">
        <f t="shared" si="97"/>
        <v>ABVAR</v>
      </c>
      <c r="BK235" s="310" t="str">
        <f t="shared" si="98"/>
        <v/>
      </c>
      <c r="BL235" s="310" t="str">
        <f t="shared" si="99"/>
        <v/>
      </c>
      <c r="BM235" s="310" t="str">
        <f t="shared" si="100"/>
        <v/>
      </c>
      <c r="BN235" s="310" t="str">
        <f t="shared" si="101"/>
        <v/>
      </c>
      <c r="BO235" s="310" t="str">
        <f t="shared" si="102"/>
        <v/>
      </c>
      <c r="BP235" s="310" t="str">
        <f t="shared" si="103"/>
        <v/>
      </c>
      <c r="BQ235" s="310" t="str">
        <f t="shared" si="104"/>
        <v/>
      </c>
      <c r="BR235" s="310" t="str">
        <f t="shared" si="105"/>
        <v/>
      </c>
      <c r="BS235" s="310" t="str">
        <f t="shared" si="106"/>
        <v/>
      </c>
      <c r="BT235" s="310" t="str">
        <f t="shared" si="107"/>
        <v/>
      </c>
      <c r="BU235" s="310" t="str">
        <f t="shared" si="108"/>
        <v/>
      </c>
      <c r="BV235" s="310" t="str">
        <f t="shared" si="109"/>
        <v/>
      </c>
      <c r="BW235" s="310" t="str">
        <f t="shared" si="110"/>
        <v/>
      </c>
      <c r="BX235" s="310" t="str">
        <f t="shared" si="111"/>
        <v/>
      </c>
      <c r="BY235" s="310" t="str">
        <f t="shared" si="112"/>
        <v>ABVAR</v>
      </c>
    </row>
    <row r="236" spans="53:77" ht="35.1" customHeight="1" x14ac:dyDescent="0.25">
      <c r="BA236" s="618" t="str">
        <f t="shared" ref="BA236:BA237" si="114">A37</f>
        <v>SL-5.2 ABNORMAL VARIATION IN "OTHER SELF-EMPLOYED PERSONS" DATA</v>
      </c>
      <c r="BB236" s="618"/>
      <c r="BC236" s="618"/>
      <c r="BD236" s="310" t="str">
        <f t="shared" ref="BD236:BD237" si="115">E37</f>
        <v/>
      </c>
      <c r="BE236" s="310" t="str">
        <f t="shared" si="92"/>
        <v/>
      </c>
      <c r="BF236" s="310" t="str">
        <f t="shared" si="93"/>
        <v>ABVAR</v>
      </c>
      <c r="BG236" s="310" t="str">
        <f t="shared" si="94"/>
        <v/>
      </c>
      <c r="BH236" s="310" t="str">
        <f t="shared" si="95"/>
        <v>ABVAR</v>
      </c>
      <c r="BI236" s="310" t="str">
        <f t="shared" si="96"/>
        <v/>
      </c>
      <c r="BJ236" s="310" t="str">
        <f t="shared" si="97"/>
        <v>ABVAR</v>
      </c>
      <c r="BK236" s="310" t="str">
        <f t="shared" si="98"/>
        <v/>
      </c>
      <c r="BL236" s="310" t="str">
        <f t="shared" si="99"/>
        <v/>
      </c>
      <c r="BM236" s="310" t="str">
        <f t="shared" si="100"/>
        <v/>
      </c>
      <c r="BN236" s="310" t="str">
        <f t="shared" si="101"/>
        <v/>
      </c>
      <c r="BO236" s="310" t="str">
        <f t="shared" si="102"/>
        <v/>
      </c>
      <c r="BP236" s="310" t="str">
        <f t="shared" si="103"/>
        <v/>
      </c>
      <c r="BQ236" s="310" t="str">
        <f t="shared" si="104"/>
        <v/>
      </c>
      <c r="BR236" s="310" t="str">
        <f t="shared" si="105"/>
        <v/>
      </c>
      <c r="BS236" s="310" t="str">
        <f t="shared" si="106"/>
        <v/>
      </c>
      <c r="BT236" s="310" t="str">
        <f t="shared" si="107"/>
        <v/>
      </c>
      <c r="BU236" s="310" t="str">
        <f t="shared" si="108"/>
        <v/>
      </c>
      <c r="BV236" s="310" t="str">
        <f t="shared" si="109"/>
        <v/>
      </c>
      <c r="BW236" s="310" t="str">
        <f t="shared" si="110"/>
        <v/>
      </c>
      <c r="BX236" s="310" t="str">
        <f t="shared" si="111"/>
        <v/>
      </c>
      <c r="BY236" s="310" t="str">
        <f t="shared" si="112"/>
        <v>ABVAR</v>
      </c>
    </row>
    <row r="237" spans="53:77" ht="24.95" customHeight="1" x14ac:dyDescent="0.25">
      <c r="BA237" s="618" t="str">
        <f t="shared" si="114"/>
        <v>SL-9 ABNORMAL VARIATION IN "OTHER PERSONS" DATA</v>
      </c>
      <c r="BB237" s="618"/>
      <c r="BC237" s="618"/>
      <c r="BD237" s="310" t="str">
        <f t="shared" si="115"/>
        <v/>
      </c>
      <c r="BE237" s="310" t="str">
        <f t="shared" si="92"/>
        <v/>
      </c>
      <c r="BF237" s="310" t="str">
        <f t="shared" si="93"/>
        <v/>
      </c>
      <c r="BG237" s="310" t="str">
        <f t="shared" si="94"/>
        <v/>
      </c>
      <c r="BH237" s="310" t="str">
        <f t="shared" si="95"/>
        <v/>
      </c>
      <c r="BI237" s="310" t="str">
        <f t="shared" si="96"/>
        <v/>
      </c>
      <c r="BJ237" s="310" t="str">
        <f t="shared" si="97"/>
        <v/>
      </c>
      <c r="BK237" s="310" t="str">
        <f t="shared" si="98"/>
        <v/>
      </c>
      <c r="BL237" s="310" t="str">
        <f t="shared" si="99"/>
        <v/>
      </c>
      <c r="BM237" s="310" t="str">
        <f t="shared" si="100"/>
        <v/>
      </c>
      <c r="BN237" s="310" t="str">
        <f t="shared" si="101"/>
        <v/>
      </c>
      <c r="BO237" s="310" t="str">
        <f t="shared" si="102"/>
        <v/>
      </c>
      <c r="BP237" s="310" t="str">
        <f t="shared" si="103"/>
        <v/>
      </c>
      <c r="BQ237" s="310" t="str">
        <f t="shared" si="104"/>
        <v/>
      </c>
      <c r="BR237" s="310" t="str">
        <f t="shared" si="105"/>
        <v/>
      </c>
      <c r="BS237" s="310" t="str">
        <f t="shared" si="106"/>
        <v/>
      </c>
      <c r="BT237" s="310" t="str">
        <f t="shared" si="107"/>
        <v/>
      </c>
      <c r="BU237" s="310" t="str">
        <f t="shared" si="108"/>
        <v/>
      </c>
      <c r="BV237" s="310" t="str">
        <f t="shared" si="109"/>
        <v/>
      </c>
      <c r="BW237" s="310" t="str">
        <f t="shared" si="110"/>
        <v/>
      </c>
      <c r="BX237" s="310" t="str">
        <f t="shared" si="111"/>
        <v/>
      </c>
      <c r="BY237" s="310" t="str">
        <f t="shared" si="112"/>
        <v/>
      </c>
    </row>
    <row r="238" spans="53:77" x14ac:dyDescent="0.25">
      <c r="BA238" s="132"/>
      <c r="BB238" s="132" t="e">
        <f>#REF!</f>
        <v>#REF!</v>
      </c>
      <c r="BC238" s="132"/>
      <c r="BD238" s="132"/>
      <c r="BE238" s="132"/>
      <c r="BF238" s="132"/>
      <c r="BG238" s="132"/>
      <c r="BH238" s="132"/>
      <c r="BI238" s="132"/>
      <c r="BJ238" s="132"/>
      <c r="BK238" s="132"/>
      <c r="BL238" s="132"/>
      <c r="BM238" s="132"/>
      <c r="BN238" s="132"/>
      <c r="BO238" s="132"/>
      <c r="BP238" s="132"/>
      <c r="BQ238" s="132"/>
      <c r="BR238" s="132"/>
      <c r="BS238" s="132"/>
      <c r="BT238" s="132"/>
      <c r="BU238" s="132"/>
      <c r="BV238" s="132"/>
      <c r="BW238" s="132"/>
      <c r="BX238" s="132"/>
      <c r="BY238" s="132"/>
    </row>
    <row r="239" spans="53:77" x14ac:dyDescent="0.25">
      <c r="BA239" s="132"/>
      <c r="BB239" s="132" t="e">
        <f>#REF!</f>
        <v>#REF!</v>
      </c>
      <c r="BC239" s="132"/>
      <c r="BD239" s="132"/>
      <c r="BE239" s="132"/>
      <c r="BF239" s="132"/>
      <c r="BG239" s="132"/>
      <c r="BH239" s="132"/>
      <c r="BI239" s="132"/>
      <c r="BJ239" s="132"/>
      <c r="BK239" s="132"/>
      <c r="BL239" s="132"/>
      <c r="BM239" s="132"/>
      <c r="BN239" s="132"/>
      <c r="BO239" s="132"/>
      <c r="BP239" s="132"/>
      <c r="BQ239" s="132"/>
      <c r="BR239" s="132"/>
      <c r="BS239" s="132"/>
      <c r="BT239" s="132"/>
      <c r="BU239" s="132"/>
      <c r="BV239" s="132"/>
      <c r="BW239" s="132"/>
      <c r="BX239" s="132"/>
      <c r="BY239" s="132"/>
    </row>
    <row r="240" spans="53:77" x14ac:dyDescent="0.25">
      <c r="BA240" s="132"/>
      <c r="BB240" s="132">
        <f t="shared" ref="BB240" si="116">E42</f>
        <v>0</v>
      </c>
      <c r="BC240" s="132"/>
      <c r="BD240" s="132"/>
      <c r="BE240" s="132"/>
      <c r="BF240" s="132"/>
      <c r="BG240" s="132"/>
      <c r="BH240" s="132"/>
      <c r="BI240" s="132"/>
      <c r="BJ240" s="132"/>
      <c r="BK240" s="132"/>
      <c r="BL240" s="132"/>
      <c r="BM240" s="132"/>
      <c r="BN240" s="132"/>
      <c r="BO240" s="132"/>
      <c r="BP240" s="132"/>
      <c r="BQ240" s="132"/>
      <c r="BR240" s="132"/>
      <c r="BS240" s="132"/>
      <c r="BT240" s="132"/>
      <c r="BU240" s="132"/>
      <c r="BV240" s="132"/>
      <c r="BW240" s="132"/>
      <c r="BX240" s="132"/>
      <c r="BY240" s="132"/>
    </row>
    <row r="241" spans="54:54" x14ac:dyDescent="0.25">
      <c r="BB241" s="132" t="str">
        <f>E40</f>
        <v>Daily wage earner excludes Agricultural labourer.</v>
      </c>
    </row>
    <row r="500" spans="1:26" s="368" customFormat="1" x14ac:dyDescent="0.25">
      <c r="A500" s="200" t="s">
        <v>450</v>
      </c>
      <c r="B500" s="200" t="s">
        <v>451</v>
      </c>
      <c r="C500" s="200" t="s">
        <v>452</v>
      </c>
      <c r="D500" s="200" t="s">
        <v>453</v>
      </c>
      <c r="E500" s="200" t="s">
        <v>1365</v>
      </c>
      <c r="F500" s="200" t="s">
        <v>454</v>
      </c>
      <c r="G500" s="200" t="s">
        <v>455</v>
      </c>
      <c r="H500" s="200" t="s">
        <v>456</v>
      </c>
      <c r="I500" s="200" t="s">
        <v>457</v>
      </c>
      <c r="J500" s="200" t="s">
        <v>458</v>
      </c>
      <c r="K500" s="200" t="s">
        <v>459</v>
      </c>
      <c r="L500" s="200" t="s">
        <v>1366</v>
      </c>
      <c r="M500" s="200" t="s">
        <v>460</v>
      </c>
      <c r="N500" s="200" t="s">
        <v>461</v>
      </c>
      <c r="O500" s="200" t="s">
        <v>462</v>
      </c>
      <c r="P500" s="200" t="s">
        <v>463</v>
      </c>
      <c r="Q500" s="200" t="s">
        <v>464</v>
      </c>
      <c r="R500" s="200" t="s">
        <v>465</v>
      </c>
      <c r="S500" s="200" t="s">
        <v>1367</v>
      </c>
      <c r="T500" s="200" t="s">
        <v>466</v>
      </c>
      <c r="U500" s="200" t="s">
        <v>467</v>
      </c>
      <c r="V500" s="200" t="s">
        <v>468</v>
      </c>
      <c r="W500" s="200" t="s">
        <v>469</v>
      </c>
      <c r="X500" s="200" t="s">
        <v>470</v>
      </c>
      <c r="Y500" s="200" t="s">
        <v>471</v>
      </c>
      <c r="Z500" s="200" t="s">
        <v>150</v>
      </c>
    </row>
    <row r="501" spans="1:26" s="368" customFormat="1" ht="12.75" x14ac:dyDescent="0.25">
      <c r="A501" s="348">
        <f>IF(ADSI!$G$12="",ADSI!$H$16,ADSI!$H$12)</f>
        <v>6</v>
      </c>
      <c r="B501" s="348" t="str">
        <f ca="1">IF(ADSI!$G$12="",ADSI!$H$16,ADSI!$H$14)</f>
        <v/>
      </c>
      <c r="C501" s="405">
        <f t="shared" ref="C501" si="117">A9</f>
        <v>800</v>
      </c>
      <c r="D501" s="348">
        <f>ADSI!$K$12</f>
        <v>2021</v>
      </c>
      <c r="E501" s="407">
        <f t="shared" ref="E501:Z501" si="118">E9</f>
        <v>0</v>
      </c>
      <c r="F501" s="407">
        <f t="shared" si="118"/>
        <v>0</v>
      </c>
      <c r="G501" s="407">
        <f t="shared" si="118"/>
        <v>0</v>
      </c>
      <c r="H501" s="407">
        <f t="shared" si="118"/>
        <v>0</v>
      </c>
      <c r="I501" s="407">
        <f t="shared" si="118"/>
        <v>0</v>
      </c>
      <c r="J501" s="407">
        <f t="shared" si="118"/>
        <v>0</v>
      </c>
      <c r="K501" s="407">
        <f t="shared" si="118"/>
        <v>0</v>
      </c>
      <c r="L501" s="407">
        <f t="shared" si="118"/>
        <v>0</v>
      </c>
      <c r="M501" s="407">
        <f t="shared" si="118"/>
        <v>1</v>
      </c>
      <c r="N501" s="407">
        <f t="shared" si="118"/>
        <v>9</v>
      </c>
      <c r="O501" s="407">
        <f t="shared" si="118"/>
        <v>17</v>
      </c>
      <c r="P501" s="407">
        <f t="shared" si="118"/>
        <v>10</v>
      </c>
      <c r="Q501" s="407">
        <f t="shared" si="118"/>
        <v>15</v>
      </c>
      <c r="R501" s="407">
        <f t="shared" si="118"/>
        <v>52</v>
      </c>
      <c r="S501" s="407">
        <f t="shared" si="118"/>
        <v>0</v>
      </c>
      <c r="T501" s="407">
        <f t="shared" si="118"/>
        <v>0</v>
      </c>
      <c r="U501" s="407">
        <f t="shared" si="118"/>
        <v>0</v>
      </c>
      <c r="V501" s="407">
        <f t="shared" si="118"/>
        <v>0</v>
      </c>
      <c r="W501" s="407">
        <f t="shared" si="118"/>
        <v>0</v>
      </c>
      <c r="X501" s="407">
        <f t="shared" si="118"/>
        <v>0</v>
      </c>
      <c r="Y501" s="407">
        <f t="shared" si="118"/>
        <v>0</v>
      </c>
      <c r="Z501" s="407">
        <f t="shared" si="118"/>
        <v>52</v>
      </c>
    </row>
    <row r="502" spans="1:26" s="368" customFormat="1" ht="12.75" x14ac:dyDescent="0.25">
      <c r="A502" s="348">
        <f>IF(ADSI!$G$12="",ADSI!$H$16,ADSI!$H$12)</f>
        <v>6</v>
      </c>
      <c r="B502" s="348" t="str">
        <f ca="1">IF(ADSI!$G$12="",ADSI!$H$16,ADSI!$H$14)</f>
        <v/>
      </c>
      <c r="C502" s="405">
        <f t="shared" ref="C502:C525" si="119">A10</f>
        <v>801</v>
      </c>
      <c r="D502" s="348">
        <f>ADSI!$K$12</f>
        <v>2021</v>
      </c>
      <c r="E502" s="407">
        <f t="shared" ref="E502:Z502" si="120">E10</f>
        <v>0</v>
      </c>
      <c r="F502" s="407">
        <f t="shared" si="120"/>
        <v>0</v>
      </c>
      <c r="G502" s="407">
        <f t="shared" si="120"/>
        <v>26</v>
      </c>
      <c r="H502" s="407">
        <f t="shared" si="120"/>
        <v>33</v>
      </c>
      <c r="I502" s="407">
        <f t="shared" si="120"/>
        <v>26</v>
      </c>
      <c r="J502" s="407">
        <f t="shared" si="120"/>
        <v>2</v>
      </c>
      <c r="K502" s="407">
        <f t="shared" si="120"/>
        <v>87</v>
      </c>
      <c r="L502" s="407">
        <f t="shared" si="120"/>
        <v>0</v>
      </c>
      <c r="M502" s="407">
        <f t="shared" si="120"/>
        <v>0</v>
      </c>
      <c r="N502" s="407">
        <f t="shared" si="120"/>
        <v>3</v>
      </c>
      <c r="O502" s="407">
        <f t="shared" si="120"/>
        <v>2</v>
      </c>
      <c r="P502" s="407">
        <f t="shared" si="120"/>
        <v>0</v>
      </c>
      <c r="Q502" s="407">
        <f t="shared" si="120"/>
        <v>0</v>
      </c>
      <c r="R502" s="407">
        <f t="shared" si="120"/>
        <v>5</v>
      </c>
      <c r="S502" s="407">
        <f t="shared" si="120"/>
        <v>0</v>
      </c>
      <c r="T502" s="407">
        <f t="shared" si="120"/>
        <v>0</v>
      </c>
      <c r="U502" s="407">
        <f t="shared" si="120"/>
        <v>0</v>
      </c>
      <c r="V502" s="407">
        <f t="shared" si="120"/>
        <v>0</v>
      </c>
      <c r="W502" s="407">
        <f t="shared" si="120"/>
        <v>0</v>
      </c>
      <c r="X502" s="407">
        <f t="shared" si="120"/>
        <v>0</v>
      </c>
      <c r="Y502" s="407">
        <f t="shared" si="120"/>
        <v>0</v>
      </c>
      <c r="Z502" s="407">
        <f t="shared" si="120"/>
        <v>92</v>
      </c>
    </row>
    <row r="503" spans="1:26" s="368" customFormat="1" ht="12.75" x14ac:dyDescent="0.25">
      <c r="A503" s="348">
        <f>IF(ADSI!$G$12="",ADSI!$H$16,ADSI!$H$12)</f>
        <v>6</v>
      </c>
      <c r="B503" s="348" t="str">
        <f ca="1">IF(ADSI!$G$12="",ADSI!$H$16,ADSI!$H$14)</f>
        <v/>
      </c>
      <c r="C503" s="405">
        <f t="shared" si="119"/>
        <v>802</v>
      </c>
      <c r="D503" s="348">
        <f>ADSI!$K$12</f>
        <v>2021</v>
      </c>
      <c r="E503" s="407">
        <f t="shared" ref="E503:Z503" si="121">E11</f>
        <v>0</v>
      </c>
      <c r="F503" s="407">
        <f t="shared" si="121"/>
        <v>0</v>
      </c>
      <c r="G503" s="407">
        <f t="shared" si="121"/>
        <v>1</v>
      </c>
      <c r="H503" s="407">
        <f t="shared" si="121"/>
        <v>6</v>
      </c>
      <c r="I503" s="407">
        <f t="shared" si="121"/>
        <v>5</v>
      </c>
      <c r="J503" s="407">
        <f t="shared" si="121"/>
        <v>0</v>
      </c>
      <c r="K503" s="407">
        <f t="shared" si="121"/>
        <v>12</v>
      </c>
      <c r="L503" s="407">
        <f t="shared" si="121"/>
        <v>0</v>
      </c>
      <c r="M503" s="407">
        <f t="shared" si="121"/>
        <v>0</v>
      </c>
      <c r="N503" s="407">
        <f t="shared" si="121"/>
        <v>0</v>
      </c>
      <c r="O503" s="407">
        <f t="shared" si="121"/>
        <v>1</v>
      </c>
      <c r="P503" s="407">
        <f t="shared" si="121"/>
        <v>0</v>
      </c>
      <c r="Q503" s="407">
        <f t="shared" si="121"/>
        <v>0</v>
      </c>
      <c r="R503" s="407">
        <f t="shared" si="121"/>
        <v>1</v>
      </c>
      <c r="S503" s="407">
        <f t="shared" si="121"/>
        <v>0</v>
      </c>
      <c r="T503" s="407">
        <f t="shared" si="121"/>
        <v>0</v>
      </c>
      <c r="U503" s="407">
        <f t="shared" si="121"/>
        <v>0</v>
      </c>
      <c r="V503" s="407">
        <f t="shared" si="121"/>
        <v>0</v>
      </c>
      <c r="W503" s="407">
        <f t="shared" si="121"/>
        <v>0</v>
      </c>
      <c r="X503" s="407">
        <f t="shared" si="121"/>
        <v>0</v>
      </c>
      <c r="Y503" s="407">
        <f t="shared" si="121"/>
        <v>0</v>
      </c>
      <c r="Z503" s="407">
        <f t="shared" si="121"/>
        <v>13</v>
      </c>
    </row>
    <row r="504" spans="1:26" s="368" customFormat="1" ht="12.75" x14ac:dyDescent="0.25">
      <c r="A504" s="348">
        <f>IF(ADSI!$G$12="",ADSI!$H$16,ADSI!$H$12)</f>
        <v>6</v>
      </c>
      <c r="B504" s="348" t="str">
        <f ca="1">IF(ADSI!$G$12="",ADSI!$H$16,ADSI!$H$14)</f>
        <v/>
      </c>
      <c r="C504" s="405">
        <f t="shared" si="119"/>
        <v>803</v>
      </c>
      <c r="D504" s="348">
        <f>ADSI!$K$12</f>
        <v>2021</v>
      </c>
      <c r="E504" s="407">
        <f t="shared" ref="E504:Z504" si="122">E12</f>
        <v>0</v>
      </c>
      <c r="F504" s="407">
        <f t="shared" si="122"/>
        <v>0</v>
      </c>
      <c r="G504" s="407">
        <f t="shared" si="122"/>
        <v>0</v>
      </c>
      <c r="H504" s="407">
        <f t="shared" si="122"/>
        <v>0</v>
      </c>
      <c r="I504" s="407">
        <f t="shared" si="122"/>
        <v>0</v>
      </c>
      <c r="J504" s="407">
        <f t="shared" si="122"/>
        <v>0</v>
      </c>
      <c r="K504" s="407">
        <f t="shared" si="122"/>
        <v>0</v>
      </c>
      <c r="L504" s="407">
        <f t="shared" si="122"/>
        <v>0</v>
      </c>
      <c r="M504" s="407">
        <f t="shared" si="122"/>
        <v>0</v>
      </c>
      <c r="N504" s="407">
        <f t="shared" si="122"/>
        <v>0</v>
      </c>
      <c r="O504" s="407">
        <f t="shared" si="122"/>
        <v>0</v>
      </c>
      <c r="P504" s="407">
        <f t="shared" si="122"/>
        <v>0</v>
      </c>
      <c r="Q504" s="407">
        <f t="shared" si="122"/>
        <v>0</v>
      </c>
      <c r="R504" s="407">
        <f t="shared" si="122"/>
        <v>0</v>
      </c>
      <c r="S504" s="407">
        <f t="shared" si="122"/>
        <v>0</v>
      </c>
      <c r="T504" s="407">
        <f t="shared" si="122"/>
        <v>0</v>
      </c>
      <c r="U504" s="407">
        <f t="shared" si="122"/>
        <v>0</v>
      </c>
      <c r="V504" s="407">
        <f t="shared" si="122"/>
        <v>0</v>
      </c>
      <c r="W504" s="407">
        <f t="shared" si="122"/>
        <v>0</v>
      </c>
      <c r="X504" s="407">
        <f t="shared" si="122"/>
        <v>0</v>
      </c>
      <c r="Y504" s="407">
        <f t="shared" si="122"/>
        <v>0</v>
      </c>
      <c r="Z504" s="407">
        <f t="shared" si="122"/>
        <v>0</v>
      </c>
    </row>
    <row r="505" spans="1:26" s="368" customFormat="1" ht="12.75" x14ac:dyDescent="0.25">
      <c r="A505" s="348">
        <f>IF(ADSI!$G$12="",ADSI!$H$16,ADSI!$H$12)</f>
        <v>6</v>
      </c>
      <c r="B505" s="348" t="str">
        <f ca="1">IF(ADSI!$G$12="",ADSI!$H$16,ADSI!$H$14)</f>
        <v/>
      </c>
      <c r="C505" s="405">
        <f t="shared" si="119"/>
        <v>804</v>
      </c>
      <c r="D505" s="348">
        <f>ADSI!$K$12</f>
        <v>2021</v>
      </c>
      <c r="E505" s="407">
        <f t="shared" ref="E505:Z505" si="123">E13</f>
        <v>0</v>
      </c>
      <c r="F505" s="407">
        <f t="shared" si="123"/>
        <v>0</v>
      </c>
      <c r="G505" s="407">
        <f t="shared" si="123"/>
        <v>0</v>
      </c>
      <c r="H505" s="407">
        <f t="shared" si="123"/>
        <v>5</v>
      </c>
      <c r="I505" s="407">
        <f t="shared" si="123"/>
        <v>2</v>
      </c>
      <c r="J505" s="407">
        <f t="shared" si="123"/>
        <v>0</v>
      </c>
      <c r="K505" s="407">
        <f t="shared" si="123"/>
        <v>7</v>
      </c>
      <c r="L505" s="407">
        <f t="shared" si="123"/>
        <v>0</v>
      </c>
      <c r="M505" s="407">
        <f t="shared" si="123"/>
        <v>0</v>
      </c>
      <c r="N505" s="407">
        <f t="shared" si="123"/>
        <v>0</v>
      </c>
      <c r="O505" s="407">
        <f t="shared" si="123"/>
        <v>1</v>
      </c>
      <c r="P505" s="407">
        <f t="shared" si="123"/>
        <v>0</v>
      </c>
      <c r="Q505" s="407">
        <f t="shared" si="123"/>
        <v>0</v>
      </c>
      <c r="R505" s="407">
        <f t="shared" si="123"/>
        <v>1</v>
      </c>
      <c r="S505" s="407">
        <f t="shared" si="123"/>
        <v>0</v>
      </c>
      <c r="T505" s="407">
        <f t="shared" si="123"/>
        <v>0</v>
      </c>
      <c r="U505" s="407">
        <f t="shared" si="123"/>
        <v>0</v>
      </c>
      <c r="V505" s="407">
        <f t="shared" si="123"/>
        <v>0</v>
      </c>
      <c r="W505" s="407">
        <f t="shared" si="123"/>
        <v>0</v>
      </c>
      <c r="X505" s="407">
        <f t="shared" si="123"/>
        <v>0</v>
      </c>
      <c r="Y505" s="407">
        <f t="shared" si="123"/>
        <v>0</v>
      </c>
      <c r="Z505" s="407">
        <f t="shared" si="123"/>
        <v>8</v>
      </c>
    </row>
    <row r="506" spans="1:26" s="368" customFormat="1" ht="12.75" x14ac:dyDescent="0.25">
      <c r="A506" s="348">
        <f>IF(ADSI!$G$12="",ADSI!$H$16,ADSI!$H$12)</f>
        <v>6</v>
      </c>
      <c r="B506" s="348" t="str">
        <f ca="1">IF(ADSI!$G$12="",ADSI!$H$16,ADSI!$H$14)</f>
        <v/>
      </c>
      <c r="C506" s="405">
        <f t="shared" si="119"/>
        <v>805</v>
      </c>
      <c r="D506" s="348">
        <f>ADSI!$K$12</f>
        <v>2021</v>
      </c>
      <c r="E506" s="407">
        <f t="shared" ref="E506:Z506" si="124">E14</f>
        <v>0</v>
      </c>
      <c r="F506" s="407">
        <f t="shared" si="124"/>
        <v>0</v>
      </c>
      <c r="G506" s="407">
        <f t="shared" si="124"/>
        <v>1</v>
      </c>
      <c r="H506" s="407">
        <f t="shared" si="124"/>
        <v>1</v>
      </c>
      <c r="I506" s="407">
        <f t="shared" si="124"/>
        <v>3</v>
      </c>
      <c r="J506" s="407">
        <f t="shared" si="124"/>
        <v>0</v>
      </c>
      <c r="K506" s="407">
        <f t="shared" si="124"/>
        <v>5</v>
      </c>
      <c r="L506" s="407">
        <f t="shared" si="124"/>
        <v>0</v>
      </c>
      <c r="M506" s="407">
        <f t="shared" si="124"/>
        <v>0</v>
      </c>
      <c r="N506" s="407">
        <f t="shared" si="124"/>
        <v>0</v>
      </c>
      <c r="O506" s="407">
        <f t="shared" si="124"/>
        <v>0</v>
      </c>
      <c r="P506" s="407">
        <f t="shared" si="124"/>
        <v>0</v>
      </c>
      <c r="Q506" s="407">
        <f t="shared" si="124"/>
        <v>0</v>
      </c>
      <c r="R506" s="407">
        <f t="shared" si="124"/>
        <v>0</v>
      </c>
      <c r="S506" s="407">
        <f t="shared" si="124"/>
        <v>0</v>
      </c>
      <c r="T506" s="407">
        <f t="shared" si="124"/>
        <v>0</v>
      </c>
      <c r="U506" s="407">
        <f t="shared" si="124"/>
        <v>0</v>
      </c>
      <c r="V506" s="407">
        <f t="shared" si="124"/>
        <v>0</v>
      </c>
      <c r="W506" s="407">
        <f t="shared" si="124"/>
        <v>0</v>
      </c>
      <c r="X506" s="407">
        <f t="shared" si="124"/>
        <v>0</v>
      </c>
      <c r="Y506" s="407">
        <f t="shared" si="124"/>
        <v>0</v>
      </c>
      <c r="Z506" s="407">
        <f t="shared" si="124"/>
        <v>5</v>
      </c>
    </row>
    <row r="507" spans="1:26" s="368" customFormat="1" ht="12.75" x14ac:dyDescent="0.25">
      <c r="A507" s="348">
        <f>IF(ADSI!$G$12="",ADSI!$H$16,ADSI!$H$12)</f>
        <v>6</v>
      </c>
      <c r="B507" s="348" t="str">
        <f ca="1">IF(ADSI!$G$12="",ADSI!$H$16,ADSI!$H$14)</f>
        <v/>
      </c>
      <c r="C507" s="405">
        <f t="shared" si="119"/>
        <v>806</v>
      </c>
      <c r="D507" s="348">
        <f>ADSI!$K$12</f>
        <v>2021</v>
      </c>
      <c r="E507" s="407">
        <f t="shared" ref="E507:Z507" si="125">E15</f>
        <v>0</v>
      </c>
      <c r="F507" s="407">
        <f t="shared" si="125"/>
        <v>0</v>
      </c>
      <c r="G507" s="407">
        <f t="shared" si="125"/>
        <v>24</v>
      </c>
      <c r="H507" s="407">
        <f t="shared" si="125"/>
        <v>25</v>
      </c>
      <c r="I507" s="407">
        <f t="shared" si="125"/>
        <v>20</v>
      </c>
      <c r="J507" s="407">
        <f t="shared" si="125"/>
        <v>1</v>
      </c>
      <c r="K507" s="407">
        <f t="shared" si="125"/>
        <v>70</v>
      </c>
      <c r="L507" s="407">
        <f t="shared" si="125"/>
        <v>0</v>
      </c>
      <c r="M507" s="407">
        <f t="shared" si="125"/>
        <v>0</v>
      </c>
      <c r="N507" s="407">
        <f t="shared" si="125"/>
        <v>3</v>
      </c>
      <c r="O507" s="407">
        <f t="shared" si="125"/>
        <v>1</v>
      </c>
      <c r="P507" s="407">
        <f t="shared" si="125"/>
        <v>0</v>
      </c>
      <c r="Q507" s="407">
        <f t="shared" si="125"/>
        <v>0</v>
      </c>
      <c r="R507" s="407">
        <f t="shared" si="125"/>
        <v>4</v>
      </c>
      <c r="S507" s="407">
        <f t="shared" si="125"/>
        <v>0</v>
      </c>
      <c r="T507" s="407">
        <f t="shared" si="125"/>
        <v>0</v>
      </c>
      <c r="U507" s="407">
        <f t="shared" si="125"/>
        <v>0</v>
      </c>
      <c r="V507" s="407">
        <f t="shared" si="125"/>
        <v>0</v>
      </c>
      <c r="W507" s="407">
        <f t="shared" si="125"/>
        <v>0</v>
      </c>
      <c r="X507" s="407">
        <f t="shared" si="125"/>
        <v>0</v>
      </c>
      <c r="Y507" s="407">
        <f t="shared" si="125"/>
        <v>0</v>
      </c>
      <c r="Z507" s="407">
        <f t="shared" si="125"/>
        <v>74</v>
      </c>
    </row>
    <row r="508" spans="1:26" s="368" customFormat="1" ht="12.75" x14ac:dyDescent="0.25">
      <c r="A508" s="348">
        <f>IF(ADSI!$G$12="",ADSI!$H$16,ADSI!$H$12)</f>
        <v>6</v>
      </c>
      <c r="B508" s="348" t="str">
        <f ca="1">IF(ADSI!$G$12="",ADSI!$H$16,ADSI!$H$14)</f>
        <v/>
      </c>
      <c r="C508" s="405">
        <f t="shared" si="119"/>
        <v>807</v>
      </c>
      <c r="D508" s="348">
        <f>ADSI!$K$12</f>
        <v>2021</v>
      </c>
      <c r="E508" s="407">
        <f t="shared" ref="E508:Z508" si="126">E16</f>
        <v>0</v>
      </c>
      <c r="F508" s="407">
        <f t="shared" si="126"/>
        <v>0</v>
      </c>
      <c r="G508" s="407">
        <f t="shared" si="126"/>
        <v>1</v>
      </c>
      <c r="H508" s="407">
        <f t="shared" si="126"/>
        <v>2</v>
      </c>
      <c r="I508" s="407">
        <f t="shared" si="126"/>
        <v>1</v>
      </c>
      <c r="J508" s="407">
        <f t="shared" si="126"/>
        <v>1</v>
      </c>
      <c r="K508" s="407">
        <f t="shared" si="126"/>
        <v>5</v>
      </c>
      <c r="L508" s="407">
        <f t="shared" si="126"/>
        <v>0</v>
      </c>
      <c r="M508" s="407">
        <f t="shared" si="126"/>
        <v>0</v>
      </c>
      <c r="N508" s="407">
        <f t="shared" si="126"/>
        <v>0</v>
      </c>
      <c r="O508" s="407">
        <f t="shared" si="126"/>
        <v>0</v>
      </c>
      <c r="P508" s="407">
        <f t="shared" si="126"/>
        <v>0</v>
      </c>
      <c r="Q508" s="407">
        <f t="shared" si="126"/>
        <v>0</v>
      </c>
      <c r="R508" s="407">
        <f t="shared" si="126"/>
        <v>0</v>
      </c>
      <c r="S508" s="407">
        <f t="shared" si="126"/>
        <v>0</v>
      </c>
      <c r="T508" s="407">
        <f t="shared" si="126"/>
        <v>0</v>
      </c>
      <c r="U508" s="407">
        <f t="shared" si="126"/>
        <v>0</v>
      </c>
      <c r="V508" s="407">
        <f t="shared" si="126"/>
        <v>0</v>
      </c>
      <c r="W508" s="407">
        <f t="shared" si="126"/>
        <v>0</v>
      </c>
      <c r="X508" s="407">
        <f t="shared" si="126"/>
        <v>0</v>
      </c>
      <c r="Y508" s="407">
        <f t="shared" si="126"/>
        <v>0</v>
      </c>
      <c r="Z508" s="407">
        <f t="shared" si="126"/>
        <v>5</v>
      </c>
    </row>
    <row r="509" spans="1:26" s="368" customFormat="1" ht="12.75" x14ac:dyDescent="0.25">
      <c r="A509" s="348">
        <f>IF(ADSI!$G$12="",ADSI!$H$16,ADSI!$H$12)</f>
        <v>6</v>
      </c>
      <c r="B509" s="348" t="str">
        <f ca="1">IF(ADSI!$G$12="",ADSI!$H$16,ADSI!$H$14)</f>
        <v/>
      </c>
      <c r="C509" s="405">
        <f t="shared" si="119"/>
        <v>808</v>
      </c>
      <c r="D509" s="348">
        <f>ADSI!$K$12</f>
        <v>2021</v>
      </c>
      <c r="E509" s="407">
        <f t="shared" ref="E509:Z509" si="127">E17</f>
        <v>2</v>
      </c>
      <c r="F509" s="407">
        <f t="shared" si="127"/>
        <v>6</v>
      </c>
      <c r="G509" s="407">
        <f t="shared" si="127"/>
        <v>8</v>
      </c>
      <c r="H509" s="407">
        <f t="shared" si="127"/>
        <v>0</v>
      </c>
      <c r="I509" s="407">
        <f t="shared" si="127"/>
        <v>0</v>
      </c>
      <c r="J509" s="407">
        <f t="shared" si="127"/>
        <v>0</v>
      </c>
      <c r="K509" s="407">
        <f t="shared" si="127"/>
        <v>16</v>
      </c>
      <c r="L509" s="407">
        <f t="shared" si="127"/>
        <v>1</v>
      </c>
      <c r="M509" s="407">
        <f t="shared" si="127"/>
        <v>3</v>
      </c>
      <c r="N509" s="407">
        <f t="shared" si="127"/>
        <v>6</v>
      </c>
      <c r="O509" s="407">
        <f t="shared" si="127"/>
        <v>1</v>
      </c>
      <c r="P509" s="407">
        <f t="shared" si="127"/>
        <v>0</v>
      </c>
      <c r="Q509" s="407">
        <f t="shared" si="127"/>
        <v>0</v>
      </c>
      <c r="R509" s="407">
        <f t="shared" si="127"/>
        <v>11</v>
      </c>
      <c r="S509" s="407">
        <f t="shared" si="127"/>
        <v>0</v>
      </c>
      <c r="T509" s="407">
        <f t="shared" si="127"/>
        <v>0</v>
      </c>
      <c r="U509" s="407">
        <f t="shared" si="127"/>
        <v>0</v>
      </c>
      <c r="V509" s="407">
        <f t="shared" si="127"/>
        <v>0</v>
      </c>
      <c r="W509" s="407">
        <f t="shared" si="127"/>
        <v>0</v>
      </c>
      <c r="X509" s="407">
        <f t="shared" si="127"/>
        <v>0</v>
      </c>
      <c r="Y509" s="407">
        <f t="shared" si="127"/>
        <v>0</v>
      </c>
      <c r="Z509" s="407">
        <f t="shared" si="127"/>
        <v>27</v>
      </c>
    </row>
    <row r="510" spans="1:26" s="368" customFormat="1" ht="12.75" x14ac:dyDescent="0.25">
      <c r="A510" s="348">
        <f>IF(ADSI!$G$12="",ADSI!$H$16,ADSI!$H$12)</f>
        <v>6</v>
      </c>
      <c r="B510" s="348" t="str">
        <f ca="1">IF(ADSI!$G$12="",ADSI!$H$16,ADSI!$H$14)</f>
        <v/>
      </c>
      <c r="C510" s="405">
        <f t="shared" si="119"/>
        <v>809</v>
      </c>
      <c r="D510" s="348">
        <f>ADSI!$K$12</f>
        <v>2021</v>
      </c>
      <c r="E510" s="407">
        <f t="shared" ref="E510:Z510" si="128">E18</f>
        <v>0</v>
      </c>
      <c r="F510" s="407">
        <f t="shared" si="128"/>
        <v>0</v>
      </c>
      <c r="G510" s="407">
        <f t="shared" si="128"/>
        <v>18</v>
      </c>
      <c r="H510" s="407">
        <f t="shared" si="128"/>
        <v>28</v>
      </c>
      <c r="I510" s="407">
        <f t="shared" si="128"/>
        <v>26</v>
      </c>
      <c r="J510" s="407">
        <f t="shared" si="128"/>
        <v>9</v>
      </c>
      <c r="K510" s="407">
        <f t="shared" si="128"/>
        <v>81</v>
      </c>
      <c r="L510" s="407">
        <f t="shared" si="128"/>
        <v>0</v>
      </c>
      <c r="M510" s="407">
        <f t="shared" si="128"/>
        <v>0</v>
      </c>
      <c r="N510" s="407">
        <f t="shared" si="128"/>
        <v>1</v>
      </c>
      <c r="O510" s="407">
        <f t="shared" si="128"/>
        <v>1</v>
      </c>
      <c r="P510" s="407">
        <f t="shared" si="128"/>
        <v>0</v>
      </c>
      <c r="Q510" s="407">
        <f t="shared" si="128"/>
        <v>1</v>
      </c>
      <c r="R510" s="407">
        <f t="shared" si="128"/>
        <v>3</v>
      </c>
      <c r="S510" s="407">
        <f t="shared" si="128"/>
        <v>0</v>
      </c>
      <c r="T510" s="407">
        <f t="shared" si="128"/>
        <v>0</v>
      </c>
      <c r="U510" s="407">
        <f t="shared" si="128"/>
        <v>0</v>
      </c>
      <c r="V510" s="407">
        <f t="shared" si="128"/>
        <v>0</v>
      </c>
      <c r="W510" s="407">
        <f t="shared" si="128"/>
        <v>0</v>
      </c>
      <c r="X510" s="407">
        <f t="shared" si="128"/>
        <v>0</v>
      </c>
      <c r="Y510" s="407">
        <f t="shared" si="128"/>
        <v>0</v>
      </c>
      <c r="Z510" s="407">
        <f t="shared" si="128"/>
        <v>84</v>
      </c>
    </row>
    <row r="511" spans="1:26" s="368" customFormat="1" ht="12.75" x14ac:dyDescent="0.25">
      <c r="A511" s="348">
        <f>IF(ADSI!$G$12="",ADSI!$H$16,ADSI!$H$12)</f>
        <v>6</v>
      </c>
      <c r="B511" s="348" t="str">
        <f ca="1">IF(ADSI!$G$12="",ADSI!$H$16,ADSI!$H$14)</f>
        <v/>
      </c>
      <c r="C511" s="405">
        <f t="shared" si="119"/>
        <v>810</v>
      </c>
      <c r="D511" s="348">
        <f>ADSI!$K$12</f>
        <v>2021</v>
      </c>
      <c r="E511" s="407">
        <f t="shared" ref="E511:Z511" si="129">E19</f>
        <v>0</v>
      </c>
      <c r="F511" s="407">
        <f t="shared" si="129"/>
        <v>0</v>
      </c>
      <c r="G511" s="407">
        <f t="shared" si="129"/>
        <v>6</v>
      </c>
      <c r="H511" s="407">
        <f t="shared" si="129"/>
        <v>0</v>
      </c>
      <c r="I511" s="407">
        <f t="shared" si="129"/>
        <v>15</v>
      </c>
      <c r="J511" s="407">
        <f t="shared" si="129"/>
        <v>0</v>
      </c>
      <c r="K511" s="407">
        <f t="shared" si="129"/>
        <v>21</v>
      </c>
      <c r="L511" s="407">
        <f t="shared" si="129"/>
        <v>0</v>
      </c>
      <c r="M511" s="407">
        <f t="shared" si="129"/>
        <v>0</v>
      </c>
      <c r="N511" s="407">
        <f t="shared" si="129"/>
        <v>0</v>
      </c>
      <c r="O511" s="407">
        <f t="shared" si="129"/>
        <v>0</v>
      </c>
      <c r="P511" s="407">
        <f t="shared" si="129"/>
        <v>1</v>
      </c>
      <c r="Q511" s="407">
        <f t="shared" si="129"/>
        <v>0</v>
      </c>
      <c r="R511" s="407">
        <f t="shared" si="129"/>
        <v>1</v>
      </c>
      <c r="S511" s="407">
        <f t="shared" si="129"/>
        <v>0</v>
      </c>
      <c r="T511" s="407">
        <f t="shared" si="129"/>
        <v>0</v>
      </c>
      <c r="U511" s="407">
        <f t="shared" si="129"/>
        <v>0</v>
      </c>
      <c r="V511" s="407">
        <f t="shared" si="129"/>
        <v>0</v>
      </c>
      <c r="W511" s="407">
        <f t="shared" si="129"/>
        <v>0</v>
      </c>
      <c r="X511" s="407">
        <f t="shared" si="129"/>
        <v>0</v>
      </c>
      <c r="Y511" s="407">
        <f t="shared" si="129"/>
        <v>0</v>
      </c>
      <c r="Z511" s="407">
        <f t="shared" si="129"/>
        <v>22</v>
      </c>
    </row>
    <row r="512" spans="1:26" s="368" customFormat="1" ht="12.75" x14ac:dyDescent="0.25">
      <c r="A512" s="348">
        <f>IF(ADSI!$G$12="",ADSI!$H$16,ADSI!$H$12)</f>
        <v>6</v>
      </c>
      <c r="B512" s="348" t="str">
        <f ca="1">IF(ADSI!$G$12="",ADSI!$H$16,ADSI!$H$14)</f>
        <v/>
      </c>
      <c r="C512" s="405">
        <f t="shared" si="119"/>
        <v>811</v>
      </c>
      <c r="D512" s="348">
        <f>ADSI!$K$12</f>
        <v>2021</v>
      </c>
      <c r="E512" s="407">
        <f t="shared" ref="E512:Z512" si="130">E20</f>
        <v>0</v>
      </c>
      <c r="F512" s="407">
        <f t="shared" si="130"/>
        <v>0</v>
      </c>
      <c r="G512" s="407">
        <f t="shared" si="130"/>
        <v>2</v>
      </c>
      <c r="H512" s="407">
        <f t="shared" si="130"/>
        <v>0</v>
      </c>
      <c r="I512" s="407">
        <f t="shared" si="130"/>
        <v>10</v>
      </c>
      <c r="J512" s="407">
        <f t="shared" si="130"/>
        <v>0</v>
      </c>
      <c r="K512" s="407">
        <f t="shared" si="130"/>
        <v>12</v>
      </c>
      <c r="L512" s="407">
        <f t="shared" si="130"/>
        <v>0</v>
      </c>
      <c r="M512" s="407">
        <f t="shared" si="130"/>
        <v>0</v>
      </c>
      <c r="N512" s="407">
        <f t="shared" si="130"/>
        <v>0</v>
      </c>
      <c r="O512" s="407">
        <f t="shared" si="130"/>
        <v>0</v>
      </c>
      <c r="P512" s="407">
        <f t="shared" si="130"/>
        <v>1</v>
      </c>
      <c r="Q512" s="407">
        <f t="shared" si="130"/>
        <v>0</v>
      </c>
      <c r="R512" s="407">
        <f t="shared" si="130"/>
        <v>1</v>
      </c>
      <c r="S512" s="407">
        <f t="shared" si="130"/>
        <v>0</v>
      </c>
      <c r="T512" s="407">
        <f t="shared" si="130"/>
        <v>0</v>
      </c>
      <c r="U512" s="407">
        <f t="shared" si="130"/>
        <v>0</v>
      </c>
      <c r="V512" s="407">
        <f t="shared" si="130"/>
        <v>0</v>
      </c>
      <c r="W512" s="407">
        <f t="shared" si="130"/>
        <v>0</v>
      </c>
      <c r="X512" s="407">
        <f t="shared" si="130"/>
        <v>0</v>
      </c>
      <c r="Y512" s="407">
        <f t="shared" si="130"/>
        <v>0</v>
      </c>
      <c r="Z512" s="407">
        <f t="shared" si="130"/>
        <v>13</v>
      </c>
    </row>
    <row r="513" spans="1:26" s="368" customFormat="1" ht="12.75" x14ac:dyDescent="0.25">
      <c r="A513" s="348">
        <f>IF(ADSI!$G$12="",ADSI!$H$16,ADSI!$H$12)</f>
        <v>6</v>
      </c>
      <c r="B513" s="348" t="str">
        <f ca="1">IF(ADSI!$G$12="",ADSI!$H$16,ADSI!$H$14)</f>
        <v/>
      </c>
      <c r="C513" s="405">
        <f t="shared" si="119"/>
        <v>812</v>
      </c>
      <c r="D513" s="348">
        <f>ADSI!$K$12</f>
        <v>2021</v>
      </c>
      <c r="E513" s="407">
        <f t="shared" ref="E513:Z513" si="131">E21</f>
        <v>0</v>
      </c>
      <c r="F513" s="407">
        <f t="shared" si="131"/>
        <v>0</v>
      </c>
      <c r="G513" s="407">
        <f t="shared" si="131"/>
        <v>0</v>
      </c>
      <c r="H513" s="407">
        <f t="shared" si="131"/>
        <v>0</v>
      </c>
      <c r="I513" s="407">
        <f t="shared" si="131"/>
        <v>3</v>
      </c>
      <c r="J513" s="407">
        <f t="shared" si="131"/>
        <v>0</v>
      </c>
      <c r="K513" s="407">
        <f t="shared" si="131"/>
        <v>3</v>
      </c>
      <c r="L513" s="407">
        <f t="shared" si="131"/>
        <v>0</v>
      </c>
      <c r="M513" s="407">
        <f t="shared" si="131"/>
        <v>0</v>
      </c>
      <c r="N513" s="407">
        <f t="shared" si="131"/>
        <v>0</v>
      </c>
      <c r="O513" s="407">
        <f t="shared" si="131"/>
        <v>0</v>
      </c>
      <c r="P513" s="407">
        <f t="shared" si="131"/>
        <v>1</v>
      </c>
      <c r="Q513" s="407">
        <f t="shared" si="131"/>
        <v>0</v>
      </c>
      <c r="R513" s="407">
        <f t="shared" si="131"/>
        <v>1</v>
      </c>
      <c r="S513" s="407">
        <f t="shared" si="131"/>
        <v>0</v>
      </c>
      <c r="T513" s="407">
        <f t="shared" si="131"/>
        <v>0</v>
      </c>
      <c r="U513" s="407">
        <f t="shared" si="131"/>
        <v>0</v>
      </c>
      <c r="V513" s="407">
        <f t="shared" si="131"/>
        <v>0</v>
      </c>
      <c r="W513" s="407">
        <f t="shared" si="131"/>
        <v>0</v>
      </c>
      <c r="X513" s="407">
        <f t="shared" si="131"/>
        <v>0</v>
      </c>
      <c r="Y513" s="407">
        <f t="shared" si="131"/>
        <v>0</v>
      </c>
      <c r="Z513" s="407">
        <f t="shared" si="131"/>
        <v>4</v>
      </c>
    </row>
    <row r="514" spans="1:26" s="368" customFormat="1" ht="12.75" x14ac:dyDescent="0.25">
      <c r="A514" s="348">
        <f>IF(ADSI!$G$12="",ADSI!$H$16,ADSI!$H$12)</f>
        <v>6</v>
      </c>
      <c r="B514" s="348" t="str">
        <f ca="1">IF(ADSI!$G$12="",ADSI!$H$16,ADSI!$H$14)</f>
        <v/>
      </c>
      <c r="C514" s="405">
        <f t="shared" si="119"/>
        <v>813</v>
      </c>
      <c r="D514" s="348">
        <f>ADSI!$K$12</f>
        <v>2021</v>
      </c>
      <c r="E514" s="407">
        <f t="shared" ref="E514:Z514" si="132">E22</f>
        <v>0</v>
      </c>
      <c r="F514" s="407">
        <f t="shared" si="132"/>
        <v>0</v>
      </c>
      <c r="G514" s="407">
        <f t="shared" si="132"/>
        <v>0</v>
      </c>
      <c r="H514" s="407">
        <f t="shared" si="132"/>
        <v>0</v>
      </c>
      <c r="I514" s="407">
        <f t="shared" si="132"/>
        <v>4</v>
      </c>
      <c r="J514" s="407">
        <f t="shared" si="132"/>
        <v>0</v>
      </c>
      <c r="K514" s="407">
        <f t="shared" si="132"/>
        <v>4</v>
      </c>
      <c r="L514" s="407">
        <f t="shared" si="132"/>
        <v>0</v>
      </c>
      <c r="M514" s="407">
        <f t="shared" si="132"/>
        <v>0</v>
      </c>
      <c r="N514" s="407">
        <f t="shared" si="132"/>
        <v>0</v>
      </c>
      <c r="O514" s="407">
        <f t="shared" si="132"/>
        <v>0</v>
      </c>
      <c r="P514" s="407">
        <f t="shared" si="132"/>
        <v>0</v>
      </c>
      <c r="Q514" s="407">
        <f t="shared" si="132"/>
        <v>0</v>
      </c>
      <c r="R514" s="407">
        <f t="shared" si="132"/>
        <v>0</v>
      </c>
      <c r="S514" s="407">
        <f t="shared" si="132"/>
        <v>0</v>
      </c>
      <c r="T514" s="407">
        <f t="shared" si="132"/>
        <v>0</v>
      </c>
      <c r="U514" s="407">
        <f t="shared" si="132"/>
        <v>0</v>
      </c>
      <c r="V514" s="407">
        <f t="shared" si="132"/>
        <v>0</v>
      </c>
      <c r="W514" s="407">
        <f t="shared" si="132"/>
        <v>0</v>
      </c>
      <c r="X514" s="407">
        <f t="shared" si="132"/>
        <v>0</v>
      </c>
      <c r="Y514" s="407">
        <f t="shared" si="132"/>
        <v>0</v>
      </c>
      <c r="Z514" s="407">
        <f t="shared" si="132"/>
        <v>4</v>
      </c>
    </row>
    <row r="515" spans="1:26" s="368" customFormat="1" ht="12.75" x14ac:dyDescent="0.25">
      <c r="A515" s="348">
        <f>IF(ADSI!$G$12="",ADSI!$H$16,ADSI!$H$12)</f>
        <v>6</v>
      </c>
      <c r="B515" s="348" t="str">
        <f ca="1">IF(ADSI!$G$12="",ADSI!$H$16,ADSI!$H$14)</f>
        <v/>
      </c>
      <c r="C515" s="405">
        <f t="shared" si="119"/>
        <v>814</v>
      </c>
      <c r="D515" s="348">
        <f>ADSI!$K$12</f>
        <v>2021</v>
      </c>
      <c r="E515" s="407">
        <f t="shared" ref="E515:Z515" si="133">E23</f>
        <v>0</v>
      </c>
      <c r="F515" s="407">
        <f t="shared" si="133"/>
        <v>0</v>
      </c>
      <c r="G515" s="407">
        <f t="shared" si="133"/>
        <v>2</v>
      </c>
      <c r="H515" s="407">
        <f t="shared" si="133"/>
        <v>0</v>
      </c>
      <c r="I515" s="407">
        <f t="shared" si="133"/>
        <v>3</v>
      </c>
      <c r="J515" s="407">
        <f t="shared" si="133"/>
        <v>0</v>
      </c>
      <c r="K515" s="407">
        <f t="shared" si="133"/>
        <v>5</v>
      </c>
      <c r="L515" s="407">
        <f t="shared" si="133"/>
        <v>0</v>
      </c>
      <c r="M515" s="407">
        <f t="shared" si="133"/>
        <v>0</v>
      </c>
      <c r="N515" s="407">
        <f t="shared" si="133"/>
        <v>0</v>
      </c>
      <c r="O515" s="407">
        <f t="shared" si="133"/>
        <v>0</v>
      </c>
      <c r="P515" s="407">
        <f t="shared" si="133"/>
        <v>0</v>
      </c>
      <c r="Q515" s="407">
        <f t="shared" si="133"/>
        <v>0</v>
      </c>
      <c r="R515" s="407">
        <f t="shared" si="133"/>
        <v>0</v>
      </c>
      <c r="S515" s="407">
        <f t="shared" si="133"/>
        <v>0</v>
      </c>
      <c r="T515" s="407">
        <f t="shared" si="133"/>
        <v>0</v>
      </c>
      <c r="U515" s="407">
        <f t="shared" si="133"/>
        <v>0</v>
      </c>
      <c r="V515" s="407">
        <f t="shared" si="133"/>
        <v>0</v>
      </c>
      <c r="W515" s="407">
        <f t="shared" si="133"/>
        <v>0</v>
      </c>
      <c r="X515" s="407">
        <f t="shared" si="133"/>
        <v>0</v>
      </c>
      <c r="Y515" s="407">
        <f t="shared" si="133"/>
        <v>0</v>
      </c>
      <c r="Z515" s="407">
        <f t="shared" si="133"/>
        <v>5</v>
      </c>
    </row>
    <row r="516" spans="1:26" s="368" customFormat="1" ht="12.75" x14ac:dyDescent="0.25">
      <c r="A516" s="348">
        <f>IF(ADSI!$G$12="",ADSI!$H$16,ADSI!$H$12)</f>
        <v>6</v>
      </c>
      <c r="B516" s="348" t="str">
        <f ca="1">IF(ADSI!$G$12="",ADSI!$H$16,ADSI!$H$14)</f>
        <v/>
      </c>
      <c r="C516" s="405">
        <f t="shared" si="119"/>
        <v>815</v>
      </c>
      <c r="D516" s="348">
        <f>ADSI!$K$12</f>
        <v>2021</v>
      </c>
      <c r="E516" s="407">
        <f t="shared" ref="E516:Z516" si="134">E24</f>
        <v>0</v>
      </c>
      <c r="F516" s="407">
        <f t="shared" si="134"/>
        <v>0</v>
      </c>
      <c r="G516" s="407">
        <f t="shared" si="134"/>
        <v>4</v>
      </c>
      <c r="H516" s="407">
        <f t="shared" si="134"/>
        <v>0</v>
      </c>
      <c r="I516" s="407">
        <f t="shared" si="134"/>
        <v>5</v>
      </c>
      <c r="J516" s="407">
        <f t="shared" si="134"/>
        <v>0</v>
      </c>
      <c r="K516" s="407">
        <f t="shared" si="134"/>
        <v>9</v>
      </c>
      <c r="L516" s="407">
        <f t="shared" si="134"/>
        <v>0</v>
      </c>
      <c r="M516" s="407">
        <f t="shared" si="134"/>
        <v>0</v>
      </c>
      <c r="N516" s="407">
        <f t="shared" si="134"/>
        <v>0</v>
      </c>
      <c r="O516" s="407">
        <f t="shared" si="134"/>
        <v>0</v>
      </c>
      <c r="P516" s="407">
        <f t="shared" si="134"/>
        <v>0</v>
      </c>
      <c r="Q516" s="407">
        <f t="shared" si="134"/>
        <v>0</v>
      </c>
      <c r="R516" s="407">
        <f t="shared" si="134"/>
        <v>0</v>
      </c>
      <c r="S516" s="407">
        <f t="shared" si="134"/>
        <v>0</v>
      </c>
      <c r="T516" s="407">
        <f t="shared" si="134"/>
        <v>0</v>
      </c>
      <c r="U516" s="407">
        <f t="shared" si="134"/>
        <v>0</v>
      </c>
      <c r="V516" s="407">
        <f t="shared" si="134"/>
        <v>0</v>
      </c>
      <c r="W516" s="407">
        <f t="shared" si="134"/>
        <v>0</v>
      </c>
      <c r="X516" s="407">
        <f t="shared" si="134"/>
        <v>0</v>
      </c>
      <c r="Y516" s="407">
        <f t="shared" si="134"/>
        <v>0</v>
      </c>
      <c r="Z516" s="407">
        <f t="shared" si="134"/>
        <v>9</v>
      </c>
    </row>
    <row r="517" spans="1:26" s="368" customFormat="1" ht="12.75" x14ac:dyDescent="0.25">
      <c r="A517" s="348">
        <f>IF(ADSI!$G$12="",ADSI!$H$16,ADSI!$H$12)</f>
        <v>6</v>
      </c>
      <c r="B517" s="348" t="str">
        <f ca="1">IF(ADSI!$G$12="",ADSI!$H$16,ADSI!$H$14)</f>
        <v/>
      </c>
      <c r="C517" s="405">
        <f t="shared" si="119"/>
        <v>816</v>
      </c>
      <c r="D517" s="348">
        <f>ADSI!$K$12</f>
        <v>2021</v>
      </c>
      <c r="E517" s="407">
        <f t="shared" ref="E517:Z517" si="135">E25</f>
        <v>0</v>
      </c>
      <c r="F517" s="407">
        <f t="shared" si="135"/>
        <v>0</v>
      </c>
      <c r="G517" s="407">
        <f t="shared" si="135"/>
        <v>0</v>
      </c>
      <c r="H517" s="407">
        <f t="shared" si="135"/>
        <v>1</v>
      </c>
      <c r="I517" s="407">
        <f t="shared" si="135"/>
        <v>1</v>
      </c>
      <c r="J517" s="407">
        <f t="shared" si="135"/>
        <v>0</v>
      </c>
      <c r="K517" s="407">
        <f t="shared" si="135"/>
        <v>2</v>
      </c>
      <c r="L517" s="407">
        <f t="shared" si="135"/>
        <v>0</v>
      </c>
      <c r="M517" s="407">
        <f t="shared" si="135"/>
        <v>0</v>
      </c>
      <c r="N517" s="407">
        <f t="shared" si="135"/>
        <v>0</v>
      </c>
      <c r="O517" s="407">
        <f t="shared" si="135"/>
        <v>0</v>
      </c>
      <c r="P517" s="407">
        <f t="shared" si="135"/>
        <v>0</v>
      </c>
      <c r="Q517" s="407">
        <f t="shared" si="135"/>
        <v>0</v>
      </c>
      <c r="R517" s="407">
        <f t="shared" si="135"/>
        <v>0</v>
      </c>
      <c r="S517" s="407">
        <f t="shared" si="135"/>
        <v>0</v>
      </c>
      <c r="T517" s="407">
        <f t="shared" si="135"/>
        <v>0</v>
      </c>
      <c r="U517" s="407">
        <f t="shared" si="135"/>
        <v>0</v>
      </c>
      <c r="V517" s="407">
        <f t="shared" si="135"/>
        <v>0</v>
      </c>
      <c r="W517" s="407">
        <f t="shared" si="135"/>
        <v>0</v>
      </c>
      <c r="X517" s="407">
        <f t="shared" si="135"/>
        <v>0</v>
      </c>
      <c r="Y517" s="407">
        <f t="shared" si="135"/>
        <v>0</v>
      </c>
      <c r="Z517" s="407">
        <f t="shared" si="135"/>
        <v>2</v>
      </c>
    </row>
    <row r="518" spans="1:26" s="368" customFormat="1" ht="12.75" x14ac:dyDescent="0.25">
      <c r="A518" s="348">
        <f>IF(ADSI!$G$12="",ADSI!$H$16,ADSI!$H$12)</f>
        <v>6</v>
      </c>
      <c r="B518" s="348" t="str">
        <f ca="1">IF(ADSI!$G$12="",ADSI!$H$16,ADSI!$H$14)</f>
        <v/>
      </c>
      <c r="C518" s="405">
        <f t="shared" si="119"/>
        <v>817</v>
      </c>
      <c r="D518" s="348">
        <f>ADSI!$K$12</f>
        <v>2021</v>
      </c>
      <c r="E518" s="407">
        <f t="shared" ref="E518:Z518" si="136">E26</f>
        <v>0</v>
      </c>
      <c r="F518" s="407">
        <f t="shared" si="136"/>
        <v>0</v>
      </c>
      <c r="G518" s="407">
        <f t="shared" si="136"/>
        <v>0</v>
      </c>
      <c r="H518" s="407">
        <f t="shared" si="136"/>
        <v>0</v>
      </c>
      <c r="I518" s="407">
        <f t="shared" si="136"/>
        <v>0</v>
      </c>
      <c r="J518" s="407">
        <f t="shared" si="136"/>
        <v>0</v>
      </c>
      <c r="K518" s="407">
        <f t="shared" si="136"/>
        <v>0</v>
      </c>
      <c r="L518" s="407">
        <f t="shared" si="136"/>
        <v>0</v>
      </c>
      <c r="M518" s="407">
        <f t="shared" si="136"/>
        <v>0</v>
      </c>
      <c r="N518" s="407">
        <f t="shared" si="136"/>
        <v>0</v>
      </c>
      <c r="O518" s="407">
        <f t="shared" si="136"/>
        <v>0</v>
      </c>
      <c r="P518" s="407">
        <f t="shared" si="136"/>
        <v>0</v>
      </c>
      <c r="Q518" s="407">
        <f t="shared" si="136"/>
        <v>0</v>
      </c>
      <c r="R518" s="407">
        <f t="shared" si="136"/>
        <v>0</v>
      </c>
      <c r="S518" s="407">
        <f t="shared" si="136"/>
        <v>0</v>
      </c>
      <c r="T518" s="407">
        <f t="shared" si="136"/>
        <v>0</v>
      </c>
      <c r="U518" s="407">
        <f t="shared" si="136"/>
        <v>0</v>
      </c>
      <c r="V518" s="407">
        <f t="shared" si="136"/>
        <v>0</v>
      </c>
      <c r="W518" s="407">
        <f t="shared" si="136"/>
        <v>0</v>
      </c>
      <c r="X518" s="407">
        <f t="shared" si="136"/>
        <v>0</v>
      </c>
      <c r="Y518" s="407">
        <f t="shared" si="136"/>
        <v>0</v>
      </c>
      <c r="Z518" s="407">
        <f t="shared" si="136"/>
        <v>0</v>
      </c>
    </row>
    <row r="519" spans="1:26" s="368" customFormat="1" ht="12.75" x14ac:dyDescent="0.25">
      <c r="A519" s="348">
        <f>IF(ADSI!$G$12="",ADSI!$H$16,ADSI!$H$12)</f>
        <v>6</v>
      </c>
      <c r="B519" s="348" t="str">
        <f ca="1">IF(ADSI!$G$12="",ADSI!$H$16,ADSI!$H$14)</f>
        <v/>
      </c>
      <c r="C519" s="405">
        <f t="shared" si="119"/>
        <v>818</v>
      </c>
      <c r="D519" s="348">
        <f>ADSI!$K$12</f>
        <v>2021</v>
      </c>
      <c r="E519" s="407">
        <f t="shared" ref="E519:Z519" si="137">E27</f>
        <v>0</v>
      </c>
      <c r="F519" s="407">
        <f t="shared" si="137"/>
        <v>0</v>
      </c>
      <c r="G519" s="407">
        <f t="shared" si="137"/>
        <v>0</v>
      </c>
      <c r="H519" s="407">
        <f t="shared" si="137"/>
        <v>0</v>
      </c>
      <c r="I519" s="407">
        <f t="shared" si="137"/>
        <v>0</v>
      </c>
      <c r="J519" s="407">
        <f t="shared" si="137"/>
        <v>0</v>
      </c>
      <c r="K519" s="407">
        <f t="shared" si="137"/>
        <v>0</v>
      </c>
      <c r="L519" s="407">
        <f t="shared" si="137"/>
        <v>0</v>
      </c>
      <c r="M519" s="407">
        <f t="shared" si="137"/>
        <v>0</v>
      </c>
      <c r="N519" s="407">
        <f t="shared" si="137"/>
        <v>0</v>
      </c>
      <c r="O519" s="407">
        <f t="shared" si="137"/>
        <v>0</v>
      </c>
      <c r="P519" s="407">
        <f t="shared" si="137"/>
        <v>0</v>
      </c>
      <c r="Q519" s="407">
        <f t="shared" si="137"/>
        <v>0</v>
      </c>
      <c r="R519" s="407">
        <f t="shared" si="137"/>
        <v>0</v>
      </c>
      <c r="S519" s="407">
        <f t="shared" si="137"/>
        <v>0</v>
      </c>
      <c r="T519" s="407">
        <f t="shared" si="137"/>
        <v>0</v>
      </c>
      <c r="U519" s="407">
        <f t="shared" si="137"/>
        <v>0</v>
      </c>
      <c r="V519" s="407">
        <f t="shared" si="137"/>
        <v>0</v>
      </c>
      <c r="W519" s="407">
        <f t="shared" si="137"/>
        <v>0</v>
      </c>
      <c r="X519" s="407">
        <f t="shared" si="137"/>
        <v>0</v>
      </c>
      <c r="Y519" s="407">
        <f t="shared" si="137"/>
        <v>0</v>
      </c>
      <c r="Z519" s="407">
        <f t="shared" si="137"/>
        <v>0</v>
      </c>
    </row>
    <row r="520" spans="1:26" s="368" customFormat="1" ht="12.75" x14ac:dyDescent="0.25">
      <c r="A520" s="348">
        <f>IF(ADSI!$G$12="",ADSI!$H$16,ADSI!$H$12)</f>
        <v>6</v>
      </c>
      <c r="B520" s="348" t="str">
        <f ca="1">IF(ADSI!$G$12="",ADSI!$H$16,ADSI!$H$14)</f>
        <v/>
      </c>
      <c r="C520" s="405">
        <f t="shared" si="119"/>
        <v>819</v>
      </c>
      <c r="D520" s="348">
        <f>ADSI!$K$12</f>
        <v>2021</v>
      </c>
      <c r="E520" s="407">
        <f t="shared" ref="E520:Z520" si="138">E28</f>
        <v>0</v>
      </c>
      <c r="F520" s="407">
        <f t="shared" si="138"/>
        <v>0</v>
      </c>
      <c r="G520" s="407">
        <f t="shared" si="138"/>
        <v>0</v>
      </c>
      <c r="H520" s="407">
        <f t="shared" si="138"/>
        <v>0</v>
      </c>
      <c r="I520" s="407">
        <f t="shared" si="138"/>
        <v>0</v>
      </c>
      <c r="J520" s="407">
        <f t="shared" si="138"/>
        <v>0</v>
      </c>
      <c r="K520" s="407">
        <f t="shared" si="138"/>
        <v>0</v>
      </c>
      <c r="L520" s="407">
        <f t="shared" si="138"/>
        <v>0</v>
      </c>
      <c r="M520" s="407">
        <f t="shared" si="138"/>
        <v>0</v>
      </c>
      <c r="N520" s="407">
        <f t="shared" si="138"/>
        <v>0</v>
      </c>
      <c r="O520" s="407">
        <f t="shared" si="138"/>
        <v>0</v>
      </c>
      <c r="P520" s="407">
        <f t="shared" si="138"/>
        <v>0</v>
      </c>
      <c r="Q520" s="407">
        <f t="shared" si="138"/>
        <v>0</v>
      </c>
      <c r="R520" s="407">
        <f t="shared" si="138"/>
        <v>0</v>
      </c>
      <c r="S520" s="407">
        <f t="shared" si="138"/>
        <v>0</v>
      </c>
      <c r="T520" s="407">
        <f t="shared" si="138"/>
        <v>0</v>
      </c>
      <c r="U520" s="407">
        <f t="shared" si="138"/>
        <v>0</v>
      </c>
      <c r="V520" s="407">
        <f t="shared" si="138"/>
        <v>0</v>
      </c>
      <c r="W520" s="407">
        <f t="shared" si="138"/>
        <v>0</v>
      </c>
      <c r="X520" s="407">
        <f t="shared" si="138"/>
        <v>0</v>
      </c>
      <c r="Y520" s="407">
        <f t="shared" si="138"/>
        <v>0</v>
      </c>
      <c r="Z520" s="407">
        <f t="shared" si="138"/>
        <v>0</v>
      </c>
    </row>
    <row r="521" spans="1:26" s="368" customFormat="1" ht="12.75" x14ac:dyDescent="0.25">
      <c r="A521" s="348">
        <f>IF(ADSI!$G$12="",ADSI!$H$16,ADSI!$H$12)</f>
        <v>6</v>
      </c>
      <c r="B521" s="348" t="str">
        <f ca="1">IF(ADSI!$G$12="",ADSI!$H$16,ADSI!$H$14)</f>
        <v/>
      </c>
      <c r="C521" s="405">
        <f t="shared" si="119"/>
        <v>820</v>
      </c>
      <c r="D521" s="348">
        <f>ADSI!$K$12</f>
        <v>2021</v>
      </c>
      <c r="E521" s="407">
        <f t="shared" ref="E521:Z521" si="139">E29</f>
        <v>0</v>
      </c>
      <c r="F521" s="407">
        <f t="shared" si="139"/>
        <v>0</v>
      </c>
      <c r="G521" s="407">
        <f t="shared" si="139"/>
        <v>0</v>
      </c>
      <c r="H521" s="407">
        <f t="shared" si="139"/>
        <v>1</v>
      </c>
      <c r="I521" s="407">
        <f t="shared" si="139"/>
        <v>1</v>
      </c>
      <c r="J521" s="407">
        <f t="shared" si="139"/>
        <v>0</v>
      </c>
      <c r="K521" s="407">
        <f t="shared" si="139"/>
        <v>2</v>
      </c>
      <c r="L521" s="407">
        <f t="shared" si="139"/>
        <v>0</v>
      </c>
      <c r="M521" s="407">
        <f t="shared" si="139"/>
        <v>0</v>
      </c>
      <c r="N521" s="407">
        <f t="shared" si="139"/>
        <v>0</v>
      </c>
      <c r="O521" s="407">
        <f t="shared" si="139"/>
        <v>0</v>
      </c>
      <c r="P521" s="407">
        <f t="shared" si="139"/>
        <v>0</v>
      </c>
      <c r="Q521" s="407">
        <f t="shared" si="139"/>
        <v>0</v>
      </c>
      <c r="R521" s="407">
        <f t="shared" si="139"/>
        <v>0</v>
      </c>
      <c r="S521" s="407">
        <f t="shared" si="139"/>
        <v>0</v>
      </c>
      <c r="T521" s="407">
        <f t="shared" si="139"/>
        <v>0</v>
      </c>
      <c r="U521" s="407">
        <f t="shared" si="139"/>
        <v>0</v>
      </c>
      <c r="V521" s="407">
        <f t="shared" si="139"/>
        <v>0</v>
      </c>
      <c r="W521" s="407">
        <f t="shared" si="139"/>
        <v>0</v>
      </c>
      <c r="X521" s="407">
        <f t="shared" si="139"/>
        <v>0</v>
      </c>
      <c r="Y521" s="407">
        <f t="shared" si="139"/>
        <v>0</v>
      </c>
      <c r="Z521" s="407">
        <f t="shared" si="139"/>
        <v>2</v>
      </c>
    </row>
    <row r="522" spans="1:26" s="368" customFormat="1" ht="12.75" x14ac:dyDescent="0.25">
      <c r="A522" s="348">
        <f>IF(ADSI!$G$12="",ADSI!$H$16,ADSI!$H$12)</f>
        <v>6</v>
      </c>
      <c r="B522" s="348" t="str">
        <f ca="1">IF(ADSI!$G$12="",ADSI!$H$16,ADSI!$H$14)</f>
        <v/>
      </c>
      <c r="C522" s="405">
        <f t="shared" si="119"/>
        <v>821</v>
      </c>
      <c r="D522" s="348">
        <f>ADSI!$K$12</f>
        <v>2021</v>
      </c>
      <c r="E522" s="407">
        <f t="shared" ref="E522:Z522" si="140">E30</f>
        <v>0</v>
      </c>
      <c r="F522" s="407">
        <f t="shared" si="140"/>
        <v>0</v>
      </c>
      <c r="G522" s="407">
        <f t="shared" si="140"/>
        <v>7</v>
      </c>
      <c r="H522" s="407">
        <f t="shared" si="140"/>
        <v>14</v>
      </c>
      <c r="I522" s="407">
        <f t="shared" si="140"/>
        <v>11</v>
      </c>
      <c r="J522" s="407">
        <f t="shared" si="140"/>
        <v>1</v>
      </c>
      <c r="K522" s="407">
        <f t="shared" si="140"/>
        <v>33</v>
      </c>
      <c r="L522" s="407">
        <f t="shared" si="140"/>
        <v>0</v>
      </c>
      <c r="M522" s="407">
        <f t="shared" si="140"/>
        <v>0</v>
      </c>
      <c r="N522" s="407">
        <f t="shared" si="140"/>
        <v>0</v>
      </c>
      <c r="O522" s="407">
        <f t="shared" si="140"/>
        <v>0</v>
      </c>
      <c r="P522" s="407">
        <f t="shared" si="140"/>
        <v>0</v>
      </c>
      <c r="Q522" s="407">
        <f t="shared" si="140"/>
        <v>0</v>
      </c>
      <c r="R522" s="407">
        <f t="shared" si="140"/>
        <v>0</v>
      </c>
      <c r="S522" s="407">
        <f t="shared" si="140"/>
        <v>0</v>
      </c>
      <c r="T522" s="407">
        <f t="shared" si="140"/>
        <v>0</v>
      </c>
      <c r="U522" s="407">
        <f t="shared" si="140"/>
        <v>0</v>
      </c>
      <c r="V522" s="407">
        <f t="shared" si="140"/>
        <v>0</v>
      </c>
      <c r="W522" s="407">
        <f t="shared" si="140"/>
        <v>0</v>
      </c>
      <c r="X522" s="407">
        <f t="shared" si="140"/>
        <v>0</v>
      </c>
      <c r="Y522" s="407">
        <f t="shared" si="140"/>
        <v>0</v>
      </c>
      <c r="Z522" s="407">
        <f t="shared" si="140"/>
        <v>33</v>
      </c>
    </row>
    <row r="523" spans="1:26" s="368" customFormat="1" ht="12.75" x14ac:dyDescent="0.25">
      <c r="A523" s="348">
        <f>IF(ADSI!$G$12="",ADSI!$H$16,ADSI!$H$12)</f>
        <v>6</v>
      </c>
      <c r="B523" s="348" t="str">
        <f ca="1">IF(ADSI!$G$12="",ADSI!$H$16,ADSI!$H$14)</f>
        <v/>
      </c>
      <c r="C523" s="405">
        <f t="shared" si="119"/>
        <v>822</v>
      </c>
      <c r="D523" s="348">
        <f>ADSI!$K$12</f>
        <v>2021</v>
      </c>
      <c r="E523" s="407">
        <f t="shared" ref="E523:Z523" si="141">E31</f>
        <v>0</v>
      </c>
      <c r="F523" s="407">
        <f t="shared" si="141"/>
        <v>0</v>
      </c>
      <c r="G523" s="407">
        <f t="shared" si="141"/>
        <v>0</v>
      </c>
      <c r="H523" s="407">
        <f t="shared" si="141"/>
        <v>0</v>
      </c>
      <c r="I523" s="407">
        <f t="shared" si="141"/>
        <v>0</v>
      </c>
      <c r="J523" s="407">
        <f t="shared" si="141"/>
        <v>4</v>
      </c>
      <c r="K523" s="407">
        <f t="shared" si="141"/>
        <v>4</v>
      </c>
      <c r="L523" s="407">
        <f t="shared" si="141"/>
        <v>0</v>
      </c>
      <c r="M523" s="407">
        <f t="shared" si="141"/>
        <v>0</v>
      </c>
      <c r="N523" s="407">
        <f t="shared" si="141"/>
        <v>0</v>
      </c>
      <c r="O523" s="407">
        <f t="shared" si="141"/>
        <v>0</v>
      </c>
      <c r="P523" s="407">
        <f t="shared" si="141"/>
        <v>0</v>
      </c>
      <c r="Q523" s="407">
        <f t="shared" si="141"/>
        <v>0</v>
      </c>
      <c r="R523" s="407">
        <f t="shared" si="141"/>
        <v>0</v>
      </c>
      <c r="S523" s="407">
        <f t="shared" si="141"/>
        <v>0</v>
      </c>
      <c r="T523" s="407">
        <f t="shared" si="141"/>
        <v>0</v>
      </c>
      <c r="U523" s="407">
        <f t="shared" si="141"/>
        <v>0</v>
      </c>
      <c r="V523" s="407">
        <f t="shared" si="141"/>
        <v>0</v>
      </c>
      <c r="W523" s="407">
        <f t="shared" si="141"/>
        <v>0</v>
      </c>
      <c r="X523" s="407">
        <f t="shared" si="141"/>
        <v>0</v>
      </c>
      <c r="Y523" s="407">
        <f t="shared" si="141"/>
        <v>0</v>
      </c>
      <c r="Z523" s="407">
        <f t="shared" si="141"/>
        <v>4</v>
      </c>
    </row>
    <row r="524" spans="1:26" s="368" customFormat="1" ht="12.75" x14ac:dyDescent="0.25">
      <c r="A524" s="348">
        <f>IF(ADSI!$G$12="",ADSI!$H$16,ADSI!$H$12)</f>
        <v>6</v>
      </c>
      <c r="B524" s="348" t="str">
        <f ca="1">IF(ADSI!$G$12="",ADSI!$H$16,ADSI!$H$14)</f>
        <v/>
      </c>
      <c r="C524" s="405">
        <f t="shared" si="119"/>
        <v>823</v>
      </c>
      <c r="D524" s="348">
        <f>ADSI!$K$12</f>
        <v>2021</v>
      </c>
      <c r="E524" s="407">
        <f t="shared" ref="E524:Z524" si="142">E32</f>
        <v>0</v>
      </c>
      <c r="F524" s="407">
        <f t="shared" si="142"/>
        <v>0</v>
      </c>
      <c r="G524" s="407">
        <f t="shared" si="142"/>
        <v>0</v>
      </c>
      <c r="H524" s="407">
        <f t="shared" si="142"/>
        <v>3</v>
      </c>
      <c r="I524" s="407">
        <f t="shared" si="142"/>
        <v>2</v>
      </c>
      <c r="J524" s="407">
        <f t="shared" si="142"/>
        <v>0</v>
      </c>
      <c r="K524" s="407">
        <f t="shared" si="142"/>
        <v>5</v>
      </c>
      <c r="L524" s="407">
        <f t="shared" si="142"/>
        <v>0</v>
      </c>
      <c r="M524" s="407">
        <f t="shared" si="142"/>
        <v>0</v>
      </c>
      <c r="N524" s="407">
        <f t="shared" si="142"/>
        <v>0</v>
      </c>
      <c r="O524" s="407">
        <f t="shared" si="142"/>
        <v>0</v>
      </c>
      <c r="P524" s="407">
        <f t="shared" si="142"/>
        <v>0</v>
      </c>
      <c r="Q524" s="407">
        <f t="shared" si="142"/>
        <v>0</v>
      </c>
      <c r="R524" s="407">
        <f t="shared" si="142"/>
        <v>0</v>
      </c>
      <c r="S524" s="407">
        <f t="shared" si="142"/>
        <v>0</v>
      </c>
      <c r="T524" s="407">
        <f t="shared" si="142"/>
        <v>0</v>
      </c>
      <c r="U524" s="407">
        <f t="shared" si="142"/>
        <v>0</v>
      </c>
      <c r="V524" s="407">
        <f t="shared" si="142"/>
        <v>0</v>
      </c>
      <c r="W524" s="407">
        <f t="shared" si="142"/>
        <v>0</v>
      </c>
      <c r="X524" s="407">
        <f t="shared" si="142"/>
        <v>0</v>
      </c>
      <c r="Y524" s="407">
        <f t="shared" si="142"/>
        <v>0</v>
      </c>
      <c r="Z524" s="407">
        <f t="shared" si="142"/>
        <v>5</v>
      </c>
    </row>
    <row r="525" spans="1:26" s="368" customFormat="1" ht="12.75" x14ac:dyDescent="0.25">
      <c r="A525" s="348">
        <f>IF(ADSI!$G$12="",ADSI!$H$16,ADSI!$H$12)</f>
        <v>6</v>
      </c>
      <c r="B525" s="348" t="str">
        <f ca="1">IF(ADSI!$G$12="",ADSI!$H$16,ADSI!$H$14)</f>
        <v/>
      </c>
      <c r="C525" s="405">
        <f t="shared" si="119"/>
        <v>840</v>
      </c>
      <c r="D525" s="348">
        <f>ADSI!$K$12</f>
        <v>2021</v>
      </c>
      <c r="E525" s="407">
        <f t="shared" ref="E525:Z525" si="143">E33</f>
        <v>2</v>
      </c>
      <c r="F525" s="407">
        <f t="shared" si="143"/>
        <v>6</v>
      </c>
      <c r="G525" s="407">
        <f t="shared" si="143"/>
        <v>65</v>
      </c>
      <c r="H525" s="407">
        <f t="shared" si="143"/>
        <v>79</v>
      </c>
      <c r="I525" s="407">
        <f t="shared" si="143"/>
        <v>81</v>
      </c>
      <c r="J525" s="407">
        <f t="shared" si="143"/>
        <v>16</v>
      </c>
      <c r="K525" s="407">
        <f t="shared" si="143"/>
        <v>249</v>
      </c>
      <c r="L525" s="407">
        <f t="shared" si="143"/>
        <v>1</v>
      </c>
      <c r="M525" s="407">
        <f t="shared" si="143"/>
        <v>4</v>
      </c>
      <c r="N525" s="407">
        <f t="shared" si="143"/>
        <v>19</v>
      </c>
      <c r="O525" s="407">
        <f t="shared" si="143"/>
        <v>21</v>
      </c>
      <c r="P525" s="407">
        <f t="shared" si="143"/>
        <v>11</v>
      </c>
      <c r="Q525" s="407">
        <f t="shared" si="143"/>
        <v>16</v>
      </c>
      <c r="R525" s="407">
        <f t="shared" si="143"/>
        <v>72</v>
      </c>
      <c r="S525" s="407">
        <f t="shared" si="143"/>
        <v>0</v>
      </c>
      <c r="T525" s="407">
        <f t="shared" si="143"/>
        <v>0</v>
      </c>
      <c r="U525" s="407">
        <f t="shared" si="143"/>
        <v>0</v>
      </c>
      <c r="V525" s="407">
        <f t="shared" si="143"/>
        <v>0</v>
      </c>
      <c r="W525" s="407">
        <f t="shared" si="143"/>
        <v>0</v>
      </c>
      <c r="X525" s="407">
        <f t="shared" si="143"/>
        <v>0</v>
      </c>
      <c r="Y525" s="407">
        <f t="shared" si="143"/>
        <v>0</v>
      </c>
      <c r="Z525" s="407">
        <f t="shared" si="143"/>
        <v>321</v>
      </c>
    </row>
    <row r="526" spans="1:26" s="368" customFormat="1" ht="12.75" x14ac:dyDescent="0.25">
      <c r="A526" s="348"/>
      <c r="B526" s="348"/>
      <c r="C526" s="405"/>
      <c r="D526" s="348"/>
      <c r="E526" s="407"/>
      <c r="F526" s="407"/>
      <c r="G526" s="407"/>
      <c r="H526" s="407"/>
      <c r="I526" s="407"/>
      <c r="J526" s="407"/>
      <c r="K526" s="407"/>
      <c r="L526" s="407"/>
      <c r="M526" s="407"/>
      <c r="N526" s="407"/>
      <c r="O526" s="407"/>
      <c r="P526" s="407"/>
      <c r="Q526" s="407"/>
      <c r="R526" s="407"/>
      <c r="S526" s="407"/>
      <c r="T526" s="407"/>
      <c r="U526" s="407"/>
      <c r="V526" s="407"/>
      <c r="W526" s="407"/>
      <c r="X526" s="407"/>
      <c r="Y526" s="407"/>
      <c r="Z526" s="407"/>
    </row>
    <row r="527" spans="1:26" s="368" customFormat="1" ht="12.75" x14ac:dyDescent="0.25">
      <c r="A527" s="348"/>
      <c r="B527" s="348"/>
      <c r="C527" s="405"/>
      <c r="D527" s="348"/>
      <c r="E527" s="407"/>
      <c r="F527" s="407"/>
      <c r="G527" s="407"/>
      <c r="H527" s="407"/>
      <c r="I527" s="407"/>
      <c r="J527" s="407"/>
      <c r="K527" s="407"/>
      <c r="L527" s="407"/>
      <c r="M527" s="407"/>
      <c r="N527" s="407"/>
      <c r="O527" s="407"/>
      <c r="P527" s="407"/>
      <c r="Q527" s="407"/>
      <c r="R527" s="407"/>
      <c r="S527" s="407"/>
      <c r="T527" s="407"/>
      <c r="U527" s="407"/>
      <c r="V527" s="407"/>
      <c r="W527" s="407"/>
      <c r="X527" s="407"/>
      <c r="Y527" s="407"/>
      <c r="Z527" s="407"/>
    </row>
    <row r="528" spans="1:26" s="368" customFormat="1" ht="12.75" x14ac:dyDescent="0.25">
      <c r="A528" s="348"/>
      <c r="B528" s="348"/>
      <c r="C528" s="405"/>
      <c r="D528" s="348"/>
      <c r="E528" s="407"/>
      <c r="F528" s="407"/>
      <c r="G528" s="407"/>
      <c r="H528" s="407"/>
      <c r="I528" s="407"/>
      <c r="J528" s="407"/>
      <c r="K528" s="407"/>
      <c r="L528" s="407"/>
      <c r="M528" s="407"/>
      <c r="N528" s="407"/>
      <c r="O528" s="407"/>
      <c r="P528" s="407"/>
      <c r="Q528" s="407"/>
      <c r="R528" s="407"/>
      <c r="S528" s="407"/>
      <c r="T528" s="407"/>
      <c r="U528" s="407"/>
      <c r="V528" s="407"/>
      <c r="W528" s="407"/>
      <c r="X528" s="407"/>
      <c r="Y528" s="407"/>
      <c r="Z528" s="407"/>
    </row>
    <row r="529" spans="1:26" s="368" customFormat="1" ht="12.75" x14ac:dyDescent="0.25">
      <c r="A529" s="348"/>
      <c r="B529" s="348"/>
      <c r="C529" s="405"/>
      <c r="D529" s="348"/>
      <c r="E529" s="407"/>
      <c r="F529" s="407"/>
      <c r="G529" s="407"/>
      <c r="H529" s="407"/>
      <c r="I529" s="407"/>
      <c r="J529" s="407"/>
      <c r="K529" s="407"/>
      <c r="L529" s="407"/>
      <c r="M529" s="407"/>
      <c r="N529" s="407"/>
      <c r="O529" s="407"/>
      <c r="P529" s="407"/>
      <c r="Q529" s="407"/>
      <c r="R529" s="407"/>
      <c r="S529" s="407"/>
      <c r="T529" s="407"/>
      <c r="U529" s="407"/>
      <c r="V529" s="407"/>
      <c r="W529" s="407"/>
      <c r="X529" s="407"/>
      <c r="Y529" s="407"/>
      <c r="Z529" s="407"/>
    </row>
    <row r="530" spans="1:26" s="368" customFormat="1" ht="12.75" x14ac:dyDescent="0.25">
      <c r="A530" s="348"/>
      <c r="B530" s="348"/>
      <c r="C530" s="405"/>
      <c r="D530" s="348"/>
      <c r="E530" s="407"/>
      <c r="F530" s="407"/>
      <c r="G530" s="407"/>
      <c r="H530" s="407"/>
      <c r="I530" s="407"/>
      <c r="J530" s="407"/>
      <c r="K530" s="407"/>
      <c r="L530" s="407"/>
      <c r="M530" s="407"/>
      <c r="N530" s="407"/>
      <c r="O530" s="407"/>
      <c r="P530" s="407"/>
      <c r="Q530" s="407"/>
      <c r="R530" s="407"/>
      <c r="S530" s="407"/>
      <c r="T530" s="407"/>
      <c r="U530" s="407"/>
      <c r="V530" s="407"/>
      <c r="W530" s="407"/>
      <c r="X530" s="407"/>
      <c r="Y530" s="407"/>
      <c r="Z530" s="407"/>
    </row>
    <row r="531" spans="1:26" s="368" customFormat="1" ht="12.75" x14ac:dyDescent="0.25">
      <c r="A531" s="348"/>
      <c r="B531" s="348"/>
      <c r="C531" s="405"/>
      <c r="D531" s="348"/>
      <c r="E531" s="407"/>
      <c r="F531" s="407"/>
      <c r="G531" s="407"/>
      <c r="H531" s="407"/>
      <c r="I531" s="407"/>
      <c r="J531" s="407"/>
      <c r="K531" s="407"/>
      <c r="L531" s="407"/>
      <c r="M531" s="407"/>
      <c r="N531" s="407"/>
      <c r="O531" s="407"/>
      <c r="P531" s="407"/>
      <c r="Q531" s="407"/>
      <c r="R531" s="407"/>
      <c r="S531" s="407"/>
      <c r="T531" s="407"/>
      <c r="U531" s="407"/>
      <c r="V531" s="407"/>
      <c r="W531" s="407"/>
      <c r="X531" s="407"/>
      <c r="Y531" s="407"/>
      <c r="Z531" s="407"/>
    </row>
    <row r="532" spans="1:26" s="368" customFormat="1" ht="12.75" x14ac:dyDescent="0.25">
      <c r="A532" s="348"/>
      <c r="B532" s="348"/>
      <c r="C532" s="405"/>
      <c r="D532" s="348"/>
      <c r="E532" s="407"/>
      <c r="F532" s="407"/>
      <c r="G532" s="407"/>
      <c r="H532" s="407"/>
      <c r="I532" s="407"/>
      <c r="J532" s="407"/>
      <c r="K532" s="407"/>
      <c r="L532" s="407"/>
      <c r="M532" s="407"/>
      <c r="N532" s="407"/>
      <c r="O532" s="407"/>
      <c r="P532" s="407"/>
      <c r="Q532" s="407"/>
      <c r="R532" s="407"/>
      <c r="S532" s="407"/>
      <c r="T532" s="407"/>
      <c r="U532" s="407"/>
      <c r="V532" s="407"/>
      <c r="W532" s="407"/>
      <c r="X532" s="407"/>
      <c r="Y532" s="407"/>
      <c r="Z532" s="407"/>
    </row>
    <row r="533" spans="1:26" x14ac:dyDescent="0.25">
      <c r="A533" s="348"/>
      <c r="B533" s="348"/>
      <c r="C533" s="405"/>
      <c r="D533" s="348"/>
      <c r="E533" s="407"/>
      <c r="F533" s="407"/>
      <c r="G533" s="407"/>
      <c r="H533" s="407"/>
      <c r="I533" s="407"/>
      <c r="J533" s="407"/>
      <c r="K533" s="407"/>
      <c r="L533" s="407"/>
      <c r="M533" s="407"/>
      <c r="N533" s="407"/>
      <c r="O533" s="407"/>
      <c r="P533" s="407"/>
      <c r="Q533" s="407"/>
      <c r="R533" s="407"/>
      <c r="S533" s="407"/>
      <c r="T533" s="407"/>
      <c r="U533" s="407"/>
      <c r="V533" s="407"/>
      <c r="W533" s="407"/>
      <c r="X533" s="407"/>
      <c r="Y533" s="407"/>
      <c r="Z533" s="407"/>
    </row>
  </sheetData>
  <sheetProtection password="C614" sheet="1" objects="1" scenarios="1" selectLockedCells="1"/>
  <mergeCells count="66">
    <mergeCell ref="A5:A7"/>
    <mergeCell ref="A34:D34"/>
    <mergeCell ref="A35:D35"/>
    <mergeCell ref="BY204:BY206"/>
    <mergeCell ref="BR205:BX205"/>
    <mergeCell ref="BR204:BX204"/>
    <mergeCell ref="BD205:BJ205"/>
    <mergeCell ref="BD204:BQ204"/>
    <mergeCell ref="BK205:BQ205"/>
    <mergeCell ref="C20:D20"/>
    <mergeCell ref="C21:D21"/>
    <mergeCell ref="C22:D22"/>
    <mergeCell ref="C23:D23"/>
    <mergeCell ref="C25:D25"/>
    <mergeCell ref="C30:D30"/>
    <mergeCell ref="C31:D31"/>
    <mergeCell ref="C24:D24"/>
    <mergeCell ref="BB231:BC231"/>
    <mergeCell ref="BB207:BC207"/>
    <mergeCell ref="BB204:BC206"/>
    <mergeCell ref="BB228:BC228"/>
    <mergeCell ref="BA204:BA206"/>
    <mergeCell ref="BB222:BC222"/>
    <mergeCell ref="BB219:BC219"/>
    <mergeCell ref="BB220:BC220"/>
    <mergeCell ref="BB221:BC221"/>
    <mergeCell ref="BB208:BC208"/>
    <mergeCell ref="BB209:BC209"/>
    <mergeCell ref="BB210:BB213"/>
    <mergeCell ref="BB216:BC216"/>
    <mergeCell ref="BB218:BC218"/>
    <mergeCell ref="BB224:BC224"/>
    <mergeCell ref="C32:D32"/>
    <mergeCell ref="C33:D33"/>
    <mergeCell ref="C26:D26"/>
    <mergeCell ref="C27:D27"/>
    <mergeCell ref="C28:D28"/>
    <mergeCell ref="C29:D29"/>
    <mergeCell ref="C16:D16"/>
    <mergeCell ref="C17:D17"/>
    <mergeCell ref="C18:D18"/>
    <mergeCell ref="C19:D19"/>
    <mergeCell ref="C9:D9"/>
    <mergeCell ref="C10:D10"/>
    <mergeCell ref="C11:C14"/>
    <mergeCell ref="C15:D15"/>
    <mergeCell ref="C8:D8"/>
    <mergeCell ref="S6:Y6"/>
    <mergeCell ref="B5:B7"/>
    <mergeCell ref="Z5:Z7"/>
    <mergeCell ref="E6:K6"/>
    <mergeCell ref="L6:R6"/>
    <mergeCell ref="C5:D7"/>
    <mergeCell ref="E5:Y5"/>
    <mergeCell ref="BA235:BC235"/>
    <mergeCell ref="BA236:BC236"/>
    <mergeCell ref="BA237:BC237"/>
    <mergeCell ref="A36:D36"/>
    <mergeCell ref="A37:D37"/>
    <mergeCell ref="A38:D38"/>
    <mergeCell ref="BA233:BC233"/>
    <mergeCell ref="BA234:BC234"/>
    <mergeCell ref="BB225:BC225"/>
    <mergeCell ref="BB223:BC223"/>
    <mergeCell ref="BB226:BC226"/>
    <mergeCell ref="BB227:BC227"/>
  </mergeCells>
  <conditionalFormatting sqref="E35:Z35">
    <cfRule type="cellIs" dxfId="52" priority="3" operator="equal">
      <formula>FALSE</formula>
    </cfRule>
  </conditionalFormatting>
  <conditionalFormatting sqref="E36:Z38">
    <cfRule type="cellIs" dxfId="51" priority="1" operator="equal">
      <formula>"ABVAR"</formula>
    </cfRule>
    <cfRule type="cellIs" dxfId="50" priority="2" operator="equal">
      <formula>FALSE</formula>
    </cfRule>
  </conditionalFormatting>
  <dataValidations count="1">
    <dataValidation type="whole" allowBlank="1" showInputMessage="1" showErrorMessage="1" sqref="E9:J9 L9:Q9 L21:Q24 L12:Q18 S12:X18 L27:Q32 E21:J24 E12:J18 E27:J32 S9:X9 S21:X24 S27:X32">
      <formula1>0</formula1>
      <formula2>999999999</formula2>
    </dataValidation>
  </dataValidations>
  <pageMargins left="0.39370078740157483" right="0" top="0.59055118110236227" bottom="0.43307086614173229" header="0.31496062992125984" footer="0.19685039370078741"/>
  <pageSetup paperSize="5" orientation="landscape" r:id="rId1"/>
  <headerFooter>
    <oddFooter>&amp;L&amp;9ADSI - &amp;A&amp;C&amp;9&amp;D &amp;T&amp;R&amp;9Page &amp;P of &amp;N</oddFooter>
  </headerFooter>
  <rowBreaks count="1" manualBreakCount="1">
    <brk id="223" min="52" max="76" man="1"/>
  </rowBreaks>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X529"/>
  <sheetViews>
    <sheetView showGridLines="0" workbookViewId="0">
      <pane xSplit="3" ySplit="9" topLeftCell="D10" activePane="bottomRight" state="frozen"/>
      <selection activeCell="D9" sqref="D9"/>
      <selection pane="topRight" activeCell="D9" sqref="D9"/>
      <selection pane="bottomLeft" activeCell="D9" sqref="D9"/>
      <selection pane="bottomRight" activeCell="D11" sqref="D11"/>
    </sheetView>
  </sheetViews>
  <sheetFormatPr defaultRowHeight="15" x14ac:dyDescent="0.25"/>
  <cols>
    <col min="1" max="2" width="6.7109375" style="2" customWidth="1"/>
    <col min="3" max="3" width="39.140625" style="2" bestFit="1" customWidth="1"/>
    <col min="4" max="6" width="11.7109375" style="2" customWidth="1"/>
    <col min="7" max="7" width="12.7109375" style="2" customWidth="1"/>
    <col min="8" max="10" width="11.7109375" style="2" customWidth="1"/>
    <col min="11" max="11" width="12.7109375" style="2" customWidth="1"/>
    <col min="12" max="14" width="11.7109375" style="2" customWidth="1"/>
    <col min="15" max="15" width="12.7109375" style="2" customWidth="1"/>
    <col min="16" max="18" width="11.7109375" style="2" customWidth="1"/>
    <col min="19" max="19" width="12.7109375" style="2" customWidth="1"/>
    <col min="20" max="22" width="11.7109375" style="2" customWidth="1"/>
    <col min="23" max="23" width="12.7109375" style="2" customWidth="1"/>
    <col min="24" max="26" width="13.7109375" style="2" customWidth="1"/>
    <col min="27" max="27" width="15.7109375" style="2" customWidth="1"/>
    <col min="28" max="30" width="11.7109375" style="2" customWidth="1"/>
    <col min="31" max="31" width="12.7109375" style="2" customWidth="1"/>
    <col min="32" max="34" width="11.7109375" style="2" customWidth="1"/>
    <col min="35" max="35" width="12.7109375" style="2" customWidth="1"/>
    <col min="36" max="38" width="11.7109375" style="2" customWidth="1"/>
    <col min="39" max="39" width="12.7109375" style="2" customWidth="1"/>
    <col min="40" max="42" width="11.7109375" style="2" customWidth="1"/>
    <col min="43" max="43" width="12.7109375" style="2" customWidth="1"/>
    <col min="44" max="46" width="13.7109375" style="2" customWidth="1"/>
    <col min="47" max="47" width="15.7109375" style="2" customWidth="1"/>
    <col min="48" max="51" width="12.7109375" style="2" customWidth="1"/>
    <col min="52" max="52" width="9.140625" style="2"/>
    <col min="53" max="53" width="5.140625" style="2" customWidth="1"/>
    <col min="54" max="54" width="15.140625" style="2" bestFit="1" customWidth="1"/>
    <col min="55" max="98" width="9" style="2" customWidth="1"/>
    <col min="99" max="16384" width="9.140625" style="2"/>
  </cols>
  <sheetData>
    <row r="1" spans="1:51" ht="15.75" x14ac:dyDescent="0.25">
      <c r="A1" s="285" t="str">
        <f>ADSI!$B$1</f>
        <v>Goa, , ADSI-2021</v>
      </c>
    </row>
    <row r="2" spans="1:51" ht="15.75" x14ac:dyDescent="0.25">
      <c r="A2" s="286" t="s">
        <v>657</v>
      </c>
      <c r="C2" s="287">
        <f>COUNTIF(X24:AA24,FALSE)+COUNTIF(X26:AA26,FALSE)+COUNTIF(AR24:AU24,FALSE)+COUNTIF(AR26:AU26,FALSE)+COUNTIF(X36:AA36,FALSE)+COUNTIF(X38:AA38,FALSE)+COUNTIF(AR36:AU36,FALSE)+COUNTIF(AR38:AU38,FALSE)+COUNTIF(AV11:AY18,FALSE)+COUNTIF(AV28:AY32,FALSE)</f>
        <v>0</v>
      </c>
      <c r="E2" s="465" t="s">
        <v>1570</v>
      </c>
      <c r="F2" s="464">
        <f>COUNTIF(D19:AU20,"ABVAR")</f>
        <v>2</v>
      </c>
    </row>
    <row r="3" spans="1:51" ht="15.75" x14ac:dyDescent="0.25">
      <c r="A3" s="296" t="s">
        <v>129</v>
      </c>
      <c r="C3" s="73"/>
      <c r="D3" s="73"/>
      <c r="E3" s="73"/>
      <c r="F3" s="73"/>
      <c r="G3" s="73"/>
      <c r="H3" s="73"/>
      <c r="I3" s="73"/>
      <c r="J3" s="73"/>
      <c r="K3" s="73"/>
      <c r="L3" s="172"/>
      <c r="M3" s="35"/>
      <c r="O3" s="172"/>
      <c r="P3" s="172"/>
      <c r="Q3" s="172"/>
      <c r="R3" s="172"/>
      <c r="S3" s="172"/>
      <c r="T3" s="172"/>
      <c r="U3" s="172"/>
      <c r="V3" s="112"/>
      <c r="W3" s="777"/>
      <c r="X3" s="777"/>
      <c r="Y3" s="777"/>
      <c r="Z3" s="777"/>
      <c r="AA3" s="777"/>
      <c r="AB3" s="777"/>
      <c r="AC3" s="777"/>
      <c r="AD3" s="777"/>
      <c r="AE3" s="777"/>
      <c r="AF3" s="777"/>
      <c r="AG3" s="777"/>
      <c r="AH3" s="777"/>
      <c r="AI3" s="777"/>
      <c r="AJ3" s="777"/>
      <c r="AK3" s="777"/>
      <c r="AL3" s="777"/>
      <c r="AM3" s="777"/>
      <c r="AN3" s="777"/>
      <c r="AO3" s="777"/>
      <c r="AP3" s="777"/>
      <c r="AQ3" s="777"/>
      <c r="AR3" s="777"/>
      <c r="AS3" s="777"/>
      <c r="AT3" s="777"/>
      <c r="AU3" s="777"/>
    </row>
    <row r="4" spans="1:51" x14ac:dyDescent="0.25">
      <c r="A4" s="296" t="s">
        <v>628</v>
      </c>
      <c r="C4" s="112"/>
      <c r="D4" s="112"/>
      <c r="E4" s="112"/>
      <c r="F4" s="112"/>
      <c r="G4" s="112"/>
      <c r="H4" s="112"/>
      <c r="I4" s="112"/>
      <c r="J4" s="112"/>
      <c r="K4" s="112"/>
      <c r="L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80"/>
      <c r="AT4" s="80"/>
      <c r="AU4" s="80"/>
    </row>
    <row r="5" spans="1:51" ht="20.100000000000001" customHeight="1" x14ac:dyDescent="0.25">
      <c r="A5" s="636" t="s">
        <v>249</v>
      </c>
      <c r="B5" s="636" t="s">
        <v>138</v>
      </c>
      <c r="C5" s="634" t="s">
        <v>629</v>
      </c>
      <c r="D5" s="649" t="s">
        <v>139</v>
      </c>
      <c r="E5" s="649"/>
      <c r="F5" s="649"/>
      <c r="G5" s="649"/>
      <c r="H5" s="649"/>
      <c r="I5" s="649"/>
      <c r="J5" s="649"/>
      <c r="K5" s="649"/>
      <c r="L5" s="649"/>
      <c r="M5" s="649"/>
      <c r="N5" s="649"/>
      <c r="O5" s="649"/>
      <c r="P5" s="649"/>
      <c r="Q5" s="649"/>
      <c r="R5" s="649"/>
      <c r="S5" s="649"/>
      <c r="T5" s="649"/>
      <c r="U5" s="649"/>
      <c r="V5" s="649"/>
      <c r="W5" s="649"/>
      <c r="X5" s="649"/>
      <c r="Y5" s="649"/>
      <c r="Z5" s="649"/>
      <c r="AA5" s="649"/>
      <c r="AB5" s="649" t="s">
        <v>139</v>
      </c>
      <c r="AC5" s="649"/>
      <c r="AD5" s="649"/>
      <c r="AE5" s="649"/>
      <c r="AF5" s="649"/>
      <c r="AG5" s="649"/>
      <c r="AH5" s="649"/>
      <c r="AI5" s="649"/>
      <c r="AJ5" s="649"/>
      <c r="AK5" s="649"/>
      <c r="AL5" s="649"/>
      <c r="AM5" s="649"/>
      <c r="AN5" s="649"/>
      <c r="AO5" s="649"/>
      <c r="AP5" s="649"/>
      <c r="AQ5" s="649"/>
      <c r="AR5" s="649"/>
      <c r="AS5" s="649"/>
      <c r="AT5" s="649"/>
      <c r="AU5" s="649"/>
      <c r="AV5" s="695" t="s">
        <v>1670</v>
      </c>
      <c r="AW5" s="695"/>
      <c r="AX5" s="695"/>
      <c r="AY5" s="695"/>
    </row>
    <row r="6" spans="1:51" ht="20.100000000000001" customHeight="1" x14ac:dyDescent="0.25">
      <c r="A6" s="644"/>
      <c r="B6" s="644"/>
      <c r="C6" s="645"/>
      <c r="D6" s="778" t="s">
        <v>140</v>
      </c>
      <c r="E6" s="779"/>
      <c r="F6" s="779"/>
      <c r="G6" s="779"/>
      <c r="H6" s="779"/>
      <c r="I6" s="779"/>
      <c r="J6" s="779"/>
      <c r="K6" s="779"/>
      <c r="L6" s="779"/>
      <c r="M6" s="779"/>
      <c r="N6" s="779"/>
      <c r="O6" s="779"/>
      <c r="P6" s="779"/>
      <c r="Q6" s="779"/>
      <c r="R6" s="779"/>
      <c r="S6" s="779"/>
      <c r="T6" s="779"/>
      <c r="U6" s="779"/>
      <c r="V6" s="779"/>
      <c r="W6" s="779"/>
      <c r="X6" s="779"/>
      <c r="Y6" s="779"/>
      <c r="Z6" s="779"/>
      <c r="AA6" s="780"/>
      <c r="AB6" s="769" t="s">
        <v>145</v>
      </c>
      <c r="AC6" s="769"/>
      <c r="AD6" s="769"/>
      <c r="AE6" s="769"/>
      <c r="AF6" s="769"/>
      <c r="AG6" s="769"/>
      <c r="AH6" s="769"/>
      <c r="AI6" s="769"/>
      <c r="AJ6" s="769"/>
      <c r="AK6" s="769"/>
      <c r="AL6" s="769"/>
      <c r="AM6" s="769"/>
      <c r="AN6" s="769"/>
      <c r="AO6" s="769"/>
      <c r="AP6" s="769"/>
      <c r="AQ6" s="769"/>
      <c r="AR6" s="769"/>
      <c r="AS6" s="769"/>
      <c r="AT6" s="769"/>
      <c r="AU6" s="769"/>
      <c r="AV6" s="695"/>
      <c r="AW6" s="695"/>
      <c r="AX6" s="695"/>
      <c r="AY6" s="695"/>
    </row>
    <row r="7" spans="1:51" ht="20.100000000000001" customHeight="1" x14ac:dyDescent="0.25">
      <c r="A7" s="644"/>
      <c r="B7" s="644"/>
      <c r="C7" s="645"/>
      <c r="D7" s="646" t="s">
        <v>141</v>
      </c>
      <c r="E7" s="646"/>
      <c r="F7" s="646"/>
      <c r="G7" s="646"/>
      <c r="H7" s="698" t="s">
        <v>142</v>
      </c>
      <c r="I7" s="698"/>
      <c r="J7" s="698"/>
      <c r="K7" s="698"/>
      <c r="L7" s="646" t="s">
        <v>143</v>
      </c>
      <c r="M7" s="646"/>
      <c r="N7" s="646"/>
      <c r="O7" s="646"/>
      <c r="P7" s="698" t="s">
        <v>144</v>
      </c>
      <c r="Q7" s="698"/>
      <c r="R7" s="698"/>
      <c r="S7" s="698"/>
      <c r="T7" s="646" t="s">
        <v>9</v>
      </c>
      <c r="U7" s="646"/>
      <c r="V7" s="646"/>
      <c r="W7" s="646"/>
      <c r="X7" s="686" t="s">
        <v>17</v>
      </c>
      <c r="Y7" s="686"/>
      <c r="Z7" s="686"/>
      <c r="AA7" s="686"/>
      <c r="AB7" s="646" t="s">
        <v>146</v>
      </c>
      <c r="AC7" s="646"/>
      <c r="AD7" s="646"/>
      <c r="AE7" s="646"/>
      <c r="AF7" s="698" t="s">
        <v>147</v>
      </c>
      <c r="AG7" s="698"/>
      <c r="AH7" s="698"/>
      <c r="AI7" s="698"/>
      <c r="AJ7" s="646" t="s">
        <v>148</v>
      </c>
      <c r="AK7" s="646"/>
      <c r="AL7" s="646"/>
      <c r="AM7" s="646"/>
      <c r="AN7" s="698" t="s">
        <v>149</v>
      </c>
      <c r="AO7" s="698"/>
      <c r="AP7" s="698"/>
      <c r="AQ7" s="698"/>
      <c r="AR7" s="649" t="s">
        <v>17</v>
      </c>
      <c r="AS7" s="649"/>
      <c r="AT7" s="649"/>
      <c r="AU7" s="649"/>
      <c r="AV7" s="695"/>
      <c r="AW7" s="695"/>
      <c r="AX7" s="695"/>
      <c r="AY7" s="695"/>
    </row>
    <row r="8" spans="1:51" ht="20.100000000000001" customHeight="1" x14ac:dyDescent="0.25">
      <c r="A8" s="637"/>
      <c r="B8" s="637"/>
      <c r="C8" s="635"/>
      <c r="D8" s="170" t="s">
        <v>38</v>
      </c>
      <c r="E8" s="170" t="s">
        <v>39</v>
      </c>
      <c r="F8" s="170" t="s">
        <v>240</v>
      </c>
      <c r="G8" s="170" t="s">
        <v>17</v>
      </c>
      <c r="H8" s="225" t="s">
        <v>38</v>
      </c>
      <c r="I8" s="225" t="s">
        <v>39</v>
      </c>
      <c r="J8" s="225" t="s">
        <v>240</v>
      </c>
      <c r="K8" s="225" t="s">
        <v>17</v>
      </c>
      <c r="L8" s="170" t="s">
        <v>38</v>
      </c>
      <c r="M8" s="170" t="s">
        <v>39</v>
      </c>
      <c r="N8" s="170" t="s">
        <v>240</v>
      </c>
      <c r="O8" s="170" t="s">
        <v>17</v>
      </c>
      <c r="P8" s="225" t="s">
        <v>38</v>
      </c>
      <c r="Q8" s="225" t="s">
        <v>39</v>
      </c>
      <c r="R8" s="225" t="s">
        <v>240</v>
      </c>
      <c r="S8" s="225" t="s">
        <v>17</v>
      </c>
      <c r="T8" s="170" t="s">
        <v>38</v>
      </c>
      <c r="U8" s="170" t="s">
        <v>39</v>
      </c>
      <c r="V8" s="170" t="s">
        <v>240</v>
      </c>
      <c r="W8" s="170" t="s">
        <v>17</v>
      </c>
      <c r="X8" s="225" t="s">
        <v>38</v>
      </c>
      <c r="Y8" s="225" t="s">
        <v>39</v>
      </c>
      <c r="Z8" s="225" t="s">
        <v>240</v>
      </c>
      <c r="AA8" s="225" t="s">
        <v>17</v>
      </c>
      <c r="AB8" s="170" t="s">
        <v>38</v>
      </c>
      <c r="AC8" s="170" t="s">
        <v>39</v>
      </c>
      <c r="AD8" s="170" t="s">
        <v>240</v>
      </c>
      <c r="AE8" s="170" t="s">
        <v>17</v>
      </c>
      <c r="AF8" s="225" t="s">
        <v>38</v>
      </c>
      <c r="AG8" s="225" t="s">
        <v>39</v>
      </c>
      <c r="AH8" s="225" t="s">
        <v>240</v>
      </c>
      <c r="AI8" s="225" t="s">
        <v>17</v>
      </c>
      <c r="AJ8" s="170" t="s">
        <v>38</v>
      </c>
      <c r="AK8" s="170" t="s">
        <v>39</v>
      </c>
      <c r="AL8" s="170" t="s">
        <v>240</v>
      </c>
      <c r="AM8" s="170" t="s">
        <v>17</v>
      </c>
      <c r="AN8" s="225" t="s">
        <v>38</v>
      </c>
      <c r="AO8" s="225" t="s">
        <v>39</v>
      </c>
      <c r="AP8" s="225" t="s">
        <v>240</v>
      </c>
      <c r="AQ8" s="225" t="s">
        <v>17</v>
      </c>
      <c r="AR8" s="170" t="s">
        <v>38</v>
      </c>
      <c r="AS8" s="170" t="s">
        <v>39</v>
      </c>
      <c r="AT8" s="170" t="s">
        <v>240</v>
      </c>
      <c r="AU8" s="170" t="s">
        <v>17</v>
      </c>
      <c r="AV8" s="539" t="s">
        <v>38</v>
      </c>
      <c r="AW8" s="539" t="s">
        <v>39</v>
      </c>
      <c r="AX8" s="539" t="s">
        <v>240</v>
      </c>
      <c r="AY8" s="539" t="s">
        <v>17</v>
      </c>
    </row>
    <row r="9" spans="1:51" ht="20.100000000000001" customHeight="1" x14ac:dyDescent="0.25">
      <c r="A9" s="8"/>
      <c r="B9" s="8" t="s">
        <v>181</v>
      </c>
      <c r="C9" s="219" t="s">
        <v>182</v>
      </c>
      <c r="D9" s="8" t="s">
        <v>183</v>
      </c>
      <c r="E9" s="9" t="s">
        <v>184</v>
      </c>
      <c r="F9" s="9" t="s">
        <v>185</v>
      </c>
      <c r="G9" s="9" t="s">
        <v>186</v>
      </c>
      <c r="H9" s="219" t="s">
        <v>187</v>
      </c>
      <c r="I9" s="219" t="s">
        <v>188</v>
      </c>
      <c r="J9" s="219" t="s">
        <v>189</v>
      </c>
      <c r="K9" s="219" t="s">
        <v>190</v>
      </c>
      <c r="L9" s="8" t="s">
        <v>191</v>
      </c>
      <c r="M9" s="8" t="s">
        <v>192</v>
      </c>
      <c r="N9" s="8" t="s">
        <v>193</v>
      </c>
      <c r="O9" s="8" t="s">
        <v>194</v>
      </c>
      <c r="P9" s="218" t="s">
        <v>195</v>
      </c>
      <c r="Q9" s="218" t="s">
        <v>196</v>
      </c>
      <c r="R9" s="218" t="s">
        <v>197</v>
      </c>
      <c r="S9" s="219" t="s">
        <v>204</v>
      </c>
      <c r="T9" s="8" t="s">
        <v>205</v>
      </c>
      <c r="U9" s="8" t="s">
        <v>206</v>
      </c>
      <c r="V9" s="8" t="s">
        <v>207</v>
      </c>
      <c r="W9" s="8" t="s">
        <v>208</v>
      </c>
      <c r="X9" s="219" t="s">
        <v>209</v>
      </c>
      <c r="Y9" s="219" t="s">
        <v>210</v>
      </c>
      <c r="Z9" s="219" t="s">
        <v>211</v>
      </c>
      <c r="AA9" s="218" t="s">
        <v>212</v>
      </c>
      <c r="AB9" s="9" t="s">
        <v>213</v>
      </c>
      <c r="AC9" s="9" t="s">
        <v>214</v>
      </c>
      <c r="AD9" s="8" t="s">
        <v>215</v>
      </c>
      <c r="AE9" s="8" t="s">
        <v>216</v>
      </c>
      <c r="AF9" s="219" t="s">
        <v>217</v>
      </c>
      <c r="AG9" s="219" t="s">
        <v>218</v>
      </c>
      <c r="AH9" s="219" t="s">
        <v>219</v>
      </c>
      <c r="AI9" s="219" t="s">
        <v>220</v>
      </c>
      <c r="AJ9" s="8" t="s">
        <v>221</v>
      </c>
      <c r="AK9" s="8" t="s">
        <v>222</v>
      </c>
      <c r="AL9" s="8" t="s">
        <v>223</v>
      </c>
      <c r="AM9" s="8" t="s">
        <v>224</v>
      </c>
      <c r="AN9" s="219" t="s">
        <v>225</v>
      </c>
      <c r="AO9" s="219" t="s">
        <v>226</v>
      </c>
      <c r="AP9" s="219" t="s">
        <v>227</v>
      </c>
      <c r="AQ9" s="219" t="s">
        <v>228</v>
      </c>
      <c r="AR9" s="8" t="s">
        <v>229</v>
      </c>
      <c r="AS9" s="8" t="s">
        <v>230</v>
      </c>
      <c r="AT9" s="8" t="s">
        <v>231</v>
      </c>
      <c r="AU9" s="8" t="s">
        <v>232</v>
      </c>
      <c r="AV9" s="408"/>
      <c r="AW9" s="408"/>
      <c r="AX9" s="408"/>
      <c r="AY9" s="408"/>
    </row>
    <row r="10" spans="1:51" ht="20.100000000000001" customHeight="1" x14ac:dyDescent="0.25">
      <c r="A10" s="293" t="s">
        <v>630</v>
      </c>
      <c r="B10" s="294"/>
      <c r="C10" s="294"/>
      <c r="D10" s="294"/>
      <c r="E10" s="294"/>
      <c r="F10" s="294"/>
      <c r="G10" s="294"/>
      <c r="H10" s="294"/>
      <c r="I10" s="294"/>
      <c r="J10" s="294"/>
      <c r="K10" s="294"/>
      <c r="L10" s="294"/>
      <c r="M10" s="294"/>
      <c r="N10" s="294"/>
      <c r="O10" s="294"/>
      <c r="P10" s="294"/>
      <c r="Q10" s="294"/>
      <c r="R10" s="294"/>
      <c r="S10" s="294"/>
      <c r="T10" s="294"/>
      <c r="U10" s="294"/>
      <c r="V10" s="294"/>
      <c r="W10" s="294"/>
      <c r="X10" s="294"/>
      <c r="Y10" s="294"/>
      <c r="Z10" s="294"/>
      <c r="AA10" s="294"/>
      <c r="AB10" s="294"/>
      <c r="AC10" s="294"/>
      <c r="AD10" s="294"/>
      <c r="AE10" s="294"/>
      <c r="AF10" s="294"/>
      <c r="AG10" s="294"/>
      <c r="AH10" s="294"/>
      <c r="AI10" s="294"/>
      <c r="AJ10" s="294"/>
      <c r="AK10" s="294"/>
      <c r="AL10" s="294"/>
      <c r="AM10" s="294"/>
      <c r="AN10" s="294"/>
      <c r="AO10" s="294"/>
      <c r="AP10" s="294"/>
      <c r="AQ10" s="294"/>
      <c r="AR10" s="294"/>
      <c r="AS10" s="294"/>
      <c r="AT10" s="294"/>
      <c r="AU10" s="295"/>
      <c r="AV10" s="408"/>
      <c r="AW10" s="408"/>
      <c r="AX10" s="408"/>
      <c r="AY10" s="408"/>
    </row>
    <row r="11" spans="1:51" ht="20.100000000000001" customHeight="1" x14ac:dyDescent="0.25">
      <c r="A11" s="116">
        <v>850</v>
      </c>
      <c r="B11" s="116">
        <v>1</v>
      </c>
      <c r="C11" s="111" t="s">
        <v>155</v>
      </c>
      <c r="D11" s="265">
        <v>64</v>
      </c>
      <c r="E11" s="265">
        <v>7</v>
      </c>
      <c r="F11" s="265">
        <v>0</v>
      </c>
      <c r="G11" s="438">
        <f>SUM(D11:F11)</f>
        <v>71</v>
      </c>
      <c r="H11" s="265">
        <v>4</v>
      </c>
      <c r="I11" s="265">
        <v>3</v>
      </c>
      <c r="J11" s="265">
        <v>0</v>
      </c>
      <c r="K11" s="438">
        <f>SUM(H11:J11)</f>
        <v>7</v>
      </c>
      <c r="L11" s="265">
        <v>18</v>
      </c>
      <c r="M11" s="265">
        <v>5</v>
      </c>
      <c r="N11" s="265">
        <v>0</v>
      </c>
      <c r="O11" s="438">
        <f>SUM(L11:N11)</f>
        <v>23</v>
      </c>
      <c r="P11" s="265">
        <v>0</v>
      </c>
      <c r="Q11" s="265">
        <v>0</v>
      </c>
      <c r="R11" s="265">
        <v>0</v>
      </c>
      <c r="S11" s="438">
        <f>SUM(P11:R11)</f>
        <v>0</v>
      </c>
      <c r="T11" s="265">
        <v>0</v>
      </c>
      <c r="U11" s="265">
        <v>0</v>
      </c>
      <c r="V11" s="265">
        <v>0</v>
      </c>
      <c r="W11" s="438">
        <f>SUM(T11:V11)</f>
        <v>0</v>
      </c>
      <c r="X11" s="438">
        <f>D11+H11+L11+P11+T11</f>
        <v>86</v>
      </c>
      <c r="Y11" s="438">
        <f>E11+I11+M11+Q11+U11</f>
        <v>15</v>
      </c>
      <c r="Z11" s="438">
        <f>F11+J11+N11+R11+V11</f>
        <v>0</v>
      </c>
      <c r="AA11" s="438">
        <f>SUM(X11:Z11)</f>
        <v>101</v>
      </c>
      <c r="AB11" s="265">
        <v>78</v>
      </c>
      <c r="AC11" s="265">
        <v>14</v>
      </c>
      <c r="AD11" s="265">
        <v>0</v>
      </c>
      <c r="AE11" s="438">
        <f>SUM(AB11:AD11)</f>
        <v>92</v>
      </c>
      <c r="AF11" s="265">
        <v>3</v>
      </c>
      <c r="AG11" s="265">
        <v>1</v>
      </c>
      <c r="AH11" s="265">
        <v>0</v>
      </c>
      <c r="AI11" s="438">
        <f>SUM(AF11:AH11)</f>
        <v>4</v>
      </c>
      <c r="AJ11" s="265">
        <v>1</v>
      </c>
      <c r="AK11" s="265">
        <v>0</v>
      </c>
      <c r="AL11" s="265">
        <v>0</v>
      </c>
      <c r="AM11" s="438">
        <f>SUM(AJ11:AL11)</f>
        <v>1</v>
      </c>
      <c r="AN11" s="265">
        <v>4</v>
      </c>
      <c r="AO11" s="265">
        <v>0</v>
      </c>
      <c r="AP11" s="265">
        <v>0</v>
      </c>
      <c r="AQ11" s="438">
        <f>SUM(AN11:AP11)</f>
        <v>4</v>
      </c>
      <c r="AR11" s="438">
        <f>AB11+AF11+AJ11+AN11</f>
        <v>86</v>
      </c>
      <c r="AS11" s="438">
        <f>AC11+AG11+AK11+AO11</f>
        <v>15</v>
      </c>
      <c r="AT11" s="438">
        <f>AD11+AH11+AL11+AP11</f>
        <v>0</v>
      </c>
      <c r="AU11" s="438">
        <f>SUM(AR11:AT11)</f>
        <v>101</v>
      </c>
      <c r="AV11" s="408" t="str">
        <f>IF(AR11=X11,"",FALSE)</f>
        <v/>
      </c>
      <c r="AW11" s="408" t="str">
        <f t="shared" ref="AW11:AY11" si="0">IF(AS11=Y11,"",FALSE)</f>
        <v/>
      </c>
      <c r="AX11" s="408" t="str">
        <f t="shared" si="0"/>
        <v/>
      </c>
      <c r="AY11" s="408" t="str">
        <f t="shared" si="0"/>
        <v/>
      </c>
    </row>
    <row r="12" spans="1:51" ht="20.100000000000001" customHeight="1" x14ac:dyDescent="0.25">
      <c r="A12" s="116">
        <v>851</v>
      </c>
      <c r="B12" s="116">
        <v>2</v>
      </c>
      <c r="C12" s="13" t="s">
        <v>152</v>
      </c>
      <c r="D12" s="265">
        <v>116</v>
      </c>
      <c r="E12" s="265">
        <v>39</v>
      </c>
      <c r="F12" s="265">
        <v>0</v>
      </c>
      <c r="G12" s="438">
        <f t="shared" ref="G12:G17" si="1">SUM(D12:F12)</f>
        <v>155</v>
      </c>
      <c r="H12" s="265">
        <v>13</v>
      </c>
      <c r="I12" s="265">
        <v>3</v>
      </c>
      <c r="J12" s="265">
        <v>0</v>
      </c>
      <c r="K12" s="438">
        <f t="shared" ref="K12:K17" si="2">SUM(H12:J12)</f>
        <v>16</v>
      </c>
      <c r="L12" s="265">
        <v>27</v>
      </c>
      <c r="M12" s="265">
        <v>10</v>
      </c>
      <c r="N12" s="265">
        <v>0</v>
      </c>
      <c r="O12" s="438">
        <f t="shared" ref="O12:O17" si="3">SUM(L12:N12)</f>
        <v>37</v>
      </c>
      <c r="P12" s="265">
        <v>0</v>
      </c>
      <c r="Q12" s="265">
        <v>0</v>
      </c>
      <c r="R12" s="265">
        <v>0</v>
      </c>
      <c r="S12" s="438">
        <f t="shared" ref="S12:S17" si="4">SUM(P12:R12)</f>
        <v>0</v>
      </c>
      <c r="T12" s="265">
        <v>0</v>
      </c>
      <c r="U12" s="265">
        <v>0</v>
      </c>
      <c r="V12" s="265">
        <v>0</v>
      </c>
      <c r="W12" s="438">
        <f t="shared" ref="W12:W17" si="5">SUM(T12:V12)</f>
        <v>0</v>
      </c>
      <c r="X12" s="438">
        <f t="shared" ref="X12:X17" si="6">D12+H12+L12+P12+T12</f>
        <v>156</v>
      </c>
      <c r="Y12" s="438">
        <f t="shared" ref="Y12:Y17" si="7">E12+I12+M12+Q12+U12</f>
        <v>52</v>
      </c>
      <c r="Z12" s="438">
        <f t="shared" ref="Z12:Z17" si="8">F12+J12+N12+R12+V12</f>
        <v>0</v>
      </c>
      <c r="AA12" s="438">
        <f t="shared" ref="AA12:AA17" si="9">SUM(X12:Z12)</f>
        <v>208</v>
      </c>
      <c r="AB12" s="265">
        <v>137</v>
      </c>
      <c r="AC12" s="265">
        <v>46</v>
      </c>
      <c r="AD12" s="265">
        <v>0</v>
      </c>
      <c r="AE12" s="438">
        <f t="shared" ref="AE12:AE16" si="10">SUM(AB12:AD12)</f>
        <v>183</v>
      </c>
      <c r="AF12" s="265">
        <v>14</v>
      </c>
      <c r="AG12" s="265">
        <v>4</v>
      </c>
      <c r="AH12" s="265">
        <v>0</v>
      </c>
      <c r="AI12" s="438">
        <f t="shared" ref="AI12:AI17" si="11">SUM(AF12:AH12)</f>
        <v>18</v>
      </c>
      <c r="AJ12" s="265">
        <v>0</v>
      </c>
      <c r="AK12" s="265">
        <v>1</v>
      </c>
      <c r="AL12" s="265">
        <v>0</v>
      </c>
      <c r="AM12" s="438">
        <f t="shared" ref="AM12:AM17" si="12">SUM(AJ12:AL12)</f>
        <v>1</v>
      </c>
      <c r="AN12" s="265">
        <v>5</v>
      </c>
      <c r="AO12" s="265">
        <v>1</v>
      </c>
      <c r="AP12" s="265">
        <v>0</v>
      </c>
      <c r="AQ12" s="438">
        <f t="shared" ref="AQ12:AQ17" si="13">SUM(AN12:AP12)</f>
        <v>6</v>
      </c>
      <c r="AR12" s="438">
        <f t="shared" ref="AR12:AR17" si="14">AB12+AF12+AJ12+AN12</f>
        <v>156</v>
      </c>
      <c r="AS12" s="438">
        <f t="shared" ref="AS12:AS17" si="15">AC12+AG12+AK12+AO12</f>
        <v>52</v>
      </c>
      <c r="AT12" s="438">
        <f t="shared" ref="AT12:AT17" si="16">AD12+AH12+AL12+AP12</f>
        <v>0</v>
      </c>
      <c r="AU12" s="438">
        <f t="shared" ref="AU12:AU17" si="17">SUM(AR12:AT12)</f>
        <v>208</v>
      </c>
      <c r="AV12" s="408" t="str">
        <f t="shared" ref="AV12:AV18" si="18">IF(AR12=X12,"",FALSE)</f>
        <v/>
      </c>
      <c r="AW12" s="408" t="str">
        <f t="shared" ref="AW12:AW18" si="19">IF(AS12=Y12,"",FALSE)</f>
        <v/>
      </c>
      <c r="AX12" s="408" t="str">
        <f t="shared" ref="AX12:AX18" si="20">IF(AT12=Z12,"",FALSE)</f>
        <v/>
      </c>
      <c r="AY12" s="408" t="str">
        <f t="shared" ref="AY12:AY18" si="21">IF(AU12=AA12,"",FALSE)</f>
        <v/>
      </c>
    </row>
    <row r="13" spans="1:51" ht="20.100000000000001" customHeight="1" x14ac:dyDescent="0.25">
      <c r="A13" s="116">
        <v>852</v>
      </c>
      <c r="B13" s="116">
        <v>3</v>
      </c>
      <c r="C13" s="12" t="s">
        <v>440</v>
      </c>
      <c r="D13" s="265">
        <v>2</v>
      </c>
      <c r="E13" s="265">
        <v>4</v>
      </c>
      <c r="F13" s="265">
        <v>0</v>
      </c>
      <c r="G13" s="438">
        <f t="shared" si="1"/>
        <v>6</v>
      </c>
      <c r="H13" s="265">
        <v>0</v>
      </c>
      <c r="I13" s="265">
        <v>0</v>
      </c>
      <c r="J13" s="265">
        <v>0</v>
      </c>
      <c r="K13" s="438">
        <f t="shared" si="2"/>
        <v>0</v>
      </c>
      <c r="L13" s="265">
        <v>0</v>
      </c>
      <c r="M13" s="265">
        <v>1</v>
      </c>
      <c r="N13" s="265">
        <v>0</v>
      </c>
      <c r="O13" s="438">
        <f t="shared" si="3"/>
        <v>1</v>
      </c>
      <c r="P13" s="265">
        <v>0</v>
      </c>
      <c r="Q13" s="265">
        <v>0</v>
      </c>
      <c r="R13" s="265">
        <v>0</v>
      </c>
      <c r="S13" s="438">
        <f t="shared" si="4"/>
        <v>0</v>
      </c>
      <c r="T13" s="265">
        <v>0</v>
      </c>
      <c r="U13" s="265">
        <v>0</v>
      </c>
      <c r="V13" s="265">
        <v>0</v>
      </c>
      <c r="W13" s="438">
        <f t="shared" si="5"/>
        <v>0</v>
      </c>
      <c r="X13" s="438">
        <f t="shared" si="6"/>
        <v>2</v>
      </c>
      <c r="Y13" s="438">
        <f t="shared" si="7"/>
        <v>5</v>
      </c>
      <c r="Z13" s="438">
        <f t="shared" si="8"/>
        <v>0</v>
      </c>
      <c r="AA13" s="438">
        <f t="shared" si="9"/>
        <v>7</v>
      </c>
      <c r="AB13" s="265">
        <v>2</v>
      </c>
      <c r="AC13" s="265">
        <v>5</v>
      </c>
      <c r="AD13" s="265">
        <v>0</v>
      </c>
      <c r="AE13" s="438">
        <f t="shared" si="10"/>
        <v>7</v>
      </c>
      <c r="AF13" s="265">
        <v>0</v>
      </c>
      <c r="AG13" s="265">
        <v>0</v>
      </c>
      <c r="AH13" s="265">
        <v>0</v>
      </c>
      <c r="AI13" s="438">
        <f t="shared" si="11"/>
        <v>0</v>
      </c>
      <c r="AJ13" s="265">
        <v>0</v>
      </c>
      <c r="AK13" s="265">
        <v>0</v>
      </c>
      <c r="AL13" s="265">
        <v>0</v>
      </c>
      <c r="AM13" s="438">
        <f t="shared" si="12"/>
        <v>0</v>
      </c>
      <c r="AN13" s="265">
        <v>0</v>
      </c>
      <c r="AO13" s="265">
        <v>0</v>
      </c>
      <c r="AP13" s="265">
        <v>0</v>
      </c>
      <c r="AQ13" s="438">
        <f t="shared" si="13"/>
        <v>0</v>
      </c>
      <c r="AR13" s="438">
        <f t="shared" si="14"/>
        <v>2</v>
      </c>
      <c r="AS13" s="438">
        <f t="shared" si="15"/>
        <v>5</v>
      </c>
      <c r="AT13" s="438">
        <f t="shared" si="16"/>
        <v>0</v>
      </c>
      <c r="AU13" s="438">
        <f t="shared" si="17"/>
        <v>7</v>
      </c>
      <c r="AV13" s="408" t="str">
        <f t="shared" si="18"/>
        <v/>
      </c>
      <c r="AW13" s="408" t="str">
        <f t="shared" si="19"/>
        <v/>
      </c>
      <c r="AX13" s="408" t="str">
        <f t="shared" si="20"/>
        <v/>
      </c>
      <c r="AY13" s="408" t="str">
        <f t="shared" si="21"/>
        <v/>
      </c>
    </row>
    <row r="14" spans="1:51" ht="20.100000000000001" customHeight="1" x14ac:dyDescent="0.25">
      <c r="A14" s="116">
        <v>853</v>
      </c>
      <c r="B14" s="116">
        <v>4</v>
      </c>
      <c r="C14" s="13" t="s">
        <v>153</v>
      </c>
      <c r="D14" s="265">
        <v>0</v>
      </c>
      <c r="E14" s="265">
        <v>0</v>
      </c>
      <c r="F14" s="265">
        <v>0</v>
      </c>
      <c r="G14" s="438">
        <f t="shared" si="1"/>
        <v>0</v>
      </c>
      <c r="H14" s="265">
        <v>0</v>
      </c>
      <c r="I14" s="265">
        <v>0</v>
      </c>
      <c r="J14" s="265">
        <v>0</v>
      </c>
      <c r="K14" s="438">
        <f t="shared" si="2"/>
        <v>0</v>
      </c>
      <c r="L14" s="265">
        <v>0</v>
      </c>
      <c r="M14" s="265">
        <v>0</v>
      </c>
      <c r="N14" s="265">
        <v>0</v>
      </c>
      <c r="O14" s="438">
        <f t="shared" si="3"/>
        <v>0</v>
      </c>
      <c r="P14" s="265">
        <v>0</v>
      </c>
      <c r="Q14" s="265">
        <v>0</v>
      </c>
      <c r="R14" s="265">
        <v>0</v>
      </c>
      <c r="S14" s="438">
        <f t="shared" si="4"/>
        <v>0</v>
      </c>
      <c r="T14" s="265">
        <v>0</v>
      </c>
      <c r="U14" s="265">
        <v>0</v>
      </c>
      <c r="V14" s="265">
        <v>0</v>
      </c>
      <c r="W14" s="438">
        <f t="shared" si="5"/>
        <v>0</v>
      </c>
      <c r="X14" s="438">
        <f t="shared" si="6"/>
        <v>0</v>
      </c>
      <c r="Y14" s="438">
        <f t="shared" si="7"/>
        <v>0</v>
      </c>
      <c r="Z14" s="438">
        <f t="shared" si="8"/>
        <v>0</v>
      </c>
      <c r="AA14" s="438">
        <f t="shared" si="9"/>
        <v>0</v>
      </c>
      <c r="AB14" s="265">
        <v>0</v>
      </c>
      <c r="AC14" s="265">
        <v>0</v>
      </c>
      <c r="AD14" s="265">
        <v>0</v>
      </c>
      <c r="AE14" s="438">
        <f t="shared" si="10"/>
        <v>0</v>
      </c>
      <c r="AF14" s="265">
        <v>0</v>
      </c>
      <c r="AG14" s="265">
        <v>0</v>
      </c>
      <c r="AH14" s="265">
        <v>0</v>
      </c>
      <c r="AI14" s="438">
        <f t="shared" si="11"/>
        <v>0</v>
      </c>
      <c r="AJ14" s="265">
        <v>0</v>
      </c>
      <c r="AK14" s="265">
        <v>0</v>
      </c>
      <c r="AL14" s="265">
        <v>0</v>
      </c>
      <c r="AM14" s="438">
        <f t="shared" si="12"/>
        <v>0</v>
      </c>
      <c r="AN14" s="265">
        <v>0</v>
      </c>
      <c r="AO14" s="265">
        <v>0</v>
      </c>
      <c r="AP14" s="265">
        <v>0</v>
      </c>
      <c r="AQ14" s="438">
        <f t="shared" si="13"/>
        <v>0</v>
      </c>
      <c r="AR14" s="438">
        <f t="shared" si="14"/>
        <v>0</v>
      </c>
      <c r="AS14" s="438">
        <f t="shared" si="15"/>
        <v>0</v>
      </c>
      <c r="AT14" s="438">
        <f t="shared" si="16"/>
        <v>0</v>
      </c>
      <c r="AU14" s="438">
        <f t="shared" si="17"/>
        <v>0</v>
      </c>
      <c r="AV14" s="408" t="str">
        <f t="shared" si="18"/>
        <v/>
      </c>
      <c r="AW14" s="408" t="str">
        <f t="shared" si="19"/>
        <v/>
      </c>
      <c r="AX14" s="408" t="str">
        <f t="shared" si="20"/>
        <v/>
      </c>
      <c r="AY14" s="408" t="str">
        <f t="shared" si="21"/>
        <v/>
      </c>
    </row>
    <row r="15" spans="1:51" ht="20.100000000000001" customHeight="1" x14ac:dyDescent="0.25">
      <c r="A15" s="116">
        <v>854</v>
      </c>
      <c r="B15" s="116">
        <v>5</v>
      </c>
      <c r="C15" s="13" t="s">
        <v>154</v>
      </c>
      <c r="D15" s="265">
        <v>0</v>
      </c>
      <c r="E15" s="265">
        <v>0</v>
      </c>
      <c r="F15" s="265">
        <v>0</v>
      </c>
      <c r="G15" s="438">
        <f t="shared" si="1"/>
        <v>0</v>
      </c>
      <c r="H15" s="265">
        <v>0</v>
      </c>
      <c r="I15" s="265">
        <v>0</v>
      </c>
      <c r="J15" s="265">
        <v>0</v>
      </c>
      <c r="K15" s="438">
        <f t="shared" si="2"/>
        <v>0</v>
      </c>
      <c r="L15" s="265">
        <v>0</v>
      </c>
      <c r="M15" s="265">
        <v>0</v>
      </c>
      <c r="N15" s="265">
        <v>0</v>
      </c>
      <c r="O15" s="438">
        <f t="shared" si="3"/>
        <v>0</v>
      </c>
      <c r="P15" s="265">
        <v>0</v>
      </c>
      <c r="Q15" s="265">
        <v>0</v>
      </c>
      <c r="R15" s="265">
        <v>0</v>
      </c>
      <c r="S15" s="438">
        <f t="shared" si="4"/>
        <v>0</v>
      </c>
      <c r="T15" s="265">
        <v>0</v>
      </c>
      <c r="U15" s="265">
        <v>0</v>
      </c>
      <c r="V15" s="265">
        <v>0</v>
      </c>
      <c r="W15" s="438">
        <f t="shared" si="5"/>
        <v>0</v>
      </c>
      <c r="X15" s="438">
        <f t="shared" si="6"/>
        <v>0</v>
      </c>
      <c r="Y15" s="438">
        <f t="shared" si="7"/>
        <v>0</v>
      </c>
      <c r="Z15" s="438">
        <f t="shared" si="8"/>
        <v>0</v>
      </c>
      <c r="AA15" s="438">
        <f t="shared" si="9"/>
        <v>0</v>
      </c>
      <c r="AB15" s="265">
        <v>0</v>
      </c>
      <c r="AC15" s="265">
        <v>0</v>
      </c>
      <c r="AD15" s="265">
        <v>0</v>
      </c>
      <c r="AE15" s="438">
        <f t="shared" si="10"/>
        <v>0</v>
      </c>
      <c r="AF15" s="265">
        <v>0</v>
      </c>
      <c r="AG15" s="265">
        <v>0</v>
      </c>
      <c r="AH15" s="265">
        <v>0</v>
      </c>
      <c r="AI15" s="438">
        <f t="shared" si="11"/>
        <v>0</v>
      </c>
      <c r="AJ15" s="265">
        <v>0</v>
      </c>
      <c r="AK15" s="265">
        <v>0</v>
      </c>
      <c r="AL15" s="265">
        <v>0</v>
      </c>
      <c r="AM15" s="438">
        <f t="shared" si="12"/>
        <v>0</v>
      </c>
      <c r="AN15" s="265">
        <v>0</v>
      </c>
      <c r="AO15" s="265">
        <v>0</v>
      </c>
      <c r="AP15" s="265">
        <v>0</v>
      </c>
      <c r="AQ15" s="438">
        <f t="shared" si="13"/>
        <v>0</v>
      </c>
      <c r="AR15" s="438">
        <f t="shared" si="14"/>
        <v>0</v>
      </c>
      <c r="AS15" s="438">
        <f t="shared" si="15"/>
        <v>0</v>
      </c>
      <c r="AT15" s="438">
        <f t="shared" si="16"/>
        <v>0</v>
      </c>
      <c r="AU15" s="438">
        <f t="shared" si="17"/>
        <v>0</v>
      </c>
      <c r="AV15" s="408" t="str">
        <f t="shared" si="18"/>
        <v/>
      </c>
      <c r="AW15" s="408" t="str">
        <f t="shared" si="19"/>
        <v/>
      </c>
      <c r="AX15" s="408" t="str">
        <f t="shared" si="20"/>
        <v/>
      </c>
      <c r="AY15" s="408" t="str">
        <f t="shared" si="21"/>
        <v/>
      </c>
    </row>
    <row r="16" spans="1:51" ht="20.100000000000001" customHeight="1" x14ac:dyDescent="0.25">
      <c r="A16" s="116">
        <v>855</v>
      </c>
      <c r="B16" s="116">
        <v>6</v>
      </c>
      <c r="C16" s="13" t="s">
        <v>9</v>
      </c>
      <c r="D16" s="265">
        <v>0</v>
      </c>
      <c r="E16" s="265">
        <v>0</v>
      </c>
      <c r="F16" s="265">
        <v>0</v>
      </c>
      <c r="G16" s="438">
        <f t="shared" si="1"/>
        <v>0</v>
      </c>
      <c r="H16" s="265">
        <v>0</v>
      </c>
      <c r="I16" s="265">
        <v>0</v>
      </c>
      <c r="J16" s="265">
        <v>0</v>
      </c>
      <c r="K16" s="438">
        <f t="shared" si="2"/>
        <v>0</v>
      </c>
      <c r="L16" s="265">
        <v>0</v>
      </c>
      <c r="M16" s="265">
        <v>0</v>
      </c>
      <c r="N16" s="265">
        <v>0</v>
      </c>
      <c r="O16" s="438">
        <f t="shared" si="3"/>
        <v>0</v>
      </c>
      <c r="P16" s="265">
        <v>0</v>
      </c>
      <c r="Q16" s="265">
        <v>0</v>
      </c>
      <c r="R16" s="265">
        <v>0</v>
      </c>
      <c r="S16" s="438">
        <f t="shared" si="4"/>
        <v>0</v>
      </c>
      <c r="T16" s="265">
        <v>0</v>
      </c>
      <c r="U16" s="265">
        <v>0</v>
      </c>
      <c r="V16" s="265">
        <v>0</v>
      </c>
      <c r="W16" s="438">
        <f t="shared" si="5"/>
        <v>0</v>
      </c>
      <c r="X16" s="438">
        <f t="shared" si="6"/>
        <v>0</v>
      </c>
      <c r="Y16" s="438">
        <f t="shared" si="7"/>
        <v>0</v>
      </c>
      <c r="Z16" s="438">
        <f t="shared" si="8"/>
        <v>0</v>
      </c>
      <c r="AA16" s="438">
        <f t="shared" si="9"/>
        <v>0</v>
      </c>
      <c r="AB16" s="265">
        <v>0</v>
      </c>
      <c r="AC16" s="265">
        <v>0</v>
      </c>
      <c r="AD16" s="265">
        <v>0</v>
      </c>
      <c r="AE16" s="438">
        <f t="shared" si="10"/>
        <v>0</v>
      </c>
      <c r="AF16" s="265">
        <v>0</v>
      </c>
      <c r="AG16" s="265">
        <v>0</v>
      </c>
      <c r="AH16" s="265">
        <v>0</v>
      </c>
      <c r="AI16" s="438">
        <f t="shared" si="11"/>
        <v>0</v>
      </c>
      <c r="AJ16" s="265">
        <v>0</v>
      </c>
      <c r="AK16" s="265">
        <v>0</v>
      </c>
      <c r="AL16" s="265">
        <v>0</v>
      </c>
      <c r="AM16" s="438">
        <f t="shared" si="12"/>
        <v>0</v>
      </c>
      <c r="AN16" s="265">
        <v>0</v>
      </c>
      <c r="AO16" s="265">
        <v>0</v>
      </c>
      <c r="AP16" s="265">
        <v>0</v>
      </c>
      <c r="AQ16" s="438">
        <f t="shared" si="13"/>
        <v>0</v>
      </c>
      <c r="AR16" s="438">
        <f t="shared" si="14"/>
        <v>0</v>
      </c>
      <c r="AS16" s="438">
        <f t="shared" si="15"/>
        <v>0</v>
      </c>
      <c r="AT16" s="438">
        <f t="shared" si="16"/>
        <v>0</v>
      </c>
      <c r="AU16" s="438">
        <f t="shared" si="17"/>
        <v>0</v>
      </c>
      <c r="AV16" s="408" t="str">
        <f t="shared" si="18"/>
        <v/>
      </c>
      <c r="AW16" s="408" t="str">
        <f t="shared" si="19"/>
        <v/>
      </c>
      <c r="AX16" s="408" t="str">
        <f t="shared" si="20"/>
        <v/>
      </c>
      <c r="AY16" s="408" t="str">
        <f t="shared" si="21"/>
        <v/>
      </c>
    </row>
    <row r="17" spans="1:51" ht="20.100000000000001" customHeight="1" x14ac:dyDescent="0.25">
      <c r="A17" s="116">
        <v>856</v>
      </c>
      <c r="B17" s="116">
        <v>7</v>
      </c>
      <c r="C17" s="12" t="s">
        <v>151</v>
      </c>
      <c r="D17" s="265">
        <v>0</v>
      </c>
      <c r="E17" s="265">
        <v>0</v>
      </c>
      <c r="F17" s="265">
        <v>0</v>
      </c>
      <c r="G17" s="438">
        <f t="shared" si="1"/>
        <v>0</v>
      </c>
      <c r="H17" s="265">
        <v>0</v>
      </c>
      <c r="I17" s="265">
        <v>0</v>
      </c>
      <c r="J17" s="265">
        <v>0</v>
      </c>
      <c r="K17" s="438">
        <f t="shared" si="2"/>
        <v>0</v>
      </c>
      <c r="L17" s="265">
        <v>0</v>
      </c>
      <c r="M17" s="265">
        <v>0</v>
      </c>
      <c r="N17" s="265">
        <v>0</v>
      </c>
      <c r="O17" s="438">
        <f t="shared" si="3"/>
        <v>0</v>
      </c>
      <c r="P17" s="265">
        <v>0</v>
      </c>
      <c r="Q17" s="265">
        <v>0</v>
      </c>
      <c r="R17" s="265">
        <v>0</v>
      </c>
      <c r="S17" s="438">
        <f t="shared" si="4"/>
        <v>0</v>
      </c>
      <c r="T17" s="265">
        <v>5</v>
      </c>
      <c r="U17" s="265">
        <v>0</v>
      </c>
      <c r="V17" s="265">
        <v>0</v>
      </c>
      <c r="W17" s="438">
        <f t="shared" si="5"/>
        <v>5</v>
      </c>
      <c r="X17" s="438">
        <f t="shared" si="6"/>
        <v>5</v>
      </c>
      <c r="Y17" s="438">
        <f t="shared" si="7"/>
        <v>0</v>
      </c>
      <c r="Z17" s="438">
        <f t="shared" si="8"/>
        <v>0</v>
      </c>
      <c r="AA17" s="438">
        <f t="shared" si="9"/>
        <v>5</v>
      </c>
      <c r="AB17" s="265">
        <v>5</v>
      </c>
      <c r="AC17" s="265">
        <v>0</v>
      </c>
      <c r="AD17" s="265">
        <v>0</v>
      </c>
      <c r="AE17" s="438">
        <f>SUM(AB17:AD17)</f>
        <v>5</v>
      </c>
      <c r="AF17" s="265">
        <v>0</v>
      </c>
      <c r="AG17" s="265">
        <v>0</v>
      </c>
      <c r="AH17" s="265">
        <v>0</v>
      </c>
      <c r="AI17" s="438">
        <f t="shared" si="11"/>
        <v>0</v>
      </c>
      <c r="AJ17" s="265">
        <v>0</v>
      </c>
      <c r="AK17" s="265">
        <v>0</v>
      </c>
      <c r="AL17" s="265">
        <v>0</v>
      </c>
      <c r="AM17" s="438">
        <f t="shared" si="12"/>
        <v>0</v>
      </c>
      <c r="AN17" s="265">
        <v>0</v>
      </c>
      <c r="AO17" s="265">
        <v>0</v>
      </c>
      <c r="AP17" s="265">
        <v>0</v>
      </c>
      <c r="AQ17" s="438">
        <f t="shared" si="13"/>
        <v>0</v>
      </c>
      <c r="AR17" s="438">
        <f t="shared" si="14"/>
        <v>5</v>
      </c>
      <c r="AS17" s="438">
        <f t="shared" si="15"/>
        <v>0</v>
      </c>
      <c r="AT17" s="438">
        <f t="shared" si="16"/>
        <v>0</v>
      </c>
      <c r="AU17" s="438">
        <f t="shared" si="17"/>
        <v>5</v>
      </c>
      <c r="AV17" s="408" t="str">
        <f t="shared" si="18"/>
        <v/>
      </c>
      <c r="AW17" s="408" t="str">
        <f t="shared" si="19"/>
        <v/>
      </c>
      <c r="AX17" s="408" t="str">
        <f t="shared" si="20"/>
        <v/>
      </c>
      <c r="AY17" s="408" t="str">
        <f t="shared" si="21"/>
        <v/>
      </c>
    </row>
    <row r="18" spans="1:51" ht="20.100000000000001" customHeight="1" x14ac:dyDescent="0.25">
      <c r="A18" s="116">
        <v>865</v>
      </c>
      <c r="B18" s="272">
        <v>8</v>
      </c>
      <c r="C18" s="16" t="s">
        <v>441</v>
      </c>
      <c r="D18" s="441">
        <f>SUM(D11:D17)</f>
        <v>182</v>
      </c>
      <c r="E18" s="441">
        <f t="shared" ref="E18:Y18" si="22">SUM(E11:E17)</f>
        <v>50</v>
      </c>
      <c r="F18" s="441">
        <f t="shared" si="22"/>
        <v>0</v>
      </c>
      <c r="G18" s="441">
        <f t="shared" si="22"/>
        <v>232</v>
      </c>
      <c r="H18" s="441">
        <f t="shared" si="22"/>
        <v>17</v>
      </c>
      <c r="I18" s="441">
        <f t="shared" si="22"/>
        <v>6</v>
      </c>
      <c r="J18" s="441">
        <f t="shared" si="22"/>
        <v>0</v>
      </c>
      <c r="K18" s="441">
        <f t="shared" si="22"/>
        <v>23</v>
      </c>
      <c r="L18" s="441">
        <f t="shared" si="22"/>
        <v>45</v>
      </c>
      <c r="M18" s="441">
        <f t="shared" si="22"/>
        <v>16</v>
      </c>
      <c r="N18" s="441">
        <f t="shared" si="22"/>
        <v>0</v>
      </c>
      <c r="O18" s="441">
        <f t="shared" si="22"/>
        <v>61</v>
      </c>
      <c r="P18" s="441">
        <f t="shared" si="22"/>
        <v>0</v>
      </c>
      <c r="Q18" s="441">
        <f t="shared" si="22"/>
        <v>0</v>
      </c>
      <c r="R18" s="441">
        <f t="shared" si="22"/>
        <v>0</v>
      </c>
      <c r="S18" s="441">
        <f t="shared" si="22"/>
        <v>0</v>
      </c>
      <c r="T18" s="441">
        <f t="shared" si="22"/>
        <v>5</v>
      </c>
      <c r="U18" s="441">
        <f t="shared" si="22"/>
        <v>0</v>
      </c>
      <c r="V18" s="441">
        <f t="shared" si="22"/>
        <v>0</v>
      </c>
      <c r="W18" s="441">
        <f t="shared" si="22"/>
        <v>5</v>
      </c>
      <c r="X18" s="441">
        <f t="shared" si="22"/>
        <v>249</v>
      </c>
      <c r="Y18" s="441">
        <f t="shared" si="22"/>
        <v>72</v>
      </c>
      <c r="Z18" s="441">
        <f>SUM(Z11:Z17)</f>
        <v>0</v>
      </c>
      <c r="AA18" s="441">
        <f t="shared" ref="AA18" si="23">SUM(AA11:AA17)</f>
        <v>321</v>
      </c>
      <c r="AB18" s="441">
        <f t="shared" ref="AB18" si="24">SUM(AB11:AB17)</f>
        <v>222</v>
      </c>
      <c r="AC18" s="441">
        <f t="shared" ref="AC18" si="25">SUM(AC11:AC17)</f>
        <v>65</v>
      </c>
      <c r="AD18" s="441">
        <f t="shared" ref="AD18" si="26">SUM(AD11:AD17)</f>
        <v>0</v>
      </c>
      <c r="AE18" s="441">
        <f t="shared" ref="AE18" si="27">SUM(AE11:AE17)</f>
        <v>287</v>
      </c>
      <c r="AF18" s="441">
        <f t="shared" ref="AF18" si="28">SUM(AF11:AF17)</f>
        <v>17</v>
      </c>
      <c r="AG18" s="441">
        <f t="shared" ref="AG18" si="29">SUM(AG11:AG17)</f>
        <v>5</v>
      </c>
      <c r="AH18" s="441">
        <f t="shared" ref="AH18" si="30">SUM(AH11:AH17)</f>
        <v>0</v>
      </c>
      <c r="AI18" s="441">
        <f t="shared" ref="AI18" si="31">SUM(AI11:AI17)</f>
        <v>22</v>
      </c>
      <c r="AJ18" s="441">
        <f t="shared" ref="AJ18" si="32">SUM(AJ11:AJ17)</f>
        <v>1</v>
      </c>
      <c r="AK18" s="441">
        <f>SUM(AK11:AK17)</f>
        <v>1</v>
      </c>
      <c r="AL18" s="441">
        <f t="shared" ref="AL18" si="33">SUM(AL11:AL17)</f>
        <v>0</v>
      </c>
      <c r="AM18" s="441">
        <f t="shared" ref="AM18" si="34">SUM(AM11:AM17)</f>
        <v>2</v>
      </c>
      <c r="AN18" s="441">
        <f t="shared" ref="AN18" si="35">SUM(AN11:AN17)</f>
        <v>9</v>
      </c>
      <c r="AO18" s="441">
        <f t="shared" ref="AO18" si="36">SUM(AO11:AO17)</f>
        <v>1</v>
      </c>
      <c r="AP18" s="441">
        <f t="shared" ref="AP18" si="37">SUM(AP11:AP17)</f>
        <v>0</v>
      </c>
      <c r="AQ18" s="441">
        <f t="shared" ref="AQ18" si="38">SUM(AQ11:AQ17)</f>
        <v>10</v>
      </c>
      <c r="AR18" s="441">
        <f t="shared" ref="AR18" si="39">SUM(AR11:AR17)</f>
        <v>249</v>
      </c>
      <c r="AS18" s="441">
        <f t="shared" ref="AS18" si="40">SUM(AS11:AS17)</f>
        <v>72</v>
      </c>
      <c r="AT18" s="441">
        <f t="shared" ref="AT18" si="41">SUM(AT11:AT17)</f>
        <v>0</v>
      </c>
      <c r="AU18" s="441">
        <f t="shared" ref="AU18" si="42">SUM(AU11:AU17)</f>
        <v>321</v>
      </c>
      <c r="AV18" s="408" t="str">
        <f t="shared" si="18"/>
        <v/>
      </c>
      <c r="AW18" s="408" t="str">
        <f t="shared" si="19"/>
        <v/>
      </c>
      <c r="AX18" s="408" t="str">
        <f t="shared" si="20"/>
        <v/>
      </c>
      <c r="AY18" s="408" t="str">
        <f t="shared" si="21"/>
        <v/>
      </c>
    </row>
    <row r="19" spans="1:51" ht="24.95" customHeight="1" x14ac:dyDescent="0.25">
      <c r="A19" s="605" t="s">
        <v>1591</v>
      </c>
      <c r="B19" s="606"/>
      <c r="C19" s="606"/>
      <c r="D19" s="463" t="str">
        <f>IF(D18&gt;0,IF((D16/D18*100)&gt;10,"ABVAR",""),"")</f>
        <v/>
      </c>
      <c r="E19" s="463" t="str">
        <f t="shared" ref="E19:AU19" si="43">IF(E18&gt;0,IF((E16/E18*100)&gt;10,"ABVAR",""),"")</f>
        <v/>
      </c>
      <c r="F19" s="463" t="str">
        <f t="shared" si="43"/>
        <v/>
      </c>
      <c r="G19" s="463" t="str">
        <f t="shared" si="43"/>
        <v/>
      </c>
      <c r="H19" s="463" t="str">
        <f t="shared" si="43"/>
        <v/>
      </c>
      <c r="I19" s="463" t="str">
        <f t="shared" si="43"/>
        <v/>
      </c>
      <c r="J19" s="463" t="str">
        <f t="shared" si="43"/>
        <v/>
      </c>
      <c r="K19" s="463" t="str">
        <f t="shared" si="43"/>
        <v/>
      </c>
      <c r="L19" s="463" t="str">
        <f t="shared" si="43"/>
        <v/>
      </c>
      <c r="M19" s="463" t="str">
        <f t="shared" si="43"/>
        <v/>
      </c>
      <c r="N19" s="463" t="str">
        <f t="shared" si="43"/>
        <v/>
      </c>
      <c r="O19" s="463" t="str">
        <f t="shared" si="43"/>
        <v/>
      </c>
      <c r="P19" s="463" t="str">
        <f t="shared" si="43"/>
        <v/>
      </c>
      <c r="Q19" s="463" t="str">
        <f t="shared" si="43"/>
        <v/>
      </c>
      <c r="R19" s="463" t="str">
        <f t="shared" si="43"/>
        <v/>
      </c>
      <c r="S19" s="463" t="str">
        <f t="shared" si="43"/>
        <v/>
      </c>
      <c r="T19" s="463" t="str">
        <f t="shared" si="43"/>
        <v/>
      </c>
      <c r="U19" s="463" t="str">
        <f t="shared" si="43"/>
        <v/>
      </c>
      <c r="V19" s="463" t="str">
        <f t="shared" si="43"/>
        <v/>
      </c>
      <c r="W19" s="463" t="str">
        <f t="shared" si="43"/>
        <v/>
      </c>
      <c r="X19" s="463" t="str">
        <f t="shared" si="43"/>
        <v/>
      </c>
      <c r="Y19" s="463" t="str">
        <f t="shared" si="43"/>
        <v/>
      </c>
      <c r="Z19" s="463" t="str">
        <f t="shared" si="43"/>
        <v/>
      </c>
      <c r="AA19" s="463" t="str">
        <f t="shared" si="43"/>
        <v/>
      </c>
      <c r="AB19" s="463" t="str">
        <f t="shared" si="43"/>
        <v/>
      </c>
      <c r="AC19" s="463" t="str">
        <f t="shared" si="43"/>
        <v/>
      </c>
      <c r="AD19" s="463" t="str">
        <f t="shared" si="43"/>
        <v/>
      </c>
      <c r="AE19" s="463" t="str">
        <f t="shared" si="43"/>
        <v/>
      </c>
      <c r="AF19" s="463" t="str">
        <f t="shared" si="43"/>
        <v/>
      </c>
      <c r="AG19" s="463" t="str">
        <f t="shared" si="43"/>
        <v/>
      </c>
      <c r="AH19" s="463" t="str">
        <f t="shared" si="43"/>
        <v/>
      </c>
      <c r="AI19" s="463" t="str">
        <f t="shared" si="43"/>
        <v/>
      </c>
      <c r="AJ19" s="463" t="str">
        <f t="shared" si="43"/>
        <v/>
      </c>
      <c r="AK19" s="463" t="str">
        <f t="shared" si="43"/>
        <v/>
      </c>
      <c r="AL19" s="463" t="str">
        <f t="shared" si="43"/>
        <v/>
      </c>
      <c r="AM19" s="463" t="str">
        <f t="shared" si="43"/>
        <v/>
      </c>
      <c r="AN19" s="463" t="str">
        <f t="shared" si="43"/>
        <v/>
      </c>
      <c r="AO19" s="463" t="str">
        <f t="shared" si="43"/>
        <v/>
      </c>
      <c r="AP19" s="463" t="str">
        <f t="shared" si="43"/>
        <v/>
      </c>
      <c r="AQ19" s="463" t="str">
        <f t="shared" si="43"/>
        <v/>
      </c>
      <c r="AR19" s="463" t="str">
        <f t="shared" si="43"/>
        <v/>
      </c>
      <c r="AS19" s="463" t="str">
        <f t="shared" si="43"/>
        <v/>
      </c>
      <c r="AT19" s="463" t="str">
        <f t="shared" si="43"/>
        <v/>
      </c>
      <c r="AU19" s="463" t="str">
        <f t="shared" si="43"/>
        <v/>
      </c>
      <c r="AV19" s="408"/>
      <c r="AW19" s="408"/>
      <c r="AX19" s="408"/>
      <c r="AY19" s="408"/>
    </row>
    <row r="20" spans="1:51" ht="30" customHeight="1" x14ac:dyDescent="0.25">
      <c r="A20" s="595" t="s">
        <v>1592</v>
      </c>
      <c r="B20" s="596"/>
      <c r="C20" s="597"/>
      <c r="D20" s="463" t="str">
        <f>IF(D18&gt;0,IF((D17/D18*100)&gt;10,"ABVAR",""),"")</f>
        <v/>
      </c>
      <c r="E20" s="463" t="str">
        <f t="shared" ref="E20:AU20" si="44">IF(E18&gt;0,IF((E17/E18*100)&gt;10,"ABVAR",""),"")</f>
        <v/>
      </c>
      <c r="F20" s="463" t="str">
        <f t="shared" si="44"/>
        <v/>
      </c>
      <c r="G20" s="463" t="str">
        <f t="shared" si="44"/>
        <v/>
      </c>
      <c r="H20" s="463" t="str">
        <f t="shared" si="44"/>
        <v/>
      </c>
      <c r="I20" s="463" t="str">
        <f t="shared" si="44"/>
        <v/>
      </c>
      <c r="J20" s="463" t="str">
        <f t="shared" si="44"/>
        <v/>
      </c>
      <c r="K20" s="463" t="str">
        <f t="shared" si="44"/>
        <v/>
      </c>
      <c r="L20" s="463" t="str">
        <f t="shared" si="44"/>
        <v/>
      </c>
      <c r="M20" s="463" t="str">
        <f t="shared" si="44"/>
        <v/>
      </c>
      <c r="N20" s="463" t="str">
        <f t="shared" si="44"/>
        <v/>
      </c>
      <c r="O20" s="463" t="str">
        <f t="shared" si="44"/>
        <v/>
      </c>
      <c r="P20" s="463" t="str">
        <f t="shared" si="44"/>
        <v/>
      </c>
      <c r="Q20" s="463" t="str">
        <f t="shared" si="44"/>
        <v/>
      </c>
      <c r="R20" s="463" t="str">
        <f t="shared" si="44"/>
        <v/>
      </c>
      <c r="S20" s="463" t="str">
        <f t="shared" si="44"/>
        <v/>
      </c>
      <c r="T20" s="463" t="str">
        <f t="shared" si="44"/>
        <v>ABVAR</v>
      </c>
      <c r="U20" s="463" t="str">
        <f t="shared" si="44"/>
        <v/>
      </c>
      <c r="V20" s="463" t="str">
        <f t="shared" si="44"/>
        <v/>
      </c>
      <c r="W20" s="463" t="str">
        <f t="shared" si="44"/>
        <v>ABVAR</v>
      </c>
      <c r="X20" s="463" t="str">
        <f t="shared" si="44"/>
        <v/>
      </c>
      <c r="Y20" s="463" t="str">
        <f t="shared" si="44"/>
        <v/>
      </c>
      <c r="Z20" s="463" t="str">
        <f t="shared" si="44"/>
        <v/>
      </c>
      <c r="AA20" s="463" t="str">
        <f t="shared" si="44"/>
        <v/>
      </c>
      <c r="AB20" s="463" t="str">
        <f t="shared" si="44"/>
        <v/>
      </c>
      <c r="AC20" s="463" t="str">
        <f t="shared" si="44"/>
        <v/>
      </c>
      <c r="AD20" s="463" t="str">
        <f t="shared" si="44"/>
        <v/>
      </c>
      <c r="AE20" s="463" t="str">
        <f t="shared" si="44"/>
        <v/>
      </c>
      <c r="AF20" s="463" t="str">
        <f t="shared" si="44"/>
        <v/>
      </c>
      <c r="AG20" s="463" t="str">
        <f t="shared" si="44"/>
        <v/>
      </c>
      <c r="AH20" s="463" t="str">
        <f t="shared" si="44"/>
        <v/>
      </c>
      <c r="AI20" s="463" t="str">
        <f t="shared" si="44"/>
        <v/>
      </c>
      <c r="AJ20" s="463" t="str">
        <f t="shared" si="44"/>
        <v/>
      </c>
      <c r="AK20" s="463" t="str">
        <f t="shared" si="44"/>
        <v/>
      </c>
      <c r="AL20" s="463" t="str">
        <f t="shared" si="44"/>
        <v/>
      </c>
      <c r="AM20" s="463" t="str">
        <f t="shared" si="44"/>
        <v/>
      </c>
      <c r="AN20" s="463" t="str">
        <f t="shared" si="44"/>
        <v/>
      </c>
      <c r="AO20" s="463" t="str">
        <f t="shared" si="44"/>
        <v/>
      </c>
      <c r="AP20" s="463" t="str">
        <f t="shared" si="44"/>
        <v/>
      </c>
      <c r="AQ20" s="463" t="str">
        <f t="shared" si="44"/>
        <v/>
      </c>
      <c r="AR20" s="463" t="str">
        <f t="shared" si="44"/>
        <v/>
      </c>
      <c r="AS20" s="463" t="str">
        <f t="shared" si="44"/>
        <v/>
      </c>
      <c r="AT20" s="463" t="str">
        <f t="shared" si="44"/>
        <v/>
      </c>
      <c r="AU20" s="463" t="str">
        <f t="shared" si="44"/>
        <v/>
      </c>
      <c r="AV20" s="408"/>
      <c r="AW20" s="408"/>
      <c r="AX20" s="408"/>
      <c r="AY20" s="408"/>
    </row>
    <row r="21" spans="1:51" s="120" customFormat="1" ht="20.100000000000001" customHeight="1" x14ac:dyDescent="0.25">
      <c r="A21" s="770" t="s">
        <v>654</v>
      </c>
      <c r="B21" s="770"/>
      <c r="C21" s="771"/>
      <c r="D21" s="794"/>
      <c r="E21" s="794"/>
      <c r="F21" s="794"/>
      <c r="G21" s="794"/>
      <c r="H21" s="794"/>
      <c r="I21" s="794"/>
      <c r="J21" s="794"/>
      <c r="K21" s="794"/>
      <c r="L21" s="794"/>
      <c r="M21" s="794"/>
      <c r="N21" s="794"/>
      <c r="O21" s="794"/>
      <c r="P21" s="794"/>
      <c r="Q21" s="794"/>
      <c r="R21" s="794"/>
      <c r="S21" s="794"/>
      <c r="T21" s="794"/>
      <c r="U21" s="794"/>
      <c r="V21" s="794"/>
      <c r="W21" s="794"/>
      <c r="X21" s="768" t="s">
        <v>449</v>
      </c>
      <c r="Y21" s="768"/>
      <c r="Z21" s="768"/>
      <c r="AA21" s="768"/>
      <c r="AB21" s="795"/>
      <c r="AC21" s="796"/>
      <c r="AD21" s="796"/>
      <c r="AE21" s="796"/>
      <c r="AF21" s="796"/>
      <c r="AG21" s="796"/>
      <c r="AH21" s="796"/>
      <c r="AI21" s="796"/>
      <c r="AJ21" s="796"/>
      <c r="AK21" s="796"/>
      <c r="AL21" s="796"/>
      <c r="AM21" s="796"/>
      <c r="AN21" s="796"/>
      <c r="AO21" s="796"/>
      <c r="AP21" s="796"/>
      <c r="AQ21" s="797"/>
      <c r="AR21" s="765" t="s">
        <v>448</v>
      </c>
      <c r="AS21" s="766"/>
      <c r="AT21" s="766"/>
      <c r="AU21" s="767"/>
      <c r="AV21" s="408"/>
      <c r="AW21" s="408"/>
      <c r="AX21" s="408"/>
      <c r="AY21" s="408"/>
    </row>
    <row r="22" spans="1:51" s="120" customFormat="1" ht="20.100000000000001" customHeight="1" x14ac:dyDescent="0.25">
      <c r="A22" s="772"/>
      <c r="B22" s="772"/>
      <c r="C22" s="773"/>
      <c r="D22" s="794"/>
      <c r="E22" s="794"/>
      <c r="F22" s="794"/>
      <c r="G22" s="794"/>
      <c r="H22" s="794"/>
      <c r="I22" s="794"/>
      <c r="J22" s="794"/>
      <c r="K22" s="794"/>
      <c r="L22" s="794"/>
      <c r="M22" s="794"/>
      <c r="N22" s="794"/>
      <c r="O22" s="794"/>
      <c r="P22" s="794"/>
      <c r="Q22" s="794"/>
      <c r="R22" s="794"/>
      <c r="S22" s="794"/>
      <c r="T22" s="794"/>
      <c r="U22" s="794"/>
      <c r="V22" s="794"/>
      <c r="W22" s="794"/>
      <c r="X22" s="302" t="s">
        <v>38</v>
      </c>
      <c r="Y22" s="302" t="s">
        <v>39</v>
      </c>
      <c r="Z22" s="302" t="s">
        <v>240</v>
      </c>
      <c r="AA22" s="302" t="s">
        <v>17</v>
      </c>
      <c r="AB22" s="798"/>
      <c r="AC22" s="799"/>
      <c r="AD22" s="799"/>
      <c r="AE22" s="799"/>
      <c r="AF22" s="799"/>
      <c r="AG22" s="799"/>
      <c r="AH22" s="799"/>
      <c r="AI22" s="799"/>
      <c r="AJ22" s="799"/>
      <c r="AK22" s="799"/>
      <c r="AL22" s="799"/>
      <c r="AM22" s="799"/>
      <c r="AN22" s="799"/>
      <c r="AO22" s="799"/>
      <c r="AP22" s="799"/>
      <c r="AQ22" s="800"/>
      <c r="AR22" s="302" t="s">
        <v>38</v>
      </c>
      <c r="AS22" s="302" t="s">
        <v>39</v>
      </c>
      <c r="AT22" s="302" t="s">
        <v>240</v>
      </c>
      <c r="AU22" s="302" t="s">
        <v>17</v>
      </c>
      <c r="AV22" s="408"/>
      <c r="AW22" s="408"/>
      <c r="AX22" s="408"/>
      <c r="AY22" s="408"/>
    </row>
    <row r="23" spans="1:51" ht="32.1" customHeight="1" x14ac:dyDescent="0.25">
      <c r="A23" s="625" t="s">
        <v>663</v>
      </c>
      <c r="B23" s="625"/>
      <c r="C23" s="626"/>
      <c r="D23" s="801"/>
      <c r="E23" s="802"/>
      <c r="F23" s="802"/>
      <c r="G23" s="802"/>
      <c r="H23" s="802"/>
      <c r="I23" s="802"/>
      <c r="J23" s="802"/>
      <c r="K23" s="802"/>
      <c r="L23" s="802"/>
      <c r="M23" s="802"/>
      <c r="N23" s="802"/>
      <c r="O23" s="802"/>
      <c r="P23" s="802"/>
      <c r="Q23" s="802"/>
      <c r="R23" s="802"/>
      <c r="S23" s="802"/>
      <c r="T23" s="802"/>
      <c r="U23" s="802"/>
      <c r="V23" s="802"/>
      <c r="W23" s="803"/>
      <c r="X23" s="305">
        <f>X18</f>
        <v>249</v>
      </c>
      <c r="Y23" s="305">
        <f t="shared" ref="Y23:AA23" si="45">Y18</f>
        <v>72</v>
      </c>
      <c r="Z23" s="305">
        <f t="shared" si="45"/>
        <v>0</v>
      </c>
      <c r="AA23" s="305">
        <f t="shared" si="45"/>
        <v>321</v>
      </c>
      <c r="AB23" s="804"/>
      <c r="AC23" s="804"/>
      <c r="AD23" s="804"/>
      <c r="AE23" s="804"/>
      <c r="AF23" s="804"/>
      <c r="AG23" s="804"/>
      <c r="AH23" s="804"/>
      <c r="AI23" s="804"/>
      <c r="AJ23" s="804"/>
      <c r="AK23" s="804"/>
      <c r="AL23" s="804"/>
      <c r="AM23" s="804"/>
      <c r="AN23" s="804"/>
      <c r="AO23" s="804"/>
      <c r="AP23" s="804"/>
      <c r="AQ23" s="804"/>
      <c r="AR23" s="304">
        <f>AR18</f>
        <v>249</v>
      </c>
      <c r="AS23" s="304">
        <f t="shared" ref="AS23:AU23" si="46">AS18</f>
        <v>72</v>
      </c>
      <c r="AT23" s="304">
        <f t="shared" si="46"/>
        <v>0</v>
      </c>
      <c r="AU23" s="304">
        <f t="shared" si="46"/>
        <v>321</v>
      </c>
      <c r="AV23" s="408"/>
      <c r="AW23" s="408"/>
      <c r="AX23" s="408"/>
      <c r="AY23" s="408"/>
    </row>
    <row r="24" spans="1:51" ht="32.1" customHeight="1" x14ac:dyDescent="0.25">
      <c r="A24" s="627" t="s">
        <v>631</v>
      </c>
      <c r="B24" s="627"/>
      <c r="C24" s="628"/>
      <c r="D24" s="781"/>
      <c r="E24" s="781"/>
      <c r="F24" s="781"/>
      <c r="G24" s="781"/>
      <c r="H24" s="781"/>
      <c r="I24" s="781"/>
      <c r="J24" s="781"/>
      <c r="K24" s="781"/>
      <c r="L24" s="781"/>
      <c r="M24" s="781"/>
      <c r="N24" s="781"/>
      <c r="O24" s="781"/>
      <c r="P24" s="781"/>
      <c r="Q24" s="781"/>
      <c r="R24" s="781"/>
      <c r="S24" s="781"/>
      <c r="T24" s="781"/>
      <c r="U24" s="781"/>
      <c r="V24" s="781"/>
      <c r="W24" s="781"/>
      <c r="X24" s="408" t="str">
        <f>IF(X18=AR18,"",FALSE)</f>
        <v/>
      </c>
      <c r="Y24" s="408" t="str">
        <f t="shared" ref="Y24:AA24" si="47">IF(Y18=AS18,"",FALSE)</f>
        <v/>
      </c>
      <c r="Z24" s="408" t="str">
        <f t="shared" si="47"/>
        <v/>
      </c>
      <c r="AA24" s="408" t="str">
        <f t="shared" si="47"/>
        <v/>
      </c>
      <c r="AB24" s="793"/>
      <c r="AC24" s="793"/>
      <c r="AD24" s="793"/>
      <c r="AE24" s="793"/>
      <c r="AF24" s="793"/>
      <c r="AG24" s="793"/>
      <c r="AH24" s="793"/>
      <c r="AI24" s="793"/>
      <c r="AJ24" s="793"/>
      <c r="AK24" s="793"/>
      <c r="AL24" s="793"/>
      <c r="AM24" s="793"/>
      <c r="AN24" s="793"/>
      <c r="AO24" s="793"/>
      <c r="AP24" s="793"/>
      <c r="AQ24" s="793"/>
      <c r="AR24" s="408" t="str">
        <f>IF(AR18=X18,"",FALSE)</f>
        <v/>
      </c>
      <c r="AS24" s="408" t="str">
        <f t="shared" ref="AS24:AU24" si="48">IF(AS18=Y18,"",FALSE)</f>
        <v/>
      </c>
      <c r="AT24" s="408" t="str">
        <f t="shared" si="48"/>
        <v/>
      </c>
      <c r="AU24" s="408" t="str">
        <f t="shared" si="48"/>
        <v/>
      </c>
      <c r="AV24" s="408"/>
      <c r="AW24" s="408"/>
      <c r="AX24" s="408"/>
      <c r="AY24" s="408"/>
    </row>
    <row r="25" spans="1:51" ht="32.1" customHeight="1" x14ac:dyDescent="0.25">
      <c r="A25" s="625" t="s">
        <v>652</v>
      </c>
      <c r="B25" s="625"/>
      <c r="C25" s="626"/>
      <c r="D25" s="791"/>
      <c r="E25" s="791"/>
      <c r="F25" s="791"/>
      <c r="G25" s="791"/>
      <c r="H25" s="791"/>
      <c r="I25" s="791"/>
      <c r="J25" s="791"/>
      <c r="K25" s="791"/>
      <c r="L25" s="791"/>
      <c r="M25" s="791"/>
      <c r="N25" s="791"/>
      <c r="O25" s="791"/>
      <c r="P25" s="791"/>
      <c r="Q25" s="791"/>
      <c r="R25" s="791"/>
      <c r="S25" s="791"/>
      <c r="T25" s="791"/>
      <c r="U25" s="791"/>
      <c r="V25" s="791"/>
      <c r="W25" s="791"/>
      <c r="X25" s="305">
        <f>'P-XIV'!J38</f>
        <v>249</v>
      </c>
      <c r="Y25" s="305">
        <f>'P-XIV'!Q38</f>
        <v>72</v>
      </c>
      <c r="Z25" s="305">
        <f>'P-XIV'!X38</f>
        <v>0</v>
      </c>
      <c r="AA25" s="305">
        <f>'P-XIV'!Y38</f>
        <v>321</v>
      </c>
      <c r="AB25" s="791"/>
      <c r="AC25" s="791"/>
      <c r="AD25" s="791"/>
      <c r="AE25" s="791"/>
      <c r="AF25" s="791"/>
      <c r="AG25" s="791"/>
      <c r="AH25" s="791"/>
      <c r="AI25" s="791"/>
      <c r="AJ25" s="791"/>
      <c r="AK25" s="791"/>
      <c r="AL25" s="791"/>
      <c r="AM25" s="791"/>
      <c r="AN25" s="791"/>
      <c r="AO25" s="791"/>
      <c r="AP25" s="791"/>
      <c r="AQ25" s="791"/>
      <c r="AR25" s="305">
        <f>'P-XIV'!J38</f>
        <v>249</v>
      </c>
      <c r="AS25" s="305">
        <f>'P-XIV'!Q38</f>
        <v>72</v>
      </c>
      <c r="AT25" s="305">
        <f>'P-XIV'!X38</f>
        <v>0</v>
      </c>
      <c r="AU25" s="305">
        <f>'P-XIV'!Y38</f>
        <v>321</v>
      </c>
      <c r="AV25" s="408"/>
      <c r="AW25" s="408"/>
      <c r="AX25" s="408"/>
      <c r="AY25" s="408"/>
    </row>
    <row r="26" spans="1:51" ht="32.1" customHeight="1" x14ac:dyDescent="0.25">
      <c r="A26" s="627" t="s">
        <v>632</v>
      </c>
      <c r="B26" s="627"/>
      <c r="C26" s="628"/>
      <c r="D26" s="793"/>
      <c r="E26" s="793"/>
      <c r="F26" s="793"/>
      <c r="G26" s="793"/>
      <c r="H26" s="793"/>
      <c r="I26" s="793"/>
      <c r="J26" s="793"/>
      <c r="K26" s="793"/>
      <c r="L26" s="793"/>
      <c r="M26" s="793"/>
      <c r="N26" s="793"/>
      <c r="O26" s="793"/>
      <c r="P26" s="793"/>
      <c r="Q26" s="793"/>
      <c r="R26" s="793"/>
      <c r="S26" s="793"/>
      <c r="T26" s="793"/>
      <c r="U26" s="793"/>
      <c r="V26" s="793"/>
      <c r="W26" s="793"/>
      <c r="X26" s="408" t="str">
        <f>IF(X18='P-XIV'!J38,"",FALSE)</f>
        <v/>
      </c>
      <c r="Y26" s="408" t="str">
        <f>IF(Y18='P-XIV'!Q38,"",FALSE)</f>
        <v/>
      </c>
      <c r="Z26" s="408" t="str">
        <f>IF(Z18='P-XIV'!X38,"",FALSE)</f>
        <v/>
      </c>
      <c r="AA26" s="408" t="str">
        <f>IF(AA18='P-XIV'!Y38,"",FALSE)</f>
        <v/>
      </c>
      <c r="AB26" s="793"/>
      <c r="AC26" s="793"/>
      <c r="AD26" s="793"/>
      <c r="AE26" s="793"/>
      <c r="AF26" s="793"/>
      <c r="AG26" s="793"/>
      <c r="AH26" s="793"/>
      <c r="AI26" s="793"/>
      <c r="AJ26" s="793"/>
      <c r="AK26" s="793"/>
      <c r="AL26" s="793"/>
      <c r="AM26" s="793"/>
      <c r="AN26" s="793"/>
      <c r="AO26" s="793"/>
      <c r="AP26" s="793"/>
      <c r="AQ26" s="793"/>
      <c r="AR26" s="408" t="str">
        <f>IF(AR18='P-XIV'!J38,"",FALSE)</f>
        <v/>
      </c>
      <c r="AS26" s="408" t="str">
        <f>IF(AS18='P-XIV'!Q38,"",FALSE)</f>
        <v/>
      </c>
      <c r="AT26" s="408" t="str">
        <f>IF(AT18='P-XIV'!X38,"",FALSE)</f>
        <v/>
      </c>
      <c r="AU26" s="408" t="str">
        <f>IF(AU18='P-XIV'!Y38,"",FALSE)</f>
        <v/>
      </c>
      <c r="AV26" s="408"/>
      <c r="AW26" s="408"/>
      <c r="AX26" s="408"/>
      <c r="AY26" s="408"/>
    </row>
    <row r="27" spans="1:51" ht="20.100000000000001" customHeight="1" x14ac:dyDescent="0.25">
      <c r="A27" s="774" t="s">
        <v>633</v>
      </c>
      <c r="B27" s="775"/>
      <c r="C27" s="775"/>
      <c r="D27" s="775"/>
      <c r="E27" s="775"/>
      <c r="F27" s="775"/>
      <c r="G27" s="775"/>
      <c r="H27" s="775"/>
      <c r="I27" s="775"/>
      <c r="J27" s="775"/>
      <c r="K27" s="775"/>
      <c r="L27" s="775"/>
      <c r="M27" s="775"/>
      <c r="N27" s="775"/>
      <c r="O27" s="775"/>
      <c r="P27" s="775"/>
      <c r="Q27" s="775"/>
      <c r="R27" s="775"/>
      <c r="S27" s="775"/>
      <c r="T27" s="775"/>
      <c r="U27" s="775"/>
      <c r="V27" s="775"/>
      <c r="W27" s="775"/>
      <c r="X27" s="775"/>
      <c r="Y27" s="775"/>
      <c r="Z27" s="775"/>
      <c r="AA27" s="775"/>
      <c r="AB27" s="775"/>
      <c r="AC27" s="775"/>
      <c r="AD27" s="775"/>
      <c r="AE27" s="775"/>
      <c r="AF27" s="775"/>
      <c r="AG27" s="775"/>
      <c r="AH27" s="775"/>
      <c r="AI27" s="775"/>
      <c r="AJ27" s="775"/>
      <c r="AK27" s="775"/>
      <c r="AL27" s="775"/>
      <c r="AM27" s="775"/>
      <c r="AN27" s="775"/>
      <c r="AO27" s="775"/>
      <c r="AP27" s="775"/>
      <c r="AQ27" s="775"/>
      <c r="AR27" s="775"/>
      <c r="AS27" s="775"/>
      <c r="AT27" s="775"/>
      <c r="AU27" s="776"/>
      <c r="AV27" s="408"/>
      <c r="AW27" s="408"/>
      <c r="AX27" s="408"/>
      <c r="AY27" s="408"/>
    </row>
    <row r="28" spans="1:51" ht="20.100000000000001" customHeight="1" x14ac:dyDescent="0.25">
      <c r="A28" s="116">
        <v>875</v>
      </c>
      <c r="B28" s="116">
        <v>9</v>
      </c>
      <c r="C28" s="525" t="s">
        <v>1656</v>
      </c>
      <c r="D28" s="265">
        <v>85</v>
      </c>
      <c r="E28" s="265">
        <v>38</v>
      </c>
      <c r="F28" s="265">
        <v>0</v>
      </c>
      <c r="G28" s="438">
        <f>SUM(D28:F28)</f>
        <v>123</v>
      </c>
      <c r="H28" s="265">
        <v>8</v>
      </c>
      <c r="I28" s="265">
        <v>5</v>
      </c>
      <c r="J28" s="265">
        <v>0</v>
      </c>
      <c r="K28" s="438">
        <f>SUM(H28:J28)</f>
        <v>13</v>
      </c>
      <c r="L28" s="265">
        <v>18</v>
      </c>
      <c r="M28" s="265">
        <v>12</v>
      </c>
      <c r="N28" s="265">
        <v>0</v>
      </c>
      <c r="O28" s="438">
        <f>SUM(L28:N28)</f>
        <v>30</v>
      </c>
      <c r="P28" s="265">
        <v>0</v>
      </c>
      <c r="Q28" s="265">
        <v>0</v>
      </c>
      <c r="R28" s="265">
        <v>0</v>
      </c>
      <c r="S28" s="438">
        <f>SUM(P28:R28)</f>
        <v>0</v>
      </c>
      <c r="T28" s="265">
        <v>5</v>
      </c>
      <c r="U28" s="265">
        <v>0</v>
      </c>
      <c r="V28" s="265">
        <v>0</v>
      </c>
      <c r="W28" s="438">
        <f>SUM(T28:V28)</f>
        <v>5</v>
      </c>
      <c r="X28" s="438">
        <f>D28+H28+L28+P28+T28</f>
        <v>116</v>
      </c>
      <c r="Y28" s="438">
        <f>E28+I28+M28+Q28+U28</f>
        <v>55</v>
      </c>
      <c r="Z28" s="438">
        <f>F28+J28+N28+R28+V28</f>
        <v>0</v>
      </c>
      <c r="AA28" s="438">
        <f>SUM(X28:Z28)</f>
        <v>171</v>
      </c>
      <c r="AB28" s="265">
        <v>103</v>
      </c>
      <c r="AC28" s="265">
        <v>50</v>
      </c>
      <c r="AD28" s="265">
        <v>0</v>
      </c>
      <c r="AE28" s="438">
        <f>SUM(AB28:AD28)</f>
        <v>153</v>
      </c>
      <c r="AF28" s="265">
        <v>10</v>
      </c>
      <c r="AG28" s="265">
        <v>3</v>
      </c>
      <c r="AH28" s="265">
        <v>0</v>
      </c>
      <c r="AI28" s="438">
        <f>SUM(AF28:AH28)</f>
        <v>13</v>
      </c>
      <c r="AJ28" s="265">
        <v>0</v>
      </c>
      <c r="AK28" s="265">
        <v>1</v>
      </c>
      <c r="AL28" s="265">
        <v>0</v>
      </c>
      <c r="AM28" s="438">
        <f>SUM(AJ28:AL28)</f>
        <v>1</v>
      </c>
      <c r="AN28" s="265">
        <v>3</v>
      </c>
      <c r="AO28" s="265">
        <v>1</v>
      </c>
      <c r="AP28" s="265">
        <v>0</v>
      </c>
      <c r="AQ28" s="438">
        <f>SUM(AN28:AP28)</f>
        <v>4</v>
      </c>
      <c r="AR28" s="438">
        <f>AB28+AF28+AJ28+AN28</f>
        <v>116</v>
      </c>
      <c r="AS28" s="438">
        <f>AC28+AG28+AK28+AO28</f>
        <v>55</v>
      </c>
      <c r="AT28" s="438">
        <f>AD28+AH28+AL28+AP28</f>
        <v>0</v>
      </c>
      <c r="AU28" s="438">
        <f>SUM(AR28:AT28)</f>
        <v>171</v>
      </c>
      <c r="AV28" s="408" t="str">
        <f t="shared" ref="AV28:AV32" si="49">IF(AR28=X28,"",FALSE)</f>
        <v/>
      </c>
      <c r="AW28" s="408" t="str">
        <f t="shared" ref="AW28:AW32" si="50">IF(AS28=Y28,"",FALSE)</f>
        <v/>
      </c>
      <c r="AX28" s="408" t="str">
        <f t="shared" ref="AX28:AX32" si="51">IF(AT28=Z28,"",FALSE)</f>
        <v/>
      </c>
      <c r="AY28" s="408" t="str">
        <f t="shared" ref="AY28:AY32" si="52">IF(AU28=AA28,"",FALSE)</f>
        <v/>
      </c>
    </row>
    <row r="29" spans="1:51" ht="20.100000000000001" customHeight="1" x14ac:dyDescent="0.25">
      <c r="A29" s="116">
        <v>876</v>
      </c>
      <c r="B29" s="116">
        <v>10</v>
      </c>
      <c r="C29" s="13" t="s">
        <v>1657</v>
      </c>
      <c r="D29" s="265">
        <v>89</v>
      </c>
      <c r="E29" s="265">
        <v>11</v>
      </c>
      <c r="F29" s="265">
        <v>0</v>
      </c>
      <c r="G29" s="438">
        <f t="shared" ref="G29:G31" si="53">SUM(D29:F29)</f>
        <v>100</v>
      </c>
      <c r="H29" s="265">
        <v>9</v>
      </c>
      <c r="I29" s="265">
        <v>1</v>
      </c>
      <c r="J29" s="265">
        <v>0</v>
      </c>
      <c r="K29" s="438">
        <f t="shared" ref="K29:K31" si="54">SUM(H29:J29)</f>
        <v>10</v>
      </c>
      <c r="L29" s="265">
        <v>26</v>
      </c>
      <c r="M29" s="265">
        <v>4</v>
      </c>
      <c r="N29" s="265">
        <v>0</v>
      </c>
      <c r="O29" s="438">
        <f t="shared" ref="O29:O31" si="55">SUM(L29:N29)</f>
        <v>30</v>
      </c>
      <c r="P29" s="265">
        <v>0</v>
      </c>
      <c r="Q29" s="265">
        <v>0</v>
      </c>
      <c r="R29" s="265">
        <v>0</v>
      </c>
      <c r="S29" s="438">
        <f t="shared" ref="S29:S31" si="56">SUM(P29:R29)</f>
        <v>0</v>
      </c>
      <c r="T29" s="265">
        <v>0</v>
      </c>
      <c r="U29" s="265">
        <v>0</v>
      </c>
      <c r="V29" s="265">
        <v>0</v>
      </c>
      <c r="W29" s="438">
        <f t="shared" ref="W29:W31" si="57">SUM(T29:V29)</f>
        <v>0</v>
      </c>
      <c r="X29" s="438">
        <f t="shared" ref="X29:X31" si="58">D29+H29+L29+P29+T29</f>
        <v>124</v>
      </c>
      <c r="Y29" s="438">
        <f t="shared" ref="Y29:Y31" si="59">E29+I29+M29+Q29+U29</f>
        <v>16</v>
      </c>
      <c r="Z29" s="438">
        <f t="shared" ref="Z29:Z31" si="60">F29+J29+N29+R29+V29</f>
        <v>0</v>
      </c>
      <c r="AA29" s="438">
        <f t="shared" ref="AA29:AA31" si="61">SUM(X29:Z29)</f>
        <v>140</v>
      </c>
      <c r="AB29" s="265">
        <v>111</v>
      </c>
      <c r="AC29" s="265">
        <v>14</v>
      </c>
      <c r="AD29" s="265">
        <v>0</v>
      </c>
      <c r="AE29" s="438">
        <f t="shared" ref="AE29:AE31" si="62">SUM(AB29:AD29)</f>
        <v>125</v>
      </c>
      <c r="AF29" s="265">
        <v>6</v>
      </c>
      <c r="AG29" s="265">
        <v>2</v>
      </c>
      <c r="AH29" s="265">
        <v>0</v>
      </c>
      <c r="AI29" s="438">
        <f t="shared" ref="AI29:AI31" si="63">SUM(AF29:AH29)</f>
        <v>8</v>
      </c>
      <c r="AJ29" s="265">
        <v>1</v>
      </c>
      <c r="AK29" s="265">
        <v>0</v>
      </c>
      <c r="AL29" s="265">
        <v>0</v>
      </c>
      <c r="AM29" s="438">
        <f t="shared" ref="AM29:AM31" si="64">SUM(AJ29:AL29)</f>
        <v>1</v>
      </c>
      <c r="AN29" s="265">
        <v>6</v>
      </c>
      <c r="AO29" s="265">
        <v>0</v>
      </c>
      <c r="AP29" s="265">
        <v>0</v>
      </c>
      <c r="AQ29" s="438">
        <f t="shared" ref="AQ29:AQ31" si="65">SUM(AN29:AP29)</f>
        <v>6</v>
      </c>
      <c r="AR29" s="438">
        <f t="shared" ref="AR29:AR31" si="66">AB29+AF29+AJ29+AN29</f>
        <v>124</v>
      </c>
      <c r="AS29" s="438">
        <f t="shared" ref="AS29:AS31" si="67">AC29+AG29+AK29+AO29</f>
        <v>16</v>
      </c>
      <c r="AT29" s="438">
        <f t="shared" ref="AT29:AT31" si="68">AD29+AH29+AL29+AP29</f>
        <v>0</v>
      </c>
      <c r="AU29" s="438">
        <f t="shared" ref="AU29:AU31" si="69">SUM(AR29:AT29)</f>
        <v>140</v>
      </c>
      <c r="AV29" s="408" t="str">
        <f t="shared" si="49"/>
        <v/>
      </c>
      <c r="AW29" s="408" t="str">
        <f t="shared" si="50"/>
        <v/>
      </c>
      <c r="AX29" s="408" t="str">
        <f t="shared" si="51"/>
        <v/>
      </c>
      <c r="AY29" s="408" t="str">
        <f t="shared" si="52"/>
        <v/>
      </c>
    </row>
    <row r="30" spans="1:51" ht="20.100000000000001" customHeight="1" x14ac:dyDescent="0.25">
      <c r="A30" s="116">
        <v>877</v>
      </c>
      <c r="B30" s="116">
        <v>11</v>
      </c>
      <c r="C30" s="13" t="s">
        <v>1658</v>
      </c>
      <c r="D30" s="265">
        <v>8</v>
      </c>
      <c r="E30" s="265">
        <v>1</v>
      </c>
      <c r="F30" s="265">
        <v>0</v>
      </c>
      <c r="G30" s="438">
        <f t="shared" si="53"/>
        <v>9</v>
      </c>
      <c r="H30" s="265">
        <v>0</v>
      </c>
      <c r="I30" s="265">
        <v>0</v>
      </c>
      <c r="J30" s="265">
        <v>0</v>
      </c>
      <c r="K30" s="438">
        <f t="shared" si="54"/>
        <v>0</v>
      </c>
      <c r="L30" s="265">
        <v>1</v>
      </c>
      <c r="M30" s="265">
        <v>0</v>
      </c>
      <c r="N30" s="265">
        <v>0</v>
      </c>
      <c r="O30" s="438">
        <f t="shared" si="55"/>
        <v>1</v>
      </c>
      <c r="P30" s="265">
        <v>0</v>
      </c>
      <c r="Q30" s="265">
        <v>0</v>
      </c>
      <c r="R30" s="265">
        <v>0</v>
      </c>
      <c r="S30" s="438">
        <f t="shared" si="56"/>
        <v>0</v>
      </c>
      <c r="T30" s="265">
        <v>0</v>
      </c>
      <c r="U30" s="265">
        <v>0</v>
      </c>
      <c r="V30" s="265">
        <v>0</v>
      </c>
      <c r="W30" s="438">
        <f t="shared" si="57"/>
        <v>0</v>
      </c>
      <c r="X30" s="438">
        <f t="shared" si="58"/>
        <v>9</v>
      </c>
      <c r="Y30" s="438">
        <f t="shared" si="59"/>
        <v>1</v>
      </c>
      <c r="Z30" s="438">
        <f t="shared" si="60"/>
        <v>0</v>
      </c>
      <c r="AA30" s="438">
        <f t="shared" si="61"/>
        <v>10</v>
      </c>
      <c r="AB30" s="265">
        <v>8</v>
      </c>
      <c r="AC30" s="265">
        <v>1</v>
      </c>
      <c r="AD30" s="265">
        <v>0</v>
      </c>
      <c r="AE30" s="438">
        <f t="shared" si="62"/>
        <v>9</v>
      </c>
      <c r="AF30" s="265">
        <v>1</v>
      </c>
      <c r="AG30" s="265">
        <v>0</v>
      </c>
      <c r="AH30" s="265">
        <v>0</v>
      </c>
      <c r="AI30" s="438">
        <f t="shared" si="63"/>
        <v>1</v>
      </c>
      <c r="AJ30" s="265">
        <v>0</v>
      </c>
      <c r="AK30" s="265">
        <v>0</v>
      </c>
      <c r="AL30" s="265">
        <v>0</v>
      </c>
      <c r="AM30" s="438">
        <f t="shared" si="64"/>
        <v>0</v>
      </c>
      <c r="AN30" s="265">
        <v>0</v>
      </c>
      <c r="AO30" s="265">
        <v>0</v>
      </c>
      <c r="AP30" s="265">
        <v>0</v>
      </c>
      <c r="AQ30" s="438">
        <f t="shared" si="65"/>
        <v>0</v>
      </c>
      <c r="AR30" s="438">
        <f t="shared" si="66"/>
        <v>9</v>
      </c>
      <c r="AS30" s="438">
        <f t="shared" si="67"/>
        <v>1</v>
      </c>
      <c r="AT30" s="438">
        <f t="shared" si="68"/>
        <v>0</v>
      </c>
      <c r="AU30" s="438">
        <f t="shared" si="69"/>
        <v>10</v>
      </c>
      <c r="AV30" s="408" t="str">
        <f t="shared" si="49"/>
        <v/>
      </c>
      <c r="AW30" s="408" t="str">
        <f t="shared" si="50"/>
        <v/>
      </c>
      <c r="AX30" s="408" t="str">
        <f t="shared" si="51"/>
        <v/>
      </c>
      <c r="AY30" s="408" t="str">
        <f t="shared" si="52"/>
        <v/>
      </c>
    </row>
    <row r="31" spans="1:51" ht="20.100000000000001" customHeight="1" x14ac:dyDescent="0.25">
      <c r="A31" s="116">
        <v>878</v>
      </c>
      <c r="B31" s="116">
        <v>12</v>
      </c>
      <c r="C31" s="13" t="s">
        <v>1659</v>
      </c>
      <c r="D31" s="265">
        <v>0</v>
      </c>
      <c r="E31" s="265">
        <v>0</v>
      </c>
      <c r="F31" s="265">
        <v>0</v>
      </c>
      <c r="G31" s="438">
        <f t="shared" si="53"/>
        <v>0</v>
      </c>
      <c r="H31" s="265">
        <v>0</v>
      </c>
      <c r="I31" s="265">
        <v>0</v>
      </c>
      <c r="J31" s="265">
        <v>0</v>
      </c>
      <c r="K31" s="438">
        <f t="shared" si="54"/>
        <v>0</v>
      </c>
      <c r="L31" s="265">
        <v>0</v>
      </c>
      <c r="M31" s="265">
        <v>0</v>
      </c>
      <c r="N31" s="265">
        <v>0</v>
      </c>
      <c r="O31" s="438">
        <f t="shared" si="55"/>
        <v>0</v>
      </c>
      <c r="P31" s="265">
        <v>0</v>
      </c>
      <c r="Q31" s="265">
        <v>0</v>
      </c>
      <c r="R31" s="265">
        <v>0</v>
      </c>
      <c r="S31" s="438">
        <f t="shared" si="56"/>
        <v>0</v>
      </c>
      <c r="T31" s="265">
        <v>0</v>
      </c>
      <c r="U31" s="265">
        <v>0</v>
      </c>
      <c r="V31" s="265">
        <v>0</v>
      </c>
      <c r="W31" s="438">
        <f t="shared" si="57"/>
        <v>0</v>
      </c>
      <c r="X31" s="438">
        <f t="shared" si="58"/>
        <v>0</v>
      </c>
      <c r="Y31" s="438">
        <f t="shared" si="59"/>
        <v>0</v>
      </c>
      <c r="Z31" s="438">
        <f t="shared" si="60"/>
        <v>0</v>
      </c>
      <c r="AA31" s="438">
        <f t="shared" si="61"/>
        <v>0</v>
      </c>
      <c r="AB31" s="265">
        <v>0</v>
      </c>
      <c r="AC31" s="265">
        <v>0</v>
      </c>
      <c r="AD31" s="265">
        <v>0</v>
      </c>
      <c r="AE31" s="438">
        <f t="shared" si="62"/>
        <v>0</v>
      </c>
      <c r="AF31" s="265">
        <v>0</v>
      </c>
      <c r="AG31" s="265">
        <v>0</v>
      </c>
      <c r="AH31" s="265">
        <v>0</v>
      </c>
      <c r="AI31" s="438">
        <f t="shared" si="63"/>
        <v>0</v>
      </c>
      <c r="AJ31" s="265">
        <v>0</v>
      </c>
      <c r="AK31" s="265">
        <v>0</v>
      </c>
      <c r="AL31" s="265">
        <v>0</v>
      </c>
      <c r="AM31" s="438">
        <f t="shared" si="64"/>
        <v>0</v>
      </c>
      <c r="AN31" s="265">
        <v>0</v>
      </c>
      <c r="AO31" s="265">
        <v>0</v>
      </c>
      <c r="AP31" s="265">
        <v>0</v>
      </c>
      <c r="AQ31" s="438">
        <f t="shared" si="65"/>
        <v>0</v>
      </c>
      <c r="AR31" s="438">
        <f t="shared" si="66"/>
        <v>0</v>
      </c>
      <c r="AS31" s="438">
        <f t="shared" si="67"/>
        <v>0</v>
      </c>
      <c r="AT31" s="438">
        <f t="shared" si="68"/>
        <v>0</v>
      </c>
      <c r="AU31" s="438">
        <f t="shared" si="69"/>
        <v>0</v>
      </c>
      <c r="AV31" s="408" t="str">
        <f t="shared" si="49"/>
        <v/>
      </c>
      <c r="AW31" s="408" t="str">
        <f t="shared" si="50"/>
        <v/>
      </c>
      <c r="AX31" s="408" t="str">
        <f t="shared" si="51"/>
        <v/>
      </c>
      <c r="AY31" s="408" t="str">
        <f t="shared" si="52"/>
        <v/>
      </c>
    </row>
    <row r="32" spans="1:51" ht="20.100000000000001" customHeight="1" x14ac:dyDescent="0.25">
      <c r="A32" s="116">
        <v>890</v>
      </c>
      <c r="B32" s="272">
        <v>13</v>
      </c>
      <c r="C32" s="22" t="s">
        <v>634</v>
      </c>
      <c r="D32" s="441">
        <f t="shared" ref="D32:AU32" si="70">SUM(D28:D31)</f>
        <v>182</v>
      </c>
      <c r="E32" s="441">
        <f t="shared" si="70"/>
        <v>50</v>
      </c>
      <c r="F32" s="441">
        <f t="shared" si="70"/>
        <v>0</v>
      </c>
      <c r="G32" s="441">
        <f t="shared" si="70"/>
        <v>232</v>
      </c>
      <c r="H32" s="441">
        <f t="shared" si="70"/>
        <v>17</v>
      </c>
      <c r="I32" s="441">
        <f t="shared" si="70"/>
        <v>6</v>
      </c>
      <c r="J32" s="441">
        <f t="shared" si="70"/>
        <v>0</v>
      </c>
      <c r="K32" s="441">
        <f t="shared" si="70"/>
        <v>23</v>
      </c>
      <c r="L32" s="441">
        <f t="shared" si="70"/>
        <v>45</v>
      </c>
      <c r="M32" s="441">
        <f t="shared" si="70"/>
        <v>16</v>
      </c>
      <c r="N32" s="441">
        <f t="shared" si="70"/>
        <v>0</v>
      </c>
      <c r="O32" s="441">
        <f t="shared" si="70"/>
        <v>61</v>
      </c>
      <c r="P32" s="441">
        <f t="shared" si="70"/>
        <v>0</v>
      </c>
      <c r="Q32" s="441">
        <f t="shared" si="70"/>
        <v>0</v>
      </c>
      <c r="R32" s="441">
        <f t="shared" si="70"/>
        <v>0</v>
      </c>
      <c r="S32" s="441">
        <f t="shared" si="70"/>
        <v>0</v>
      </c>
      <c r="T32" s="441">
        <f t="shared" si="70"/>
        <v>5</v>
      </c>
      <c r="U32" s="441">
        <f t="shared" si="70"/>
        <v>0</v>
      </c>
      <c r="V32" s="441">
        <f t="shared" si="70"/>
        <v>0</v>
      </c>
      <c r="W32" s="441">
        <f t="shared" si="70"/>
        <v>5</v>
      </c>
      <c r="X32" s="441">
        <f t="shared" si="70"/>
        <v>249</v>
      </c>
      <c r="Y32" s="441">
        <f t="shared" si="70"/>
        <v>72</v>
      </c>
      <c r="Z32" s="441">
        <f t="shared" si="70"/>
        <v>0</v>
      </c>
      <c r="AA32" s="441">
        <f t="shared" si="70"/>
        <v>321</v>
      </c>
      <c r="AB32" s="441">
        <f t="shared" si="70"/>
        <v>222</v>
      </c>
      <c r="AC32" s="441">
        <f t="shared" si="70"/>
        <v>65</v>
      </c>
      <c r="AD32" s="441">
        <f t="shared" si="70"/>
        <v>0</v>
      </c>
      <c r="AE32" s="441">
        <f t="shared" si="70"/>
        <v>287</v>
      </c>
      <c r="AF32" s="441">
        <f t="shared" si="70"/>
        <v>17</v>
      </c>
      <c r="AG32" s="441">
        <f t="shared" si="70"/>
        <v>5</v>
      </c>
      <c r="AH32" s="441">
        <f t="shared" si="70"/>
        <v>0</v>
      </c>
      <c r="AI32" s="441">
        <f t="shared" si="70"/>
        <v>22</v>
      </c>
      <c r="AJ32" s="441">
        <f t="shared" si="70"/>
        <v>1</v>
      </c>
      <c r="AK32" s="441">
        <f t="shared" si="70"/>
        <v>1</v>
      </c>
      <c r="AL32" s="441">
        <f t="shared" si="70"/>
        <v>0</v>
      </c>
      <c r="AM32" s="441">
        <f t="shared" si="70"/>
        <v>2</v>
      </c>
      <c r="AN32" s="441">
        <f t="shared" si="70"/>
        <v>9</v>
      </c>
      <c r="AO32" s="441">
        <f t="shared" si="70"/>
        <v>1</v>
      </c>
      <c r="AP32" s="441">
        <f t="shared" si="70"/>
        <v>0</v>
      </c>
      <c r="AQ32" s="441">
        <f t="shared" si="70"/>
        <v>10</v>
      </c>
      <c r="AR32" s="441">
        <f t="shared" si="70"/>
        <v>249</v>
      </c>
      <c r="AS32" s="441">
        <f t="shared" si="70"/>
        <v>72</v>
      </c>
      <c r="AT32" s="441">
        <f t="shared" si="70"/>
        <v>0</v>
      </c>
      <c r="AU32" s="441">
        <f t="shared" si="70"/>
        <v>321</v>
      </c>
      <c r="AV32" s="408" t="str">
        <f t="shared" si="49"/>
        <v/>
      </c>
      <c r="AW32" s="408" t="str">
        <f t="shared" si="50"/>
        <v/>
      </c>
      <c r="AX32" s="408" t="str">
        <f t="shared" si="51"/>
        <v/>
      </c>
      <c r="AY32" s="408" t="str">
        <f t="shared" si="52"/>
        <v/>
      </c>
    </row>
    <row r="33" spans="1:48" ht="20.100000000000001" customHeight="1" x14ac:dyDescent="0.25">
      <c r="A33" s="770" t="s">
        <v>655</v>
      </c>
      <c r="B33" s="770"/>
      <c r="C33" s="771"/>
      <c r="D33" s="794"/>
      <c r="E33" s="794"/>
      <c r="F33" s="794"/>
      <c r="G33" s="794"/>
      <c r="H33" s="794"/>
      <c r="I33" s="794"/>
      <c r="J33" s="794"/>
      <c r="K33" s="794"/>
      <c r="L33" s="794"/>
      <c r="M33" s="794"/>
      <c r="N33" s="794"/>
      <c r="O33" s="794"/>
      <c r="P33" s="794"/>
      <c r="Q33" s="794"/>
      <c r="R33" s="794"/>
      <c r="S33" s="794"/>
      <c r="T33" s="794"/>
      <c r="U33" s="794"/>
      <c r="V33" s="794"/>
      <c r="W33" s="794"/>
      <c r="X33" s="768" t="s">
        <v>449</v>
      </c>
      <c r="Y33" s="768"/>
      <c r="Z33" s="768"/>
      <c r="AA33" s="768"/>
      <c r="AB33" s="805"/>
      <c r="AC33" s="806"/>
      <c r="AD33" s="806"/>
      <c r="AE33" s="806"/>
      <c r="AF33" s="806"/>
      <c r="AG33" s="806"/>
      <c r="AH33" s="806"/>
      <c r="AI33" s="806"/>
      <c r="AJ33" s="806"/>
      <c r="AK33" s="806"/>
      <c r="AL33" s="806"/>
      <c r="AM33" s="806"/>
      <c r="AN33" s="806"/>
      <c r="AO33" s="806"/>
      <c r="AP33" s="806"/>
      <c r="AQ33" s="807"/>
      <c r="AR33" s="765" t="s">
        <v>448</v>
      </c>
      <c r="AS33" s="766"/>
      <c r="AT33" s="766"/>
      <c r="AU33" s="767"/>
      <c r="AV33" s="497"/>
    </row>
    <row r="34" spans="1:48" ht="20.100000000000001" customHeight="1" x14ac:dyDescent="0.25">
      <c r="A34" s="772"/>
      <c r="B34" s="772"/>
      <c r="C34" s="773"/>
      <c r="D34" s="794"/>
      <c r="E34" s="794"/>
      <c r="F34" s="794"/>
      <c r="G34" s="794"/>
      <c r="H34" s="794"/>
      <c r="I34" s="794"/>
      <c r="J34" s="794"/>
      <c r="K34" s="794"/>
      <c r="L34" s="794"/>
      <c r="M34" s="794"/>
      <c r="N34" s="794"/>
      <c r="O34" s="794"/>
      <c r="P34" s="794"/>
      <c r="Q34" s="794"/>
      <c r="R34" s="794"/>
      <c r="S34" s="794"/>
      <c r="T34" s="794"/>
      <c r="U34" s="794"/>
      <c r="V34" s="794"/>
      <c r="W34" s="794"/>
      <c r="X34" s="303" t="s">
        <v>38</v>
      </c>
      <c r="Y34" s="303" t="s">
        <v>39</v>
      </c>
      <c r="Z34" s="303" t="s">
        <v>240</v>
      </c>
      <c r="AA34" s="303" t="s">
        <v>17</v>
      </c>
      <c r="AB34" s="808"/>
      <c r="AC34" s="809"/>
      <c r="AD34" s="809"/>
      <c r="AE34" s="809"/>
      <c r="AF34" s="809"/>
      <c r="AG34" s="809"/>
      <c r="AH34" s="809"/>
      <c r="AI34" s="809"/>
      <c r="AJ34" s="809"/>
      <c r="AK34" s="809"/>
      <c r="AL34" s="809"/>
      <c r="AM34" s="809"/>
      <c r="AN34" s="809"/>
      <c r="AO34" s="809"/>
      <c r="AP34" s="809"/>
      <c r="AQ34" s="810"/>
      <c r="AR34" s="303" t="s">
        <v>38</v>
      </c>
      <c r="AS34" s="303" t="s">
        <v>39</v>
      </c>
      <c r="AT34" s="303" t="s">
        <v>240</v>
      </c>
      <c r="AU34" s="303" t="s">
        <v>17</v>
      </c>
      <c r="AV34" s="497"/>
    </row>
    <row r="35" spans="1:48" ht="30" customHeight="1" x14ac:dyDescent="0.25">
      <c r="A35" s="625" t="s">
        <v>664</v>
      </c>
      <c r="B35" s="625"/>
      <c r="C35" s="626"/>
      <c r="D35" s="811"/>
      <c r="E35" s="811"/>
      <c r="F35" s="811"/>
      <c r="G35" s="811"/>
      <c r="H35" s="811"/>
      <c r="I35" s="811"/>
      <c r="J35" s="811"/>
      <c r="K35" s="811"/>
      <c r="L35" s="811"/>
      <c r="M35" s="811"/>
      <c r="N35" s="811"/>
      <c r="O35" s="811"/>
      <c r="P35" s="811"/>
      <c r="Q35" s="811"/>
      <c r="R35" s="811"/>
      <c r="S35" s="811"/>
      <c r="T35" s="811"/>
      <c r="U35" s="811"/>
      <c r="V35" s="811"/>
      <c r="W35" s="811"/>
      <c r="X35" s="305">
        <f>X32</f>
        <v>249</v>
      </c>
      <c r="Y35" s="305">
        <f t="shared" ref="Y35:AA35" si="71">Y32</f>
        <v>72</v>
      </c>
      <c r="Z35" s="305">
        <f t="shared" si="71"/>
        <v>0</v>
      </c>
      <c r="AA35" s="305">
        <f t="shared" si="71"/>
        <v>321</v>
      </c>
      <c r="AB35" s="792"/>
      <c r="AC35" s="792"/>
      <c r="AD35" s="792"/>
      <c r="AE35" s="792"/>
      <c r="AF35" s="792"/>
      <c r="AG35" s="792"/>
      <c r="AH35" s="792"/>
      <c r="AI35" s="792"/>
      <c r="AJ35" s="792"/>
      <c r="AK35" s="792"/>
      <c r="AL35" s="792"/>
      <c r="AM35" s="792"/>
      <c r="AN35" s="792"/>
      <c r="AO35" s="792"/>
      <c r="AP35" s="792"/>
      <c r="AQ35" s="792"/>
      <c r="AR35" s="304">
        <f>AR32</f>
        <v>249</v>
      </c>
      <c r="AS35" s="304">
        <f t="shared" ref="AS35:AU35" si="72">AS32</f>
        <v>72</v>
      </c>
      <c r="AT35" s="304">
        <f t="shared" si="72"/>
        <v>0</v>
      </c>
      <c r="AU35" s="304">
        <f t="shared" si="72"/>
        <v>321</v>
      </c>
      <c r="AV35" s="497"/>
    </row>
    <row r="36" spans="1:48" ht="30" customHeight="1" x14ac:dyDescent="0.25">
      <c r="A36" s="627" t="s">
        <v>631</v>
      </c>
      <c r="B36" s="627"/>
      <c r="C36" s="628"/>
      <c r="D36" s="781"/>
      <c r="E36" s="781"/>
      <c r="F36" s="781"/>
      <c r="G36" s="781"/>
      <c r="H36" s="781"/>
      <c r="I36" s="781"/>
      <c r="J36" s="781"/>
      <c r="K36" s="781"/>
      <c r="L36" s="781"/>
      <c r="M36" s="781"/>
      <c r="N36" s="781"/>
      <c r="O36" s="781"/>
      <c r="P36" s="781"/>
      <c r="Q36" s="781"/>
      <c r="R36" s="781"/>
      <c r="S36" s="781"/>
      <c r="T36" s="781"/>
      <c r="U36" s="781"/>
      <c r="V36" s="781"/>
      <c r="W36" s="781"/>
      <c r="X36" s="408" t="str">
        <f>IF(X32=AR32,"",FALSE)</f>
        <v/>
      </c>
      <c r="Y36" s="408" t="str">
        <f t="shared" ref="Y36" si="73">IF(Y32=AS32,"",FALSE)</f>
        <v/>
      </c>
      <c r="Z36" s="408" t="str">
        <f t="shared" ref="Z36" si="74">IF(Z32=AT32,"",FALSE)</f>
        <v/>
      </c>
      <c r="AA36" s="408" t="str">
        <f t="shared" ref="AA36" si="75">IF(AA32=AU32,"",FALSE)</f>
        <v/>
      </c>
      <c r="AB36" s="781"/>
      <c r="AC36" s="781"/>
      <c r="AD36" s="781"/>
      <c r="AE36" s="781"/>
      <c r="AF36" s="781"/>
      <c r="AG36" s="781"/>
      <c r="AH36" s="781"/>
      <c r="AI36" s="781"/>
      <c r="AJ36" s="781"/>
      <c r="AK36" s="781"/>
      <c r="AL36" s="781"/>
      <c r="AM36" s="781"/>
      <c r="AN36" s="781"/>
      <c r="AO36" s="781"/>
      <c r="AP36" s="781"/>
      <c r="AQ36" s="781"/>
      <c r="AR36" s="408" t="str">
        <f>IF(AR32=X32,"",FALSE)</f>
        <v/>
      </c>
      <c r="AS36" s="408" t="str">
        <f t="shared" ref="AS36" si="76">IF(AS32=Y32,"",FALSE)</f>
        <v/>
      </c>
      <c r="AT36" s="408" t="str">
        <f t="shared" ref="AT36" si="77">IF(AT32=Z32,"",FALSE)</f>
        <v/>
      </c>
      <c r="AU36" s="408" t="str">
        <f t="shared" ref="AU36" si="78">IF(AU32=AA32,"",FALSE)</f>
        <v/>
      </c>
      <c r="AV36" s="497"/>
    </row>
    <row r="37" spans="1:48" ht="30" customHeight="1" x14ac:dyDescent="0.25">
      <c r="A37" s="625" t="s">
        <v>627</v>
      </c>
      <c r="B37" s="625"/>
      <c r="C37" s="626"/>
      <c r="D37" s="791"/>
      <c r="E37" s="791"/>
      <c r="F37" s="791"/>
      <c r="G37" s="791"/>
      <c r="H37" s="791"/>
      <c r="I37" s="791"/>
      <c r="J37" s="791"/>
      <c r="K37" s="791"/>
      <c r="L37" s="791"/>
      <c r="M37" s="791"/>
      <c r="N37" s="791"/>
      <c r="O37" s="791"/>
      <c r="P37" s="791"/>
      <c r="Q37" s="791"/>
      <c r="R37" s="791"/>
      <c r="S37" s="791"/>
      <c r="T37" s="791"/>
      <c r="U37" s="791"/>
      <c r="V37" s="791"/>
      <c r="W37" s="791"/>
      <c r="X37" s="305">
        <f>'P-XIV'!J38</f>
        <v>249</v>
      </c>
      <c r="Y37" s="305">
        <f>'P-XIV'!Q38</f>
        <v>72</v>
      </c>
      <c r="Z37" s="305">
        <f>'P-XIV'!X38</f>
        <v>0</v>
      </c>
      <c r="AA37" s="305">
        <f>'P-XIV'!Y38</f>
        <v>321</v>
      </c>
      <c r="AB37" s="792"/>
      <c r="AC37" s="792"/>
      <c r="AD37" s="792"/>
      <c r="AE37" s="792"/>
      <c r="AF37" s="792"/>
      <c r="AG37" s="792"/>
      <c r="AH37" s="792"/>
      <c r="AI37" s="792"/>
      <c r="AJ37" s="792"/>
      <c r="AK37" s="792"/>
      <c r="AL37" s="792"/>
      <c r="AM37" s="792"/>
      <c r="AN37" s="792"/>
      <c r="AO37" s="792"/>
      <c r="AP37" s="792"/>
      <c r="AQ37" s="792"/>
      <c r="AR37" s="305">
        <f>'P-XIV'!J38</f>
        <v>249</v>
      </c>
      <c r="AS37" s="305">
        <f>'P-XIV'!Q38</f>
        <v>72</v>
      </c>
      <c r="AT37" s="305">
        <f>'P-XIV'!X38</f>
        <v>0</v>
      </c>
      <c r="AU37" s="305">
        <f>'P-XIV'!Y38</f>
        <v>321</v>
      </c>
      <c r="AV37" s="497"/>
    </row>
    <row r="38" spans="1:48" ht="30" customHeight="1" x14ac:dyDescent="0.25">
      <c r="A38" s="627" t="s">
        <v>632</v>
      </c>
      <c r="B38" s="627"/>
      <c r="C38" s="628"/>
      <c r="D38" s="793"/>
      <c r="E38" s="793"/>
      <c r="F38" s="793"/>
      <c r="G38" s="793"/>
      <c r="H38" s="793"/>
      <c r="I38" s="793"/>
      <c r="J38" s="793"/>
      <c r="K38" s="793"/>
      <c r="L38" s="793"/>
      <c r="M38" s="793"/>
      <c r="N38" s="793"/>
      <c r="O38" s="793"/>
      <c r="P38" s="793"/>
      <c r="Q38" s="793"/>
      <c r="R38" s="793"/>
      <c r="S38" s="793"/>
      <c r="T38" s="793"/>
      <c r="U38" s="793"/>
      <c r="V38" s="793"/>
      <c r="W38" s="793"/>
      <c r="X38" s="408" t="str">
        <f>IF(X32='P-XIV'!J38,"",FALSE)</f>
        <v/>
      </c>
      <c r="Y38" s="408" t="str">
        <f>IF(Y32='P-XIV'!Q38,"",FALSE)</f>
        <v/>
      </c>
      <c r="Z38" s="408" t="str">
        <f>IF(Z32='P-XIV'!X38,"",FALSE)</f>
        <v/>
      </c>
      <c r="AA38" s="408" t="str">
        <f>IF(AA32='P-XIV'!Y38,"",FALSE)</f>
        <v/>
      </c>
      <c r="AB38" s="781"/>
      <c r="AC38" s="781"/>
      <c r="AD38" s="781"/>
      <c r="AE38" s="781"/>
      <c r="AF38" s="781"/>
      <c r="AG38" s="781"/>
      <c r="AH38" s="781"/>
      <c r="AI38" s="781"/>
      <c r="AJ38" s="781"/>
      <c r="AK38" s="781"/>
      <c r="AL38" s="781"/>
      <c r="AM38" s="781"/>
      <c r="AN38" s="781"/>
      <c r="AO38" s="781"/>
      <c r="AP38" s="781"/>
      <c r="AQ38" s="781"/>
      <c r="AR38" s="408" t="str">
        <f>IF(AR32='P-XIV'!J38,"",FALSE)</f>
        <v/>
      </c>
      <c r="AS38" s="408" t="str">
        <f>IF(AS32='P-XIV'!Q38,"",FALSE)</f>
        <v/>
      </c>
      <c r="AT38" s="408" t="str">
        <f>IF(AT32='P-XIV'!X38,"",FALSE)</f>
        <v/>
      </c>
      <c r="AU38" s="408" t="str">
        <f>IF(AU32='P-XIV'!Y38,"",FALSE)</f>
        <v/>
      </c>
      <c r="AV38" s="497"/>
    </row>
    <row r="163" spans="99:100" x14ac:dyDescent="0.25">
      <c r="CU163" s="132"/>
      <c r="CV163" s="132"/>
    </row>
    <row r="164" spans="99:100" x14ac:dyDescent="0.25">
      <c r="CU164" s="132"/>
      <c r="CV164" s="132"/>
    </row>
    <row r="165" spans="99:100" ht="15" customHeight="1" x14ac:dyDescent="0.25">
      <c r="CU165" s="132"/>
      <c r="CV165" s="132"/>
    </row>
    <row r="166" spans="99:100" ht="15" customHeight="1" x14ac:dyDescent="0.25">
      <c r="CU166" s="132"/>
      <c r="CV166" s="132"/>
    </row>
    <row r="167" spans="99:100" x14ac:dyDescent="0.25">
      <c r="CU167" s="132"/>
      <c r="CV167" s="132"/>
    </row>
    <row r="168" spans="99:100" x14ac:dyDescent="0.25">
      <c r="CU168" s="132"/>
      <c r="CV168" s="132"/>
    </row>
    <row r="169" spans="99:100" x14ac:dyDescent="0.25">
      <c r="CU169" s="132"/>
      <c r="CV169" s="132"/>
    </row>
    <row r="170" spans="99:100" x14ac:dyDescent="0.25">
      <c r="CU170" s="132"/>
      <c r="CV170" s="132"/>
    </row>
    <row r="171" spans="99:100" x14ac:dyDescent="0.25">
      <c r="CU171" s="132"/>
      <c r="CV171" s="132"/>
    </row>
    <row r="172" spans="99:100" x14ac:dyDescent="0.25">
      <c r="CU172" s="132"/>
      <c r="CV172" s="132"/>
    </row>
    <row r="179" spans="99:99" x14ac:dyDescent="0.25">
      <c r="CU179" s="132"/>
    </row>
    <row r="180" spans="99:99" x14ac:dyDescent="0.25">
      <c r="CU180" s="132"/>
    </row>
    <row r="181" spans="99:99" ht="33.75" customHeight="1" x14ac:dyDescent="0.25">
      <c r="CU181" s="132"/>
    </row>
    <row r="182" spans="99:99" ht="41.25" customHeight="1" x14ac:dyDescent="0.25">
      <c r="CU182" s="132"/>
    </row>
    <row r="183" spans="99:99" ht="31.5" customHeight="1" x14ac:dyDescent="0.25">
      <c r="CU183" s="132"/>
    </row>
    <row r="184" spans="99:99" ht="37.5" customHeight="1" x14ac:dyDescent="0.25">
      <c r="CU184" s="132"/>
    </row>
    <row r="200" spans="53:102" x14ac:dyDescent="0.25">
      <c r="BA200" s="141" t="str">
        <f>A1</f>
        <v>Goa, , ADSI-2021</v>
      </c>
      <c r="BB200" s="141"/>
    </row>
    <row r="201" spans="53:102" x14ac:dyDescent="0.25">
      <c r="BA201" s="141" t="str">
        <f>A2</f>
        <v>Errors</v>
      </c>
      <c r="BB201" s="309">
        <f>C2</f>
        <v>0</v>
      </c>
      <c r="BC201" s="141"/>
      <c r="BD201" s="472" t="str">
        <f>E2</f>
        <v>Abnormal Variations</v>
      </c>
      <c r="BE201" s="141">
        <f>F2</f>
        <v>2</v>
      </c>
    </row>
    <row r="202" spans="53:102" x14ac:dyDescent="0.25">
      <c r="BA202" s="141" t="str">
        <f>A3</f>
        <v>Proforma–XVI</v>
      </c>
      <c r="BB202" s="132"/>
      <c r="BC202" s="132"/>
      <c r="BD202" s="132"/>
      <c r="BE202" s="132"/>
      <c r="BF202" s="132"/>
      <c r="BG202" s="132"/>
      <c r="BH202" s="132"/>
      <c r="BI202" s="132"/>
      <c r="BJ202" s="132"/>
      <c r="BK202" s="132"/>
      <c r="BL202" s="167"/>
      <c r="BN202" s="132"/>
      <c r="BO202" s="132"/>
      <c r="BP202" s="132"/>
      <c r="BQ202" s="132"/>
      <c r="BR202" s="132"/>
      <c r="BS202" s="132"/>
      <c r="BT202" s="132"/>
      <c r="BU202" s="132"/>
      <c r="BV202" s="132"/>
      <c r="BW202" s="132"/>
      <c r="BX202" s="132"/>
      <c r="BY202" s="132"/>
      <c r="BZ202" s="132"/>
      <c r="CA202" s="132"/>
      <c r="CB202" s="132"/>
      <c r="CC202" s="132"/>
      <c r="CD202" s="132"/>
      <c r="CE202" s="132"/>
      <c r="CF202" s="132"/>
      <c r="CG202" s="132"/>
      <c r="CH202" s="132"/>
      <c r="CI202" s="132"/>
      <c r="CJ202" s="132"/>
      <c r="CK202" s="132"/>
      <c r="CL202" s="132"/>
      <c r="CM202" s="132"/>
      <c r="CN202" s="132"/>
      <c r="CO202" s="132"/>
      <c r="CP202" s="132"/>
      <c r="CQ202" s="132"/>
      <c r="CR202" s="132"/>
      <c r="CS202" s="132"/>
      <c r="CT202" s="132"/>
    </row>
    <row r="203" spans="53:102" x14ac:dyDescent="0.25">
      <c r="BA203" s="141" t="str">
        <f>A4</f>
        <v>Social and Economic Status of Suicide Victims</v>
      </c>
      <c r="BB203" s="132"/>
      <c r="BC203" s="132"/>
      <c r="BD203" s="132"/>
      <c r="BE203" s="132"/>
      <c r="BF203" s="132"/>
      <c r="BG203" s="132"/>
      <c r="BH203" s="132"/>
      <c r="BI203" s="132"/>
      <c r="BJ203" s="132"/>
      <c r="BK203" s="132"/>
      <c r="BN203" s="132"/>
      <c r="BO203" s="132"/>
      <c r="BP203" s="132"/>
      <c r="BQ203" s="132"/>
      <c r="BR203" s="132"/>
      <c r="BS203" s="132"/>
      <c r="BT203" s="132"/>
      <c r="BU203" s="132"/>
      <c r="BV203" s="132"/>
      <c r="BW203" s="132"/>
      <c r="BX203" s="132"/>
      <c r="BY203" s="132"/>
      <c r="BZ203" s="132"/>
      <c r="CA203" s="132"/>
      <c r="CB203" s="132"/>
      <c r="CC203" s="132"/>
      <c r="CD203" s="132"/>
      <c r="CE203" s="132"/>
      <c r="CF203" s="132"/>
      <c r="CG203" s="132"/>
      <c r="CH203" s="132"/>
      <c r="CI203" s="132"/>
      <c r="CJ203" s="132"/>
      <c r="CK203" s="132"/>
      <c r="CL203" s="132"/>
      <c r="CM203" s="132"/>
      <c r="CN203" s="132"/>
      <c r="CO203" s="132"/>
      <c r="CP203" s="132"/>
      <c r="CQ203" s="132"/>
      <c r="CR203" s="132"/>
      <c r="CS203" s="132"/>
      <c r="CT203" s="132"/>
    </row>
    <row r="204" spans="53:102" ht="15" customHeight="1" x14ac:dyDescent="0.25">
      <c r="BA204" s="647" t="str">
        <f>B5</f>
        <v>Sl. No</v>
      </c>
      <c r="BB204" s="647" t="str">
        <f>C5</f>
        <v>Status</v>
      </c>
      <c r="BC204" s="647" t="str">
        <f>D5</f>
        <v>Number of Suicidal Deaths</v>
      </c>
      <c r="BD204" s="647"/>
      <c r="BE204" s="647"/>
      <c r="BF204" s="647"/>
      <c r="BG204" s="647"/>
      <c r="BH204" s="647"/>
      <c r="BI204" s="647"/>
      <c r="BJ204" s="647"/>
      <c r="BK204" s="647"/>
      <c r="BL204" s="647"/>
      <c r="BM204" s="647"/>
      <c r="BN204" s="647"/>
      <c r="BO204" s="647"/>
      <c r="BP204" s="647"/>
      <c r="BQ204" s="647"/>
      <c r="BR204" s="647"/>
      <c r="BS204" s="647" t="s">
        <v>139</v>
      </c>
      <c r="BT204" s="647"/>
      <c r="BU204" s="647"/>
      <c r="BV204" s="647"/>
      <c r="BW204" s="647"/>
      <c r="BX204" s="647"/>
      <c r="BY204" s="647"/>
      <c r="BZ204" s="647"/>
      <c r="CA204" s="647"/>
      <c r="CB204" s="647"/>
      <c r="CC204" s="647"/>
      <c r="CD204" s="647"/>
      <c r="CE204" s="647"/>
      <c r="CF204" s="647"/>
      <c r="CG204" s="647"/>
      <c r="CH204" s="647"/>
      <c r="CI204" s="647" t="s">
        <v>139</v>
      </c>
      <c r="CJ204" s="647"/>
      <c r="CK204" s="647"/>
      <c r="CL204" s="647"/>
      <c r="CM204" s="647"/>
      <c r="CN204" s="647"/>
      <c r="CO204" s="647"/>
      <c r="CP204" s="647"/>
      <c r="CQ204" s="647"/>
      <c r="CR204" s="647"/>
      <c r="CS204" s="647"/>
      <c r="CT204" s="647"/>
      <c r="CU204" s="618" t="str">
        <f>AV5</f>
        <v>VALIDATION WITHIN PROFORMA–XVI (Social &amp; Economic Status with Religion &amp; Caste) [Column (23), (24), (25), (26) with Column (43), (44), (45), (46)]</v>
      </c>
      <c r="CV204" s="618"/>
      <c r="CW204" s="618"/>
      <c r="CX204" s="618"/>
    </row>
    <row r="205" spans="53:102" x14ac:dyDescent="0.25">
      <c r="BA205" s="647"/>
      <c r="BB205" s="647"/>
      <c r="BC205" s="647" t="str">
        <f>D6</f>
        <v>Religion of Victims</v>
      </c>
      <c r="BD205" s="647"/>
      <c r="BE205" s="647"/>
      <c r="BF205" s="647"/>
      <c r="BG205" s="647"/>
      <c r="BH205" s="647"/>
      <c r="BI205" s="647"/>
      <c r="BJ205" s="647"/>
      <c r="BK205" s="647"/>
      <c r="BL205" s="647"/>
      <c r="BM205" s="647"/>
      <c r="BN205" s="647"/>
      <c r="BO205" s="647"/>
      <c r="BP205" s="647"/>
      <c r="BQ205" s="647"/>
      <c r="BR205" s="647"/>
      <c r="BS205" s="647" t="s">
        <v>140</v>
      </c>
      <c r="BT205" s="647"/>
      <c r="BU205" s="647"/>
      <c r="BV205" s="647"/>
      <c r="BW205" s="647"/>
      <c r="BX205" s="647"/>
      <c r="BY205" s="647"/>
      <c r="BZ205" s="647"/>
      <c r="CA205" s="647" t="str">
        <f>AB6</f>
        <v>Caste of Victims</v>
      </c>
      <c r="CB205" s="647"/>
      <c r="CC205" s="647"/>
      <c r="CD205" s="647"/>
      <c r="CE205" s="647"/>
      <c r="CF205" s="647"/>
      <c r="CG205" s="647"/>
      <c r="CH205" s="647"/>
      <c r="CI205" s="647" t="s">
        <v>145</v>
      </c>
      <c r="CJ205" s="647"/>
      <c r="CK205" s="647"/>
      <c r="CL205" s="647"/>
      <c r="CM205" s="647"/>
      <c r="CN205" s="647"/>
      <c r="CO205" s="647"/>
      <c r="CP205" s="647"/>
      <c r="CQ205" s="647"/>
      <c r="CR205" s="647"/>
      <c r="CS205" s="647"/>
      <c r="CT205" s="647"/>
      <c r="CU205" s="618"/>
      <c r="CV205" s="618"/>
      <c r="CW205" s="618"/>
      <c r="CX205" s="618"/>
    </row>
    <row r="206" spans="53:102" x14ac:dyDescent="0.25">
      <c r="BA206" s="647"/>
      <c r="BB206" s="647"/>
      <c r="BC206" s="647" t="str">
        <f>D7</f>
        <v>Hindu</v>
      </c>
      <c r="BD206" s="647"/>
      <c r="BE206" s="647"/>
      <c r="BF206" s="647"/>
      <c r="BG206" s="647" t="str">
        <f>H7</f>
        <v>Muslim</v>
      </c>
      <c r="BH206" s="647"/>
      <c r="BI206" s="647"/>
      <c r="BJ206" s="647"/>
      <c r="BK206" s="647" t="str">
        <f>L7</f>
        <v>Christian</v>
      </c>
      <c r="BL206" s="647"/>
      <c r="BM206" s="647"/>
      <c r="BN206" s="647"/>
      <c r="BO206" s="647" t="str">
        <f>P7</f>
        <v>Sikh</v>
      </c>
      <c r="BP206" s="647"/>
      <c r="BQ206" s="647"/>
      <c r="BR206" s="647"/>
      <c r="BS206" s="647" t="str">
        <f>T7</f>
        <v>Others</v>
      </c>
      <c r="BT206" s="647"/>
      <c r="BU206" s="647"/>
      <c r="BV206" s="647"/>
      <c r="BW206" s="647" t="str">
        <f>X7</f>
        <v>Total</v>
      </c>
      <c r="BX206" s="647"/>
      <c r="BY206" s="647"/>
      <c r="BZ206" s="647"/>
      <c r="CA206" s="647" t="str">
        <f>AB7</f>
        <v>General</v>
      </c>
      <c r="CB206" s="647"/>
      <c r="CC206" s="647"/>
      <c r="CD206" s="647"/>
      <c r="CE206" s="647" t="str">
        <f>AF7</f>
        <v>OBC</v>
      </c>
      <c r="CF206" s="647"/>
      <c r="CG206" s="647"/>
      <c r="CH206" s="647"/>
      <c r="CI206" s="647" t="str">
        <f>AJ7</f>
        <v>SC</v>
      </c>
      <c r="CJ206" s="647"/>
      <c r="CK206" s="647"/>
      <c r="CL206" s="647"/>
      <c r="CM206" s="647" t="str">
        <f>AN7</f>
        <v>ST</v>
      </c>
      <c r="CN206" s="647"/>
      <c r="CO206" s="647"/>
      <c r="CP206" s="647"/>
      <c r="CQ206" s="647" t="str">
        <f>AR7</f>
        <v>Total</v>
      </c>
      <c r="CR206" s="647"/>
      <c r="CS206" s="647"/>
      <c r="CT206" s="647"/>
      <c r="CU206" s="618"/>
      <c r="CV206" s="618"/>
      <c r="CW206" s="618"/>
      <c r="CX206" s="618"/>
    </row>
    <row r="207" spans="53:102" ht="25.5" x14ac:dyDescent="0.25">
      <c r="BA207" s="647"/>
      <c r="BB207" s="647"/>
      <c r="BC207" s="169" t="str">
        <f>D8</f>
        <v>Male</v>
      </c>
      <c r="BD207" s="169" t="str">
        <f t="shared" ref="BD207:BF208" si="79">E8</f>
        <v>Female</v>
      </c>
      <c r="BE207" s="169" t="str">
        <f t="shared" si="79"/>
        <v>Transgender</v>
      </c>
      <c r="BF207" s="169" t="str">
        <f t="shared" si="79"/>
        <v>Total</v>
      </c>
      <c r="BG207" s="169" t="str">
        <f>H8</f>
        <v>Male</v>
      </c>
      <c r="BH207" s="169" t="str">
        <f t="shared" ref="BH207:BJ208" si="80">I8</f>
        <v>Female</v>
      </c>
      <c r="BI207" s="169" t="str">
        <f t="shared" si="80"/>
        <v>Transgender</v>
      </c>
      <c r="BJ207" s="169" t="str">
        <f t="shared" si="80"/>
        <v>Total</v>
      </c>
      <c r="BK207" s="169" t="str">
        <f>L8</f>
        <v>Male</v>
      </c>
      <c r="BL207" s="169" t="str">
        <f t="shared" ref="BL207:BN208" si="81">M8</f>
        <v>Female</v>
      </c>
      <c r="BM207" s="169" t="str">
        <f t="shared" si="81"/>
        <v>Transgender</v>
      </c>
      <c r="BN207" s="169" t="str">
        <f t="shared" si="81"/>
        <v>Total</v>
      </c>
      <c r="BO207" s="169" t="str">
        <f>P8</f>
        <v>Male</v>
      </c>
      <c r="BP207" s="169" t="str">
        <f t="shared" ref="BP207:BR208" si="82">Q8</f>
        <v>Female</v>
      </c>
      <c r="BQ207" s="169" t="str">
        <f t="shared" si="82"/>
        <v>Transgender</v>
      </c>
      <c r="BR207" s="169" t="str">
        <f t="shared" si="82"/>
        <v>Total</v>
      </c>
      <c r="BS207" s="169" t="str">
        <f>T8</f>
        <v>Male</v>
      </c>
      <c r="BT207" s="169" t="str">
        <f t="shared" ref="BT207:BV208" si="83">U8</f>
        <v>Female</v>
      </c>
      <c r="BU207" s="169" t="str">
        <f t="shared" si="83"/>
        <v>Transgender</v>
      </c>
      <c r="BV207" s="169" t="str">
        <f t="shared" si="83"/>
        <v>Total</v>
      </c>
      <c r="BW207" s="169" t="str">
        <f>X8</f>
        <v>Male</v>
      </c>
      <c r="BX207" s="169" t="str">
        <f t="shared" ref="BX207:BZ208" si="84">Y8</f>
        <v>Female</v>
      </c>
      <c r="BY207" s="169" t="str">
        <f t="shared" si="84"/>
        <v>Transgender</v>
      </c>
      <c r="BZ207" s="169" t="str">
        <f t="shared" si="84"/>
        <v>Total</v>
      </c>
      <c r="CA207" s="169" t="str">
        <f>AB8</f>
        <v>Male</v>
      </c>
      <c r="CB207" s="169" t="str">
        <f t="shared" ref="CB207:CD208" si="85">AC8</f>
        <v>Female</v>
      </c>
      <c r="CC207" s="169" t="str">
        <f t="shared" si="85"/>
        <v>Transgender</v>
      </c>
      <c r="CD207" s="169" t="str">
        <f t="shared" si="85"/>
        <v>Total</v>
      </c>
      <c r="CE207" s="169" t="str">
        <f>AF8</f>
        <v>Male</v>
      </c>
      <c r="CF207" s="169" t="str">
        <f t="shared" ref="CF207:CH208" si="86">AG8</f>
        <v>Female</v>
      </c>
      <c r="CG207" s="169" t="str">
        <f t="shared" si="86"/>
        <v>Transgender</v>
      </c>
      <c r="CH207" s="169" t="str">
        <f t="shared" si="86"/>
        <v>Total</v>
      </c>
      <c r="CI207" s="169" t="str">
        <f>AJ8</f>
        <v>Male</v>
      </c>
      <c r="CJ207" s="169" t="str">
        <f t="shared" ref="CJ207:CL208" si="87">AK8</f>
        <v>Female</v>
      </c>
      <c r="CK207" s="169" t="str">
        <f t="shared" si="87"/>
        <v>Transgender</v>
      </c>
      <c r="CL207" s="169" t="str">
        <f t="shared" si="87"/>
        <v>Total</v>
      </c>
      <c r="CM207" s="169" t="str">
        <f>AN8</f>
        <v>Male</v>
      </c>
      <c r="CN207" s="169" t="str">
        <f t="shared" ref="CN207:CP208" si="88">AO8</f>
        <v>Female</v>
      </c>
      <c r="CO207" s="169" t="str">
        <f t="shared" si="88"/>
        <v>Transgender</v>
      </c>
      <c r="CP207" s="169" t="str">
        <f t="shared" si="88"/>
        <v>Total</v>
      </c>
      <c r="CQ207" s="169" t="str">
        <f>AR8</f>
        <v>Male</v>
      </c>
      <c r="CR207" s="169" t="str">
        <f t="shared" ref="CR207:CT208" si="89">AS8</f>
        <v>Female</v>
      </c>
      <c r="CS207" s="169" t="str">
        <f t="shared" si="89"/>
        <v>Transgender</v>
      </c>
      <c r="CT207" s="169" t="str">
        <f t="shared" si="89"/>
        <v>Total</v>
      </c>
      <c r="CU207" s="541" t="str">
        <f>AV8</f>
        <v>Male</v>
      </c>
      <c r="CV207" s="541" t="str">
        <f t="shared" ref="CV207:CX207" si="90">AW8</f>
        <v>Female</v>
      </c>
      <c r="CW207" s="541" t="str">
        <f t="shared" si="90"/>
        <v>Transgender</v>
      </c>
      <c r="CX207" s="541" t="str">
        <f t="shared" si="90"/>
        <v>Total</v>
      </c>
    </row>
    <row r="208" spans="53:102" x14ac:dyDescent="0.25">
      <c r="BA208" s="169" t="str">
        <f>B9</f>
        <v>(1)</v>
      </c>
      <c r="BB208" s="169" t="str">
        <f>C9</f>
        <v>(2)</v>
      </c>
      <c r="BC208" s="169" t="str">
        <f>D9</f>
        <v>(3)</v>
      </c>
      <c r="BD208" s="169" t="str">
        <f t="shared" si="79"/>
        <v>(4)</v>
      </c>
      <c r="BE208" s="169" t="str">
        <f t="shared" si="79"/>
        <v>(5)</v>
      </c>
      <c r="BF208" s="169" t="str">
        <f t="shared" si="79"/>
        <v>(6)</v>
      </c>
      <c r="BG208" s="169" t="str">
        <f>H9</f>
        <v>(7)</v>
      </c>
      <c r="BH208" s="169" t="str">
        <f t="shared" si="80"/>
        <v>(8)</v>
      </c>
      <c r="BI208" s="169" t="str">
        <f t="shared" si="80"/>
        <v>(9)</v>
      </c>
      <c r="BJ208" s="169" t="str">
        <f t="shared" si="80"/>
        <v>(10)</v>
      </c>
      <c r="BK208" s="169" t="str">
        <f>L9</f>
        <v>(11)</v>
      </c>
      <c r="BL208" s="169" t="str">
        <f t="shared" si="81"/>
        <v>(12)</v>
      </c>
      <c r="BM208" s="169" t="str">
        <f t="shared" si="81"/>
        <v>(13)</v>
      </c>
      <c r="BN208" s="169" t="str">
        <f t="shared" si="81"/>
        <v>(14)</v>
      </c>
      <c r="BO208" s="169" t="str">
        <f>P9</f>
        <v>(15)</v>
      </c>
      <c r="BP208" s="169" t="str">
        <f t="shared" si="82"/>
        <v>(16)</v>
      </c>
      <c r="BQ208" s="169" t="str">
        <f t="shared" si="82"/>
        <v>(17)</v>
      </c>
      <c r="BR208" s="169" t="str">
        <f t="shared" si="82"/>
        <v>(18)</v>
      </c>
      <c r="BS208" s="169" t="str">
        <f>T9</f>
        <v>(19)</v>
      </c>
      <c r="BT208" s="169" t="str">
        <f t="shared" si="83"/>
        <v>(20)</v>
      </c>
      <c r="BU208" s="169" t="str">
        <f t="shared" si="83"/>
        <v>(21)</v>
      </c>
      <c r="BV208" s="169" t="str">
        <f t="shared" si="83"/>
        <v>(22)</v>
      </c>
      <c r="BW208" s="169" t="str">
        <f>X9</f>
        <v>(23)</v>
      </c>
      <c r="BX208" s="169" t="str">
        <f t="shared" si="84"/>
        <v>(24)</v>
      </c>
      <c r="BY208" s="169" t="str">
        <f t="shared" si="84"/>
        <v>(25)</v>
      </c>
      <c r="BZ208" s="169" t="str">
        <f t="shared" si="84"/>
        <v>(26)</v>
      </c>
      <c r="CA208" s="169" t="str">
        <f>AB9</f>
        <v>(27)</v>
      </c>
      <c r="CB208" s="169" t="str">
        <f t="shared" si="85"/>
        <v>(28)</v>
      </c>
      <c r="CC208" s="169" t="str">
        <f t="shared" si="85"/>
        <v>(29)</v>
      </c>
      <c r="CD208" s="169" t="str">
        <f t="shared" si="85"/>
        <v>(30)</v>
      </c>
      <c r="CE208" s="169" t="str">
        <f>AF9</f>
        <v>(31)</v>
      </c>
      <c r="CF208" s="169" t="str">
        <f t="shared" si="86"/>
        <v>(32)</v>
      </c>
      <c r="CG208" s="169" t="str">
        <f t="shared" si="86"/>
        <v>(33)</v>
      </c>
      <c r="CH208" s="169" t="str">
        <f t="shared" si="86"/>
        <v>(34)</v>
      </c>
      <c r="CI208" s="169" t="str">
        <f>AJ9</f>
        <v>(35)</v>
      </c>
      <c r="CJ208" s="169" t="str">
        <f t="shared" si="87"/>
        <v>(36)</v>
      </c>
      <c r="CK208" s="169" t="str">
        <f t="shared" si="87"/>
        <v>(37)</v>
      </c>
      <c r="CL208" s="169" t="str">
        <f t="shared" si="87"/>
        <v>(38)</v>
      </c>
      <c r="CM208" s="169" t="str">
        <f>AN9</f>
        <v>(39)</v>
      </c>
      <c r="CN208" s="169" t="str">
        <f t="shared" si="88"/>
        <v>(40)</v>
      </c>
      <c r="CO208" s="169" t="str">
        <f t="shared" si="88"/>
        <v>(41)</v>
      </c>
      <c r="CP208" s="169" t="str">
        <f t="shared" si="88"/>
        <v>(42)</v>
      </c>
      <c r="CQ208" s="169" t="str">
        <f>AR9</f>
        <v>(43)</v>
      </c>
      <c r="CR208" s="169" t="str">
        <f t="shared" si="89"/>
        <v>(44)</v>
      </c>
      <c r="CS208" s="169" t="str">
        <f t="shared" si="89"/>
        <v>(45)</v>
      </c>
      <c r="CT208" s="169" t="str">
        <f t="shared" si="89"/>
        <v>(46)</v>
      </c>
      <c r="CU208" s="541"/>
      <c r="CV208" s="541"/>
      <c r="CW208" s="541"/>
      <c r="CX208" s="541"/>
    </row>
    <row r="209" spans="53:102" x14ac:dyDescent="0.25">
      <c r="BA209" s="756" t="str">
        <f>A10</f>
        <v>Part-I: Social Status</v>
      </c>
      <c r="BB209" s="757"/>
      <c r="BC209" s="757"/>
      <c r="BD209" s="757"/>
      <c r="BE209" s="757"/>
      <c r="BF209" s="757"/>
      <c r="BG209" s="757"/>
      <c r="BH209" s="757"/>
      <c r="BI209" s="757"/>
      <c r="BJ209" s="757"/>
      <c r="BK209" s="757"/>
      <c r="BL209" s="757"/>
      <c r="BM209" s="757"/>
      <c r="BN209" s="757"/>
      <c r="BO209" s="757"/>
      <c r="BP209" s="757"/>
      <c r="BQ209" s="757"/>
      <c r="BR209" s="757"/>
      <c r="BS209" s="757"/>
      <c r="BT209" s="757"/>
      <c r="BU209" s="757"/>
      <c r="BV209" s="757"/>
      <c r="BW209" s="757"/>
      <c r="BX209" s="757"/>
      <c r="BY209" s="757"/>
      <c r="BZ209" s="757"/>
      <c r="CA209" s="757"/>
      <c r="CB209" s="757"/>
      <c r="CC209" s="757"/>
      <c r="CD209" s="757"/>
      <c r="CE209" s="757"/>
      <c r="CF209" s="757"/>
      <c r="CG209" s="757"/>
      <c r="CH209" s="757"/>
      <c r="CI209" s="757"/>
      <c r="CJ209" s="757"/>
      <c r="CK209" s="757"/>
      <c r="CL209" s="757"/>
      <c r="CM209" s="757"/>
      <c r="CN209" s="757"/>
      <c r="CO209" s="757"/>
      <c r="CP209" s="757"/>
      <c r="CQ209" s="757"/>
      <c r="CR209" s="757"/>
      <c r="CS209" s="757"/>
      <c r="CT209" s="758"/>
      <c r="CU209" s="541"/>
      <c r="CV209" s="541"/>
      <c r="CW209" s="541"/>
      <c r="CX209" s="541"/>
    </row>
    <row r="210" spans="53:102" x14ac:dyDescent="0.25">
      <c r="BA210" s="173">
        <f t="shared" ref="BA210:BJ219" si="91">B11</f>
        <v>1</v>
      </c>
      <c r="BB210" s="136" t="str">
        <f t="shared" si="91"/>
        <v>Un-Married</v>
      </c>
      <c r="BC210" s="136">
        <f t="shared" si="91"/>
        <v>64</v>
      </c>
      <c r="BD210" s="136">
        <f t="shared" si="91"/>
        <v>7</v>
      </c>
      <c r="BE210" s="136">
        <f t="shared" si="91"/>
        <v>0</v>
      </c>
      <c r="BF210" s="136">
        <f t="shared" si="91"/>
        <v>71</v>
      </c>
      <c r="BG210" s="136">
        <f t="shared" si="91"/>
        <v>4</v>
      </c>
      <c r="BH210" s="136">
        <f t="shared" si="91"/>
        <v>3</v>
      </c>
      <c r="BI210" s="136">
        <f t="shared" si="91"/>
        <v>0</v>
      </c>
      <c r="BJ210" s="136">
        <f t="shared" si="91"/>
        <v>7</v>
      </c>
      <c r="BK210" s="136">
        <f t="shared" ref="BK210:BT219" si="92">L11</f>
        <v>18</v>
      </c>
      <c r="BL210" s="136">
        <f t="shared" si="92"/>
        <v>5</v>
      </c>
      <c r="BM210" s="136">
        <f t="shared" si="92"/>
        <v>0</v>
      </c>
      <c r="BN210" s="136">
        <f t="shared" si="92"/>
        <v>23</v>
      </c>
      <c r="BO210" s="136">
        <f t="shared" si="92"/>
        <v>0</v>
      </c>
      <c r="BP210" s="136">
        <f t="shared" si="92"/>
        <v>0</v>
      </c>
      <c r="BQ210" s="136">
        <f t="shared" si="92"/>
        <v>0</v>
      </c>
      <c r="BR210" s="136">
        <f t="shared" si="92"/>
        <v>0</v>
      </c>
      <c r="BS210" s="136">
        <f t="shared" si="92"/>
        <v>0</v>
      </c>
      <c r="BT210" s="136">
        <f t="shared" si="92"/>
        <v>0</v>
      </c>
      <c r="BU210" s="136">
        <f t="shared" ref="BU210:CD219" si="93">V11</f>
        <v>0</v>
      </c>
      <c r="BV210" s="136">
        <f t="shared" si="93"/>
        <v>0</v>
      </c>
      <c r="BW210" s="136">
        <f t="shared" si="93"/>
        <v>86</v>
      </c>
      <c r="BX210" s="136">
        <f t="shared" si="93"/>
        <v>15</v>
      </c>
      <c r="BY210" s="136">
        <f t="shared" si="93"/>
        <v>0</v>
      </c>
      <c r="BZ210" s="136">
        <f t="shared" si="93"/>
        <v>101</v>
      </c>
      <c r="CA210" s="136">
        <f t="shared" si="93"/>
        <v>78</v>
      </c>
      <c r="CB210" s="136">
        <f t="shared" si="93"/>
        <v>14</v>
      </c>
      <c r="CC210" s="136">
        <f t="shared" si="93"/>
        <v>0</v>
      </c>
      <c r="CD210" s="136">
        <f t="shared" si="93"/>
        <v>92</v>
      </c>
      <c r="CE210" s="136">
        <f t="shared" ref="CE210:CN219" si="94">AF11</f>
        <v>3</v>
      </c>
      <c r="CF210" s="136">
        <f t="shared" si="94"/>
        <v>1</v>
      </c>
      <c r="CG210" s="136">
        <f t="shared" si="94"/>
        <v>0</v>
      </c>
      <c r="CH210" s="136">
        <f t="shared" si="94"/>
        <v>4</v>
      </c>
      <c r="CI210" s="136">
        <f t="shared" si="94"/>
        <v>1</v>
      </c>
      <c r="CJ210" s="136">
        <f t="shared" si="94"/>
        <v>0</v>
      </c>
      <c r="CK210" s="136">
        <f t="shared" si="94"/>
        <v>0</v>
      </c>
      <c r="CL210" s="136">
        <f t="shared" si="94"/>
        <v>1</v>
      </c>
      <c r="CM210" s="136">
        <f t="shared" si="94"/>
        <v>4</v>
      </c>
      <c r="CN210" s="136">
        <f t="shared" si="94"/>
        <v>0</v>
      </c>
      <c r="CO210" s="136">
        <f t="shared" ref="CO210:CT219" si="95">AP11</f>
        <v>0</v>
      </c>
      <c r="CP210" s="136">
        <f t="shared" si="95"/>
        <v>4</v>
      </c>
      <c r="CQ210" s="136">
        <f t="shared" si="95"/>
        <v>86</v>
      </c>
      <c r="CR210" s="136">
        <f t="shared" si="95"/>
        <v>15</v>
      </c>
      <c r="CS210" s="136">
        <f t="shared" si="95"/>
        <v>0</v>
      </c>
      <c r="CT210" s="136">
        <f t="shared" si="95"/>
        <v>101</v>
      </c>
      <c r="CU210" s="543" t="str">
        <f t="shared" ref="CU210:CU217" si="96">AV11</f>
        <v/>
      </c>
      <c r="CV210" s="543" t="str">
        <f t="shared" ref="CV210:CV217" si="97">AW11</f>
        <v/>
      </c>
      <c r="CW210" s="543" t="str">
        <f t="shared" ref="CW210:CW217" si="98">AX11</f>
        <v/>
      </c>
      <c r="CX210" s="543" t="str">
        <f t="shared" ref="CX210:CX217" si="99">AY11</f>
        <v/>
      </c>
    </row>
    <row r="211" spans="53:102" x14ac:dyDescent="0.25">
      <c r="BA211" s="173">
        <f t="shared" si="91"/>
        <v>2</v>
      </c>
      <c r="BB211" s="136" t="str">
        <f t="shared" si="91"/>
        <v>Married</v>
      </c>
      <c r="BC211" s="136">
        <f t="shared" si="91"/>
        <v>116</v>
      </c>
      <c r="BD211" s="136">
        <f t="shared" si="91"/>
        <v>39</v>
      </c>
      <c r="BE211" s="136">
        <f t="shared" si="91"/>
        <v>0</v>
      </c>
      <c r="BF211" s="136">
        <f t="shared" si="91"/>
        <v>155</v>
      </c>
      <c r="BG211" s="136">
        <f t="shared" si="91"/>
        <v>13</v>
      </c>
      <c r="BH211" s="136">
        <f t="shared" si="91"/>
        <v>3</v>
      </c>
      <c r="BI211" s="136">
        <f t="shared" si="91"/>
        <v>0</v>
      </c>
      <c r="BJ211" s="136">
        <f t="shared" si="91"/>
        <v>16</v>
      </c>
      <c r="BK211" s="136">
        <f t="shared" si="92"/>
        <v>27</v>
      </c>
      <c r="BL211" s="136">
        <f t="shared" si="92"/>
        <v>10</v>
      </c>
      <c r="BM211" s="136">
        <f t="shared" si="92"/>
        <v>0</v>
      </c>
      <c r="BN211" s="136">
        <f t="shared" si="92"/>
        <v>37</v>
      </c>
      <c r="BO211" s="136">
        <f t="shared" si="92"/>
        <v>0</v>
      </c>
      <c r="BP211" s="136">
        <f t="shared" si="92"/>
        <v>0</v>
      </c>
      <c r="BQ211" s="136">
        <f t="shared" si="92"/>
        <v>0</v>
      </c>
      <c r="BR211" s="136">
        <f t="shared" si="92"/>
        <v>0</v>
      </c>
      <c r="BS211" s="136">
        <f t="shared" si="92"/>
        <v>0</v>
      </c>
      <c r="BT211" s="136">
        <f t="shared" si="92"/>
        <v>0</v>
      </c>
      <c r="BU211" s="136">
        <f t="shared" si="93"/>
        <v>0</v>
      </c>
      <c r="BV211" s="136">
        <f t="shared" si="93"/>
        <v>0</v>
      </c>
      <c r="BW211" s="136">
        <f t="shared" si="93"/>
        <v>156</v>
      </c>
      <c r="BX211" s="136">
        <f t="shared" si="93"/>
        <v>52</v>
      </c>
      <c r="BY211" s="136">
        <f t="shared" si="93"/>
        <v>0</v>
      </c>
      <c r="BZ211" s="136">
        <f t="shared" si="93"/>
        <v>208</v>
      </c>
      <c r="CA211" s="136">
        <f t="shared" si="93"/>
        <v>137</v>
      </c>
      <c r="CB211" s="136">
        <f t="shared" si="93"/>
        <v>46</v>
      </c>
      <c r="CC211" s="136">
        <f t="shared" si="93"/>
        <v>0</v>
      </c>
      <c r="CD211" s="136">
        <f t="shared" si="93"/>
        <v>183</v>
      </c>
      <c r="CE211" s="136">
        <f t="shared" si="94"/>
        <v>14</v>
      </c>
      <c r="CF211" s="136">
        <f t="shared" si="94"/>
        <v>4</v>
      </c>
      <c r="CG211" s="136">
        <f t="shared" si="94"/>
        <v>0</v>
      </c>
      <c r="CH211" s="136">
        <f t="shared" si="94"/>
        <v>18</v>
      </c>
      <c r="CI211" s="136">
        <f t="shared" si="94"/>
        <v>0</v>
      </c>
      <c r="CJ211" s="136">
        <f t="shared" si="94"/>
        <v>1</v>
      </c>
      <c r="CK211" s="136">
        <f t="shared" si="94"/>
        <v>0</v>
      </c>
      <c r="CL211" s="136">
        <f t="shared" si="94"/>
        <v>1</v>
      </c>
      <c r="CM211" s="136">
        <f t="shared" si="94"/>
        <v>5</v>
      </c>
      <c r="CN211" s="136">
        <f t="shared" si="94"/>
        <v>1</v>
      </c>
      <c r="CO211" s="136">
        <f t="shared" si="95"/>
        <v>0</v>
      </c>
      <c r="CP211" s="136">
        <f t="shared" si="95"/>
        <v>6</v>
      </c>
      <c r="CQ211" s="136">
        <f t="shared" si="95"/>
        <v>156</v>
      </c>
      <c r="CR211" s="136">
        <f t="shared" si="95"/>
        <v>52</v>
      </c>
      <c r="CS211" s="136">
        <f t="shared" si="95"/>
        <v>0</v>
      </c>
      <c r="CT211" s="136">
        <f t="shared" si="95"/>
        <v>208</v>
      </c>
      <c r="CU211" s="543" t="str">
        <f t="shared" si="96"/>
        <v/>
      </c>
      <c r="CV211" s="543" t="str">
        <f t="shared" si="97"/>
        <v/>
      </c>
      <c r="CW211" s="543" t="str">
        <f t="shared" si="98"/>
        <v/>
      </c>
      <c r="CX211" s="543" t="str">
        <f t="shared" si="99"/>
        <v/>
      </c>
    </row>
    <row r="212" spans="53:102" x14ac:dyDescent="0.25">
      <c r="BA212" s="173">
        <f t="shared" si="91"/>
        <v>3</v>
      </c>
      <c r="BB212" s="136" t="str">
        <f t="shared" si="91"/>
        <v>Widowed/Widower</v>
      </c>
      <c r="BC212" s="136">
        <f t="shared" si="91"/>
        <v>2</v>
      </c>
      <c r="BD212" s="136">
        <f t="shared" si="91"/>
        <v>4</v>
      </c>
      <c r="BE212" s="136">
        <f t="shared" si="91"/>
        <v>0</v>
      </c>
      <c r="BF212" s="136">
        <f t="shared" si="91"/>
        <v>6</v>
      </c>
      <c r="BG212" s="136">
        <f t="shared" si="91"/>
        <v>0</v>
      </c>
      <c r="BH212" s="136">
        <f t="shared" si="91"/>
        <v>0</v>
      </c>
      <c r="BI212" s="136">
        <f t="shared" si="91"/>
        <v>0</v>
      </c>
      <c r="BJ212" s="136">
        <f t="shared" si="91"/>
        <v>0</v>
      </c>
      <c r="BK212" s="136">
        <f t="shared" si="92"/>
        <v>0</v>
      </c>
      <c r="BL212" s="136">
        <f t="shared" si="92"/>
        <v>1</v>
      </c>
      <c r="BM212" s="136">
        <f t="shared" si="92"/>
        <v>0</v>
      </c>
      <c r="BN212" s="136">
        <f t="shared" si="92"/>
        <v>1</v>
      </c>
      <c r="BO212" s="136">
        <f t="shared" si="92"/>
        <v>0</v>
      </c>
      <c r="BP212" s="136">
        <f t="shared" si="92"/>
        <v>0</v>
      </c>
      <c r="BQ212" s="136">
        <f t="shared" si="92"/>
        <v>0</v>
      </c>
      <c r="BR212" s="136">
        <f t="shared" si="92"/>
        <v>0</v>
      </c>
      <c r="BS212" s="136">
        <f t="shared" si="92"/>
        <v>0</v>
      </c>
      <c r="BT212" s="136">
        <f t="shared" si="92"/>
        <v>0</v>
      </c>
      <c r="BU212" s="136">
        <f t="shared" si="93"/>
        <v>0</v>
      </c>
      <c r="BV212" s="136">
        <f t="shared" si="93"/>
        <v>0</v>
      </c>
      <c r="BW212" s="136">
        <f t="shared" si="93"/>
        <v>2</v>
      </c>
      <c r="BX212" s="136">
        <f t="shared" si="93"/>
        <v>5</v>
      </c>
      <c r="BY212" s="136">
        <f t="shared" si="93"/>
        <v>0</v>
      </c>
      <c r="BZ212" s="136">
        <f t="shared" si="93"/>
        <v>7</v>
      </c>
      <c r="CA212" s="136">
        <f t="shared" si="93"/>
        <v>2</v>
      </c>
      <c r="CB212" s="136">
        <f t="shared" si="93"/>
        <v>5</v>
      </c>
      <c r="CC212" s="136">
        <f t="shared" si="93"/>
        <v>0</v>
      </c>
      <c r="CD212" s="136">
        <f t="shared" si="93"/>
        <v>7</v>
      </c>
      <c r="CE212" s="136">
        <f t="shared" si="94"/>
        <v>0</v>
      </c>
      <c r="CF212" s="136">
        <f t="shared" si="94"/>
        <v>0</v>
      </c>
      <c r="CG212" s="136">
        <f t="shared" si="94"/>
        <v>0</v>
      </c>
      <c r="CH212" s="136">
        <f t="shared" si="94"/>
        <v>0</v>
      </c>
      <c r="CI212" s="136">
        <f t="shared" si="94"/>
        <v>0</v>
      </c>
      <c r="CJ212" s="136">
        <f t="shared" si="94"/>
        <v>0</v>
      </c>
      <c r="CK212" s="136">
        <f t="shared" si="94"/>
        <v>0</v>
      </c>
      <c r="CL212" s="136">
        <f t="shared" si="94"/>
        <v>0</v>
      </c>
      <c r="CM212" s="136">
        <f t="shared" si="94"/>
        <v>0</v>
      </c>
      <c r="CN212" s="136">
        <f t="shared" si="94"/>
        <v>0</v>
      </c>
      <c r="CO212" s="136">
        <f t="shared" si="95"/>
        <v>0</v>
      </c>
      <c r="CP212" s="136">
        <f t="shared" si="95"/>
        <v>0</v>
      </c>
      <c r="CQ212" s="136">
        <f t="shared" si="95"/>
        <v>2</v>
      </c>
      <c r="CR212" s="136">
        <f t="shared" si="95"/>
        <v>5</v>
      </c>
      <c r="CS212" s="136">
        <f t="shared" si="95"/>
        <v>0</v>
      </c>
      <c r="CT212" s="136">
        <f t="shared" si="95"/>
        <v>7</v>
      </c>
      <c r="CU212" s="543" t="str">
        <f t="shared" si="96"/>
        <v/>
      </c>
      <c r="CV212" s="543" t="str">
        <f t="shared" si="97"/>
        <v/>
      </c>
      <c r="CW212" s="543" t="str">
        <f t="shared" si="98"/>
        <v/>
      </c>
      <c r="CX212" s="543" t="str">
        <f t="shared" si="99"/>
        <v/>
      </c>
    </row>
    <row r="213" spans="53:102" x14ac:dyDescent="0.25">
      <c r="BA213" s="173">
        <f t="shared" si="91"/>
        <v>4</v>
      </c>
      <c r="BB213" s="136" t="str">
        <f t="shared" si="91"/>
        <v>Divorcee</v>
      </c>
      <c r="BC213" s="136">
        <f t="shared" si="91"/>
        <v>0</v>
      </c>
      <c r="BD213" s="136">
        <f t="shared" si="91"/>
        <v>0</v>
      </c>
      <c r="BE213" s="136">
        <f t="shared" si="91"/>
        <v>0</v>
      </c>
      <c r="BF213" s="136">
        <f t="shared" si="91"/>
        <v>0</v>
      </c>
      <c r="BG213" s="136">
        <f t="shared" si="91"/>
        <v>0</v>
      </c>
      <c r="BH213" s="136">
        <f t="shared" si="91"/>
        <v>0</v>
      </c>
      <c r="BI213" s="136">
        <f t="shared" si="91"/>
        <v>0</v>
      </c>
      <c r="BJ213" s="136">
        <f t="shared" si="91"/>
        <v>0</v>
      </c>
      <c r="BK213" s="136">
        <f t="shared" si="92"/>
        <v>0</v>
      </c>
      <c r="BL213" s="136">
        <f t="shared" si="92"/>
        <v>0</v>
      </c>
      <c r="BM213" s="136">
        <f t="shared" si="92"/>
        <v>0</v>
      </c>
      <c r="BN213" s="136">
        <f t="shared" si="92"/>
        <v>0</v>
      </c>
      <c r="BO213" s="136">
        <f t="shared" si="92"/>
        <v>0</v>
      </c>
      <c r="BP213" s="136">
        <f t="shared" si="92"/>
        <v>0</v>
      </c>
      <c r="BQ213" s="136">
        <f t="shared" si="92"/>
        <v>0</v>
      </c>
      <c r="BR213" s="136">
        <f t="shared" si="92"/>
        <v>0</v>
      </c>
      <c r="BS213" s="136">
        <f t="shared" si="92"/>
        <v>0</v>
      </c>
      <c r="BT213" s="136">
        <f t="shared" si="92"/>
        <v>0</v>
      </c>
      <c r="BU213" s="136">
        <f t="shared" si="93"/>
        <v>0</v>
      </c>
      <c r="BV213" s="136">
        <f t="shared" si="93"/>
        <v>0</v>
      </c>
      <c r="BW213" s="136">
        <f t="shared" si="93"/>
        <v>0</v>
      </c>
      <c r="BX213" s="136">
        <f t="shared" si="93"/>
        <v>0</v>
      </c>
      <c r="BY213" s="136">
        <f t="shared" si="93"/>
        <v>0</v>
      </c>
      <c r="BZ213" s="136">
        <f t="shared" si="93"/>
        <v>0</v>
      </c>
      <c r="CA213" s="136">
        <f t="shared" si="93"/>
        <v>0</v>
      </c>
      <c r="CB213" s="136">
        <f t="shared" si="93"/>
        <v>0</v>
      </c>
      <c r="CC213" s="136">
        <f t="shared" si="93"/>
        <v>0</v>
      </c>
      <c r="CD213" s="136">
        <f t="shared" si="93"/>
        <v>0</v>
      </c>
      <c r="CE213" s="136">
        <f t="shared" si="94"/>
        <v>0</v>
      </c>
      <c r="CF213" s="136">
        <f t="shared" si="94"/>
        <v>0</v>
      </c>
      <c r="CG213" s="136">
        <f t="shared" si="94"/>
        <v>0</v>
      </c>
      <c r="CH213" s="136">
        <f t="shared" si="94"/>
        <v>0</v>
      </c>
      <c r="CI213" s="136">
        <f t="shared" si="94"/>
        <v>0</v>
      </c>
      <c r="CJ213" s="136">
        <f t="shared" si="94"/>
        <v>0</v>
      </c>
      <c r="CK213" s="136">
        <f t="shared" si="94"/>
        <v>0</v>
      </c>
      <c r="CL213" s="136">
        <f t="shared" si="94"/>
        <v>0</v>
      </c>
      <c r="CM213" s="136">
        <f t="shared" si="94"/>
        <v>0</v>
      </c>
      <c r="CN213" s="136">
        <f t="shared" si="94"/>
        <v>0</v>
      </c>
      <c r="CO213" s="136">
        <f t="shared" si="95"/>
        <v>0</v>
      </c>
      <c r="CP213" s="136">
        <f t="shared" si="95"/>
        <v>0</v>
      </c>
      <c r="CQ213" s="136">
        <f t="shared" si="95"/>
        <v>0</v>
      </c>
      <c r="CR213" s="136">
        <f t="shared" si="95"/>
        <v>0</v>
      </c>
      <c r="CS213" s="136">
        <f t="shared" si="95"/>
        <v>0</v>
      </c>
      <c r="CT213" s="136">
        <f t="shared" si="95"/>
        <v>0</v>
      </c>
      <c r="CU213" s="543" t="str">
        <f t="shared" si="96"/>
        <v/>
      </c>
      <c r="CV213" s="543" t="str">
        <f t="shared" si="97"/>
        <v/>
      </c>
      <c r="CW213" s="543" t="str">
        <f t="shared" si="98"/>
        <v/>
      </c>
      <c r="CX213" s="543" t="str">
        <f t="shared" si="99"/>
        <v/>
      </c>
    </row>
    <row r="214" spans="53:102" x14ac:dyDescent="0.25">
      <c r="BA214" s="173">
        <f t="shared" si="91"/>
        <v>5</v>
      </c>
      <c r="BB214" s="136" t="str">
        <f t="shared" si="91"/>
        <v>Separated</v>
      </c>
      <c r="BC214" s="136">
        <f t="shared" si="91"/>
        <v>0</v>
      </c>
      <c r="BD214" s="136">
        <f t="shared" si="91"/>
        <v>0</v>
      </c>
      <c r="BE214" s="136">
        <f t="shared" si="91"/>
        <v>0</v>
      </c>
      <c r="BF214" s="136">
        <f t="shared" si="91"/>
        <v>0</v>
      </c>
      <c r="BG214" s="136">
        <f t="shared" si="91"/>
        <v>0</v>
      </c>
      <c r="BH214" s="136">
        <f t="shared" si="91"/>
        <v>0</v>
      </c>
      <c r="BI214" s="136">
        <f t="shared" si="91"/>
        <v>0</v>
      </c>
      <c r="BJ214" s="136">
        <f t="shared" si="91"/>
        <v>0</v>
      </c>
      <c r="BK214" s="136">
        <f t="shared" si="92"/>
        <v>0</v>
      </c>
      <c r="BL214" s="136">
        <f t="shared" si="92"/>
        <v>0</v>
      </c>
      <c r="BM214" s="136">
        <f t="shared" si="92"/>
        <v>0</v>
      </c>
      <c r="BN214" s="136">
        <f t="shared" si="92"/>
        <v>0</v>
      </c>
      <c r="BO214" s="136">
        <f t="shared" si="92"/>
        <v>0</v>
      </c>
      <c r="BP214" s="136">
        <f t="shared" si="92"/>
        <v>0</v>
      </c>
      <c r="BQ214" s="136">
        <f t="shared" si="92"/>
        <v>0</v>
      </c>
      <c r="BR214" s="136">
        <f t="shared" si="92"/>
        <v>0</v>
      </c>
      <c r="BS214" s="136">
        <f t="shared" si="92"/>
        <v>0</v>
      </c>
      <c r="BT214" s="136">
        <f t="shared" si="92"/>
        <v>0</v>
      </c>
      <c r="BU214" s="136">
        <f t="shared" si="93"/>
        <v>0</v>
      </c>
      <c r="BV214" s="136">
        <f t="shared" si="93"/>
        <v>0</v>
      </c>
      <c r="BW214" s="136">
        <f t="shared" si="93"/>
        <v>0</v>
      </c>
      <c r="BX214" s="136">
        <f t="shared" si="93"/>
        <v>0</v>
      </c>
      <c r="BY214" s="136">
        <f t="shared" si="93"/>
        <v>0</v>
      </c>
      <c r="BZ214" s="136">
        <f t="shared" si="93"/>
        <v>0</v>
      </c>
      <c r="CA214" s="136">
        <f t="shared" si="93"/>
        <v>0</v>
      </c>
      <c r="CB214" s="136">
        <f t="shared" si="93"/>
        <v>0</v>
      </c>
      <c r="CC214" s="136">
        <f t="shared" si="93"/>
        <v>0</v>
      </c>
      <c r="CD214" s="136">
        <f t="shared" si="93"/>
        <v>0</v>
      </c>
      <c r="CE214" s="136">
        <f t="shared" si="94"/>
        <v>0</v>
      </c>
      <c r="CF214" s="136">
        <f t="shared" si="94"/>
        <v>0</v>
      </c>
      <c r="CG214" s="136">
        <f t="shared" si="94"/>
        <v>0</v>
      </c>
      <c r="CH214" s="136">
        <f t="shared" si="94"/>
        <v>0</v>
      </c>
      <c r="CI214" s="136">
        <f t="shared" si="94"/>
        <v>0</v>
      </c>
      <c r="CJ214" s="136">
        <f t="shared" si="94"/>
        <v>0</v>
      </c>
      <c r="CK214" s="136">
        <f t="shared" si="94"/>
        <v>0</v>
      </c>
      <c r="CL214" s="136">
        <f t="shared" si="94"/>
        <v>0</v>
      </c>
      <c r="CM214" s="136">
        <f t="shared" si="94"/>
        <v>0</v>
      </c>
      <c r="CN214" s="136">
        <f t="shared" si="94"/>
        <v>0</v>
      </c>
      <c r="CO214" s="136">
        <f t="shared" si="95"/>
        <v>0</v>
      </c>
      <c r="CP214" s="136">
        <f t="shared" si="95"/>
        <v>0</v>
      </c>
      <c r="CQ214" s="136">
        <f t="shared" si="95"/>
        <v>0</v>
      </c>
      <c r="CR214" s="136">
        <f t="shared" si="95"/>
        <v>0</v>
      </c>
      <c r="CS214" s="136">
        <f t="shared" si="95"/>
        <v>0</v>
      </c>
      <c r="CT214" s="136">
        <f t="shared" si="95"/>
        <v>0</v>
      </c>
      <c r="CU214" s="543" t="str">
        <f t="shared" si="96"/>
        <v/>
      </c>
      <c r="CV214" s="543" t="str">
        <f t="shared" si="97"/>
        <v/>
      </c>
      <c r="CW214" s="543" t="str">
        <f t="shared" si="98"/>
        <v/>
      </c>
      <c r="CX214" s="543" t="str">
        <f t="shared" si="99"/>
        <v/>
      </c>
    </row>
    <row r="215" spans="53:102" x14ac:dyDescent="0.25">
      <c r="BA215" s="173">
        <f t="shared" si="91"/>
        <v>6</v>
      </c>
      <c r="BB215" s="136" t="str">
        <f t="shared" si="91"/>
        <v>Others</v>
      </c>
      <c r="BC215" s="136">
        <f t="shared" si="91"/>
        <v>0</v>
      </c>
      <c r="BD215" s="136">
        <f t="shared" si="91"/>
        <v>0</v>
      </c>
      <c r="BE215" s="136">
        <f t="shared" si="91"/>
        <v>0</v>
      </c>
      <c r="BF215" s="136">
        <f t="shared" si="91"/>
        <v>0</v>
      </c>
      <c r="BG215" s="136">
        <f t="shared" si="91"/>
        <v>0</v>
      </c>
      <c r="BH215" s="136">
        <f t="shared" si="91"/>
        <v>0</v>
      </c>
      <c r="BI215" s="136">
        <f t="shared" si="91"/>
        <v>0</v>
      </c>
      <c r="BJ215" s="136">
        <f t="shared" si="91"/>
        <v>0</v>
      </c>
      <c r="BK215" s="136">
        <f t="shared" si="92"/>
        <v>0</v>
      </c>
      <c r="BL215" s="136">
        <f t="shared" si="92"/>
        <v>0</v>
      </c>
      <c r="BM215" s="136">
        <f t="shared" si="92"/>
        <v>0</v>
      </c>
      <c r="BN215" s="136">
        <f t="shared" si="92"/>
        <v>0</v>
      </c>
      <c r="BO215" s="136">
        <f t="shared" si="92"/>
        <v>0</v>
      </c>
      <c r="BP215" s="136">
        <f t="shared" si="92"/>
        <v>0</v>
      </c>
      <c r="BQ215" s="136">
        <f t="shared" si="92"/>
        <v>0</v>
      </c>
      <c r="BR215" s="136">
        <f t="shared" si="92"/>
        <v>0</v>
      </c>
      <c r="BS215" s="136">
        <f t="shared" si="92"/>
        <v>0</v>
      </c>
      <c r="BT215" s="136">
        <f t="shared" si="92"/>
        <v>0</v>
      </c>
      <c r="BU215" s="136">
        <f t="shared" si="93"/>
        <v>0</v>
      </c>
      <c r="BV215" s="136">
        <f t="shared" si="93"/>
        <v>0</v>
      </c>
      <c r="BW215" s="136">
        <f t="shared" si="93"/>
        <v>0</v>
      </c>
      <c r="BX215" s="136">
        <f t="shared" si="93"/>
        <v>0</v>
      </c>
      <c r="BY215" s="136">
        <f t="shared" si="93"/>
        <v>0</v>
      </c>
      <c r="BZ215" s="136">
        <f t="shared" si="93"/>
        <v>0</v>
      </c>
      <c r="CA215" s="136">
        <f t="shared" si="93"/>
        <v>0</v>
      </c>
      <c r="CB215" s="136">
        <f t="shared" si="93"/>
        <v>0</v>
      </c>
      <c r="CC215" s="136">
        <f t="shared" si="93"/>
        <v>0</v>
      </c>
      <c r="CD215" s="136">
        <f t="shared" si="93"/>
        <v>0</v>
      </c>
      <c r="CE215" s="136">
        <f t="shared" si="94"/>
        <v>0</v>
      </c>
      <c r="CF215" s="136">
        <f t="shared" si="94"/>
        <v>0</v>
      </c>
      <c r="CG215" s="136">
        <f t="shared" si="94"/>
        <v>0</v>
      </c>
      <c r="CH215" s="136">
        <f t="shared" si="94"/>
        <v>0</v>
      </c>
      <c r="CI215" s="136">
        <f t="shared" si="94"/>
        <v>0</v>
      </c>
      <c r="CJ215" s="136">
        <f t="shared" si="94"/>
        <v>0</v>
      </c>
      <c r="CK215" s="136">
        <f t="shared" si="94"/>
        <v>0</v>
      </c>
      <c r="CL215" s="136">
        <f t="shared" si="94"/>
        <v>0</v>
      </c>
      <c r="CM215" s="136">
        <f t="shared" si="94"/>
        <v>0</v>
      </c>
      <c r="CN215" s="136">
        <f t="shared" si="94"/>
        <v>0</v>
      </c>
      <c r="CO215" s="136">
        <f t="shared" si="95"/>
        <v>0</v>
      </c>
      <c r="CP215" s="136">
        <f t="shared" si="95"/>
        <v>0</v>
      </c>
      <c r="CQ215" s="136">
        <f t="shared" si="95"/>
        <v>0</v>
      </c>
      <c r="CR215" s="136">
        <f t="shared" si="95"/>
        <v>0</v>
      </c>
      <c r="CS215" s="136">
        <f t="shared" si="95"/>
        <v>0</v>
      </c>
      <c r="CT215" s="136">
        <f t="shared" si="95"/>
        <v>0</v>
      </c>
      <c r="CU215" s="543" t="str">
        <f t="shared" si="96"/>
        <v/>
      </c>
      <c r="CV215" s="543" t="str">
        <f t="shared" si="97"/>
        <v/>
      </c>
      <c r="CW215" s="543" t="str">
        <f t="shared" si="98"/>
        <v/>
      </c>
      <c r="CX215" s="543" t="str">
        <f t="shared" si="99"/>
        <v/>
      </c>
    </row>
    <row r="216" spans="53:102" x14ac:dyDescent="0.25">
      <c r="BA216" s="173">
        <f t="shared" si="91"/>
        <v>7</v>
      </c>
      <c r="BB216" s="136" t="str">
        <f t="shared" si="91"/>
        <v>Status not known</v>
      </c>
      <c r="BC216" s="136">
        <f t="shared" si="91"/>
        <v>0</v>
      </c>
      <c r="BD216" s="136">
        <f t="shared" si="91"/>
        <v>0</v>
      </c>
      <c r="BE216" s="136">
        <f t="shared" si="91"/>
        <v>0</v>
      </c>
      <c r="BF216" s="136">
        <f t="shared" si="91"/>
        <v>0</v>
      </c>
      <c r="BG216" s="136">
        <f t="shared" si="91"/>
        <v>0</v>
      </c>
      <c r="BH216" s="136">
        <f t="shared" si="91"/>
        <v>0</v>
      </c>
      <c r="BI216" s="136">
        <f t="shared" si="91"/>
        <v>0</v>
      </c>
      <c r="BJ216" s="136">
        <f t="shared" si="91"/>
        <v>0</v>
      </c>
      <c r="BK216" s="136">
        <f t="shared" si="92"/>
        <v>0</v>
      </c>
      <c r="BL216" s="136">
        <f t="shared" si="92"/>
        <v>0</v>
      </c>
      <c r="BM216" s="136">
        <f t="shared" si="92"/>
        <v>0</v>
      </c>
      <c r="BN216" s="136">
        <f t="shared" si="92"/>
        <v>0</v>
      </c>
      <c r="BO216" s="136">
        <f t="shared" si="92"/>
        <v>0</v>
      </c>
      <c r="BP216" s="136">
        <f t="shared" si="92"/>
        <v>0</v>
      </c>
      <c r="BQ216" s="136">
        <f t="shared" si="92"/>
        <v>0</v>
      </c>
      <c r="BR216" s="136">
        <f t="shared" si="92"/>
        <v>0</v>
      </c>
      <c r="BS216" s="136">
        <f t="shared" si="92"/>
        <v>5</v>
      </c>
      <c r="BT216" s="136">
        <f t="shared" si="92"/>
        <v>0</v>
      </c>
      <c r="BU216" s="136">
        <f t="shared" si="93"/>
        <v>0</v>
      </c>
      <c r="BV216" s="136">
        <f t="shared" si="93"/>
        <v>5</v>
      </c>
      <c r="BW216" s="136">
        <f t="shared" si="93"/>
        <v>5</v>
      </c>
      <c r="BX216" s="136">
        <f t="shared" si="93"/>
        <v>0</v>
      </c>
      <c r="BY216" s="136">
        <f t="shared" si="93"/>
        <v>0</v>
      </c>
      <c r="BZ216" s="136">
        <f t="shared" si="93"/>
        <v>5</v>
      </c>
      <c r="CA216" s="136">
        <f t="shared" si="93"/>
        <v>5</v>
      </c>
      <c r="CB216" s="136">
        <f t="shared" si="93"/>
        <v>0</v>
      </c>
      <c r="CC216" s="136">
        <f t="shared" si="93"/>
        <v>0</v>
      </c>
      <c r="CD216" s="136">
        <f t="shared" si="93"/>
        <v>5</v>
      </c>
      <c r="CE216" s="136">
        <f t="shared" si="94"/>
        <v>0</v>
      </c>
      <c r="CF216" s="136">
        <f t="shared" si="94"/>
        <v>0</v>
      </c>
      <c r="CG216" s="136">
        <f t="shared" si="94"/>
        <v>0</v>
      </c>
      <c r="CH216" s="136">
        <f t="shared" si="94"/>
        <v>0</v>
      </c>
      <c r="CI216" s="136">
        <f t="shared" si="94"/>
        <v>0</v>
      </c>
      <c r="CJ216" s="136">
        <f t="shared" si="94"/>
        <v>0</v>
      </c>
      <c r="CK216" s="136">
        <f t="shared" si="94"/>
        <v>0</v>
      </c>
      <c r="CL216" s="136">
        <f t="shared" si="94"/>
        <v>0</v>
      </c>
      <c r="CM216" s="136">
        <f t="shared" si="94"/>
        <v>0</v>
      </c>
      <c r="CN216" s="136">
        <f t="shared" si="94"/>
        <v>0</v>
      </c>
      <c r="CO216" s="136">
        <f t="shared" si="95"/>
        <v>0</v>
      </c>
      <c r="CP216" s="136">
        <f t="shared" si="95"/>
        <v>0</v>
      </c>
      <c r="CQ216" s="136">
        <f t="shared" si="95"/>
        <v>5</v>
      </c>
      <c r="CR216" s="136">
        <f t="shared" si="95"/>
        <v>0</v>
      </c>
      <c r="CS216" s="136">
        <f t="shared" si="95"/>
        <v>0</v>
      </c>
      <c r="CT216" s="136">
        <f t="shared" si="95"/>
        <v>5</v>
      </c>
      <c r="CU216" s="543" t="str">
        <f t="shared" si="96"/>
        <v/>
      </c>
      <c r="CV216" s="543" t="str">
        <f t="shared" si="97"/>
        <v/>
      </c>
      <c r="CW216" s="543" t="str">
        <f t="shared" si="98"/>
        <v/>
      </c>
      <c r="CX216" s="543" t="str">
        <f t="shared" si="99"/>
        <v/>
      </c>
    </row>
    <row r="217" spans="53:102" x14ac:dyDescent="0.25">
      <c r="BA217" s="173">
        <f t="shared" si="91"/>
        <v>8</v>
      </c>
      <c r="BB217" s="136" t="str">
        <f t="shared" si="91"/>
        <v>Total (sum of sl. 1 to 7)</v>
      </c>
      <c r="BC217" s="136">
        <f t="shared" si="91"/>
        <v>182</v>
      </c>
      <c r="BD217" s="136">
        <f t="shared" si="91"/>
        <v>50</v>
      </c>
      <c r="BE217" s="136">
        <f t="shared" si="91"/>
        <v>0</v>
      </c>
      <c r="BF217" s="136">
        <f t="shared" si="91"/>
        <v>232</v>
      </c>
      <c r="BG217" s="136">
        <f t="shared" si="91"/>
        <v>17</v>
      </c>
      <c r="BH217" s="136">
        <f t="shared" si="91"/>
        <v>6</v>
      </c>
      <c r="BI217" s="136">
        <f t="shared" si="91"/>
        <v>0</v>
      </c>
      <c r="BJ217" s="136">
        <f t="shared" si="91"/>
        <v>23</v>
      </c>
      <c r="BK217" s="136">
        <f t="shared" si="92"/>
        <v>45</v>
      </c>
      <c r="BL217" s="136">
        <f t="shared" si="92"/>
        <v>16</v>
      </c>
      <c r="BM217" s="136">
        <f t="shared" si="92"/>
        <v>0</v>
      </c>
      <c r="BN217" s="136">
        <f t="shared" si="92"/>
        <v>61</v>
      </c>
      <c r="BO217" s="136">
        <f t="shared" si="92"/>
        <v>0</v>
      </c>
      <c r="BP217" s="136">
        <f t="shared" si="92"/>
        <v>0</v>
      </c>
      <c r="BQ217" s="136">
        <f t="shared" si="92"/>
        <v>0</v>
      </c>
      <c r="BR217" s="136">
        <f t="shared" si="92"/>
        <v>0</v>
      </c>
      <c r="BS217" s="136">
        <f t="shared" si="92"/>
        <v>5</v>
      </c>
      <c r="BT217" s="136">
        <f t="shared" si="92"/>
        <v>0</v>
      </c>
      <c r="BU217" s="136">
        <f t="shared" si="93"/>
        <v>0</v>
      </c>
      <c r="BV217" s="136">
        <f t="shared" si="93"/>
        <v>5</v>
      </c>
      <c r="BW217" s="136">
        <f t="shared" si="93"/>
        <v>249</v>
      </c>
      <c r="BX217" s="136">
        <f t="shared" si="93"/>
        <v>72</v>
      </c>
      <c r="BY217" s="136">
        <f t="shared" si="93"/>
        <v>0</v>
      </c>
      <c r="BZ217" s="136">
        <f t="shared" si="93"/>
        <v>321</v>
      </c>
      <c r="CA217" s="136">
        <f t="shared" si="93"/>
        <v>222</v>
      </c>
      <c r="CB217" s="136">
        <f t="shared" si="93"/>
        <v>65</v>
      </c>
      <c r="CC217" s="136">
        <f t="shared" si="93"/>
        <v>0</v>
      </c>
      <c r="CD217" s="136">
        <f t="shared" si="93"/>
        <v>287</v>
      </c>
      <c r="CE217" s="136">
        <f t="shared" si="94"/>
        <v>17</v>
      </c>
      <c r="CF217" s="136">
        <f t="shared" si="94"/>
        <v>5</v>
      </c>
      <c r="CG217" s="136">
        <f t="shared" si="94"/>
        <v>0</v>
      </c>
      <c r="CH217" s="136">
        <f t="shared" si="94"/>
        <v>22</v>
      </c>
      <c r="CI217" s="136">
        <f t="shared" si="94"/>
        <v>1</v>
      </c>
      <c r="CJ217" s="136">
        <f t="shared" si="94"/>
        <v>1</v>
      </c>
      <c r="CK217" s="136">
        <f t="shared" si="94"/>
        <v>0</v>
      </c>
      <c r="CL217" s="136">
        <f t="shared" si="94"/>
        <v>2</v>
      </c>
      <c r="CM217" s="136">
        <f t="shared" si="94"/>
        <v>9</v>
      </c>
      <c r="CN217" s="136">
        <f t="shared" si="94"/>
        <v>1</v>
      </c>
      <c r="CO217" s="136">
        <f t="shared" si="95"/>
        <v>0</v>
      </c>
      <c r="CP217" s="136">
        <f t="shared" si="95"/>
        <v>10</v>
      </c>
      <c r="CQ217" s="136">
        <f t="shared" si="95"/>
        <v>249</v>
      </c>
      <c r="CR217" s="136">
        <f t="shared" si="95"/>
        <v>72</v>
      </c>
      <c r="CS217" s="136">
        <f t="shared" si="95"/>
        <v>0</v>
      </c>
      <c r="CT217" s="136">
        <f t="shared" si="95"/>
        <v>321</v>
      </c>
      <c r="CU217" s="543" t="str">
        <f t="shared" si="96"/>
        <v/>
      </c>
      <c r="CV217" s="543" t="str">
        <f t="shared" si="97"/>
        <v/>
      </c>
      <c r="CW217" s="543" t="str">
        <f t="shared" si="98"/>
        <v/>
      </c>
      <c r="CX217" s="543" t="str">
        <f t="shared" si="99"/>
        <v/>
      </c>
    </row>
    <row r="218" spans="53:102" ht="35.1" customHeight="1" x14ac:dyDescent="0.25">
      <c r="BA218" s="618" t="str">
        <f>A19</f>
        <v>SL-6 ABNORMAL VARIATION IN "OTHERS" DATA</v>
      </c>
      <c r="BB218" s="618"/>
      <c r="BC218" s="310" t="str">
        <f>D19</f>
        <v/>
      </c>
      <c r="BD218" s="310" t="str">
        <f t="shared" si="91"/>
        <v/>
      </c>
      <c r="BE218" s="310" t="str">
        <f t="shared" si="91"/>
        <v/>
      </c>
      <c r="BF218" s="310" t="str">
        <f t="shared" si="91"/>
        <v/>
      </c>
      <c r="BG218" s="310" t="str">
        <f t="shared" si="91"/>
        <v/>
      </c>
      <c r="BH218" s="310" t="str">
        <f t="shared" si="91"/>
        <v/>
      </c>
      <c r="BI218" s="310" t="str">
        <f t="shared" si="91"/>
        <v/>
      </c>
      <c r="BJ218" s="310" t="str">
        <f t="shared" si="91"/>
        <v/>
      </c>
      <c r="BK218" s="310" t="str">
        <f t="shared" si="92"/>
        <v/>
      </c>
      <c r="BL218" s="310" t="str">
        <f t="shared" si="92"/>
        <v/>
      </c>
      <c r="BM218" s="310" t="str">
        <f t="shared" si="92"/>
        <v/>
      </c>
      <c r="BN218" s="310" t="str">
        <f t="shared" si="92"/>
        <v/>
      </c>
      <c r="BO218" s="310" t="str">
        <f t="shared" si="92"/>
        <v/>
      </c>
      <c r="BP218" s="310" t="str">
        <f t="shared" si="92"/>
        <v/>
      </c>
      <c r="BQ218" s="310" t="str">
        <f t="shared" si="92"/>
        <v/>
      </c>
      <c r="BR218" s="310" t="str">
        <f t="shared" si="92"/>
        <v/>
      </c>
      <c r="BS218" s="310" t="str">
        <f t="shared" si="92"/>
        <v/>
      </c>
      <c r="BT218" s="310" t="str">
        <f t="shared" si="92"/>
        <v/>
      </c>
      <c r="BU218" s="310" t="str">
        <f t="shared" si="93"/>
        <v/>
      </c>
      <c r="BV218" s="310" t="str">
        <f t="shared" si="93"/>
        <v/>
      </c>
      <c r="BW218" s="486" t="str">
        <f t="shared" si="93"/>
        <v/>
      </c>
      <c r="BX218" s="486" t="str">
        <f t="shared" si="93"/>
        <v/>
      </c>
      <c r="BY218" s="486" t="str">
        <f t="shared" si="93"/>
        <v/>
      </c>
      <c r="BZ218" s="486" t="str">
        <f t="shared" si="93"/>
        <v/>
      </c>
      <c r="CA218" s="486" t="str">
        <f t="shared" si="93"/>
        <v/>
      </c>
      <c r="CB218" s="486" t="str">
        <f t="shared" si="93"/>
        <v/>
      </c>
      <c r="CC218" s="486" t="str">
        <f t="shared" si="93"/>
        <v/>
      </c>
      <c r="CD218" s="486" t="str">
        <f t="shared" si="93"/>
        <v/>
      </c>
      <c r="CE218" s="486" t="str">
        <f t="shared" si="94"/>
        <v/>
      </c>
      <c r="CF218" s="486" t="str">
        <f t="shared" si="94"/>
        <v/>
      </c>
      <c r="CG218" s="486" t="str">
        <f t="shared" si="94"/>
        <v/>
      </c>
      <c r="CH218" s="310" t="str">
        <f t="shared" si="94"/>
        <v/>
      </c>
      <c r="CI218" s="310" t="str">
        <f t="shared" si="94"/>
        <v/>
      </c>
      <c r="CJ218" s="486" t="str">
        <f t="shared" si="94"/>
        <v/>
      </c>
      <c r="CK218" s="486" t="str">
        <f t="shared" si="94"/>
        <v/>
      </c>
      <c r="CL218" s="486" t="str">
        <f t="shared" si="94"/>
        <v/>
      </c>
      <c r="CM218" s="486" t="str">
        <f t="shared" si="94"/>
        <v/>
      </c>
      <c r="CN218" s="486" t="str">
        <f t="shared" si="94"/>
        <v/>
      </c>
      <c r="CO218" s="486" t="str">
        <f t="shared" si="95"/>
        <v/>
      </c>
      <c r="CP218" s="486" t="str">
        <f t="shared" si="95"/>
        <v/>
      </c>
      <c r="CQ218" s="486" t="str">
        <f t="shared" si="95"/>
        <v/>
      </c>
      <c r="CR218" s="486" t="str">
        <f t="shared" si="95"/>
        <v/>
      </c>
      <c r="CS218" s="486" t="str">
        <f t="shared" si="95"/>
        <v/>
      </c>
      <c r="CT218" s="310" t="str">
        <f t="shared" si="95"/>
        <v/>
      </c>
      <c r="CU218" s="541"/>
      <c r="CV218" s="541"/>
      <c r="CW218" s="541"/>
      <c r="CX218" s="541"/>
    </row>
    <row r="219" spans="53:102" ht="35.1" customHeight="1" x14ac:dyDescent="0.25">
      <c r="BA219" s="618" t="str">
        <f>A20</f>
        <v>SL-7 ABNORMAL VARIATION IN "STATUS NOT KNOWN" DATA</v>
      </c>
      <c r="BB219" s="618"/>
      <c r="BC219" s="310" t="str">
        <f>D20</f>
        <v/>
      </c>
      <c r="BD219" s="310" t="str">
        <f t="shared" si="91"/>
        <v/>
      </c>
      <c r="BE219" s="310" t="str">
        <f t="shared" si="91"/>
        <v/>
      </c>
      <c r="BF219" s="310" t="str">
        <f t="shared" si="91"/>
        <v/>
      </c>
      <c r="BG219" s="310" t="str">
        <f t="shared" si="91"/>
        <v/>
      </c>
      <c r="BH219" s="310" t="str">
        <f t="shared" si="91"/>
        <v/>
      </c>
      <c r="BI219" s="310" t="str">
        <f t="shared" si="91"/>
        <v/>
      </c>
      <c r="BJ219" s="310" t="str">
        <f t="shared" si="91"/>
        <v/>
      </c>
      <c r="BK219" s="310" t="str">
        <f t="shared" si="92"/>
        <v/>
      </c>
      <c r="BL219" s="310" t="str">
        <f t="shared" si="92"/>
        <v/>
      </c>
      <c r="BM219" s="310" t="str">
        <f t="shared" si="92"/>
        <v/>
      </c>
      <c r="BN219" s="310" t="str">
        <f t="shared" si="92"/>
        <v/>
      </c>
      <c r="BO219" s="310" t="str">
        <f t="shared" si="92"/>
        <v/>
      </c>
      <c r="BP219" s="310" t="str">
        <f t="shared" si="92"/>
        <v/>
      </c>
      <c r="BQ219" s="310" t="str">
        <f t="shared" si="92"/>
        <v/>
      </c>
      <c r="BR219" s="310" t="str">
        <f t="shared" si="92"/>
        <v/>
      </c>
      <c r="BS219" s="310" t="str">
        <f t="shared" si="92"/>
        <v>ABVAR</v>
      </c>
      <c r="BT219" s="310" t="str">
        <f t="shared" si="92"/>
        <v/>
      </c>
      <c r="BU219" s="310" t="str">
        <f t="shared" si="93"/>
        <v/>
      </c>
      <c r="BV219" s="310" t="str">
        <f t="shared" si="93"/>
        <v>ABVAR</v>
      </c>
      <c r="BW219" s="486" t="str">
        <f t="shared" si="93"/>
        <v/>
      </c>
      <c r="BX219" s="486" t="str">
        <f t="shared" si="93"/>
        <v/>
      </c>
      <c r="BY219" s="486" t="str">
        <f t="shared" si="93"/>
        <v/>
      </c>
      <c r="BZ219" s="486" t="str">
        <f t="shared" si="93"/>
        <v/>
      </c>
      <c r="CA219" s="486" t="str">
        <f t="shared" si="93"/>
        <v/>
      </c>
      <c r="CB219" s="486" t="str">
        <f t="shared" si="93"/>
        <v/>
      </c>
      <c r="CC219" s="486" t="str">
        <f t="shared" si="93"/>
        <v/>
      </c>
      <c r="CD219" s="486" t="str">
        <f t="shared" si="93"/>
        <v/>
      </c>
      <c r="CE219" s="486" t="str">
        <f t="shared" si="94"/>
        <v/>
      </c>
      <c r="CF219" s="486" t="str">
        <f t="shared" si="94"/>
        <v/>
      </c>
      <c r="CG219" s="486" t="str">
        <f t="shared" si="94"/>
        <v/>
      </c>
      <c r="CH219" s="310" t="str">
        <f t="shared" si="94"/>
        <v/>
      </c>
      <c r="CI219" s="310" t="str">
        <f t="shared" si="94"/>
        <v/>
      </c>
      <c r="CJ219" s="486" t="str">
        <f t="shared" si="94"/>
        <v/>
      </c>
      <c r="CK219" s="486" t="str">
        <f t="shared" si="94"/>
        <v/>
      </c>
      <c r="CL219" s="486" t="str">
        <f t="shared" si="94"/>
        <v/>
      </c>
      <c r="CM219" s="486" t="str">
        <f t="shared" si="94"/>
        <v/>
      </c>
      <c r="CN219" s="486" t="str">
        <f t="shared" si="94"/>
        <v/>
      </c>
      <c r="CO219" s="486" t="str">
        <f t="shared" si="95"/>
        <v/>
      </c>
      <c r="CP219" s="486" t="str">
        <f t="shared" si="95"/>
        <v/>
      </c>
      <c r="CQ219" s="486" t="str">
        <f t="shared" si="95"/>
        <v/>
      </c>
      <c r="CR219" s="486" t="str">
        <f t="shared" si="95"/>
        <v/>
      </c>
      <c r="CS219" s="486" t="str">
        <f t="shared" si="95"/>
        <v/>
      </c>
      <c r="CT219" s="310" t="str">
        <f t="shared" si="95"/>
        <v/>
      </c>
      <c r="CU219" s="541"/>
      <c r="CV219" s="541"/>
      <c r="CW219" s="541"/>
      <c r="CX219" s="541"/>
    </row>
    <row r="220" spans="53:102" x14ac:dyDescent="0.25">
      <c r="BA220" s="622" t="str">
        <f>A21</f>
        <v>VALIDATION: SOCIAL STATUS</v>
      </c>
      <c r="BB220" s="622"/>
      <c r="BC220" s="622"/>
      <c r="BD220" s="622"/>
      <c r="BE220" s="622"/>
      <c r="BF220" s="622"/>
      <c r="BG220" s="622"/>
      <c r="BH220" s="622"/>
      <c r="BI220" s="622"/>
      <c r="BJ220" s="622"/>
      <c r="BK220" s="622"/>
      <c r="BL220" s="622"/>
      <c r="BM220" s="622"/>
      <c r="BN220" s="622"/>
      <c r="BO220" s="622"/>
      <c r="BP220" s="622"/>
      <c r="BQ220" s="622"/>
      <c r="BR220" s="622"/>
      <c r="BS220" s="622"/>
      <c r="BT220" s="622"/>
      <c r="BU220" s="622"/>
      <c r="BV220" s="622"/>
      <c r="BW220" s="623" t="str">
        <f>X21</f>
        <v>Religion Total</v>
      </c>
      <c r="BX220" s="755"/>
      <c r="BY220" s="755"/>
      <c r="BZ220" s="624"/>
      <c r="CA220" s="759"/>
      <c r="CB220" s="760"/>
      <c r="CC220" s="760"/>
      <c r="CD220" s="760"/>
      <c r="CE220" s="760"/>
      <c r="CF220" s="760"/>
      <c r="CG220" s="760"/>
      <c r="CH220" s="760"/>
      <c r="CI220" s="760"/>
      <c r="CJ220" s="760"/>
      <c r="CK220" s="760"/>
      <c r="CL220" s="760"/>
      <c r="CM220" s="760"/>
      <c r="CN220" s="760"/>
      <c r="CO220" s="760"/>
      <c r="CP220" s="761"/>
      <c r="CQ220" s="623" t="str">
        <f>AR21</f>
        <v>Caste Total</v>
      </c>
      <c r="CR220" s="755"/>
      <c r="CS220" s="755"/>
      <c r="CT220" s="624"/>
      <c r="CU220" s="541"/>
      <c r="CV220" s="541"/>
      <c r="CW220" s="541"/>
      <c r="CX220" s="541"/>
    </row>
    <row r="221" spans="53:102" x14ac:dyDescent="0.25">
      <c r="BA221" s="622"/>
      <c r="BB221" s="622"/>
      <c r="BC221" s="622"/>
      <c r="BD221" s="622"/>
      <c r="BE221" s="622"/>
      <c r="BF221" s="622"/>
      <c r="BG221" s="622"/>
      <c r="BH221" s="622"/>
      <c r="BI221" s="622"/>
      <c r="BJ221" s="622"/>
      <c r="BK221" s="622"/>
      <c r="BL221" s="622"/>
      <c r="BM221" s="622"/>
      <c r="BN221" s="622"/>
      <c r="BO221" s="622"/>
      <c r="BP221" s="622"/>
      <c r="BQ221" s="622"/>
      <c r="BR221" s="622"/>
      <c r="BS221" s="622"/>
      <c r="BT221" s="622"/>
      <c r="BU221" s="622"/>
      <c r="BV221" s="622"/>
      <c r="BW221" s="307" t="str">
        <f>X22</f>
        <v>Male</v>
      </c>
      <c r="BX221" s="307" t="str">
        <f t="shared" ref="BX221:BZ221" si="100">Y22</f>
        <v>Female</v>
      </c>
      <c r="BY221" s="307" t="str">
        <f t="shared" si="100"/>
        <v>Transgender</v>
      </c>
      <c r="BZ221" s="307" t="str">
        <f t="shared" si="100"/>
        <v>Total</v>
      </c>
      <c r="CA221" s="762"/>
      <c r="CB221" s="763"/>
      <c r="CC221" s="763"/>
      <c r="CD221" s="763"/>
      <c r="CE221" s="763"/>
      <c r="CF221" s="763"/>
      <c r="CG221" s="763"/>
      <c r="CH221" s="763"/>
      <c r="CI221" s="763"/>
      <c r="CJ221" s="763"/>
      <c r="CK221" s="763"/>
      <c r="CL221" s="763"/>
      <c r="CM221" s="763"/>
      <c r="CN221" s="763"/>
      <c r="CO221" s="763"/>
      <c r="CP221" s="764"/>
      <c r="CQ221" s="307" t="str">
        <f>X22</f>
        <v>Male</v>
      </c>
      <c r="CR221" s="307" t="str">
        <f t="shared" ref="CR221:CT221" si="101">Y22</f>
        <v>Female</v>
      </c>
      <c r="CS221" s="307" t="str">
        <f t="shared" si="101"/>
        <v>Transgender</v>
      </c>
      <c r="CT221" s="307" t="str">
        <f t="shared" si="101"/>
        <v>Total</v>
      </c>
      <c r="CU221" s="541"/>
      <c r="CV221" s="541"/>
      <c r="CW221" s="541"/>
      <c r="CX221" s="541"/>
    </row>
    <row r="222" spans="53:102" ht="30" customHeight="1" x14ac:dyDescent="0.25">
      <c r="BA222" s="618" t="str">
        <f>A23</f>
        <v>PROFORMA–XVI VALUES (Religion vs. Caste of Victims)</v>
      </c>
      <c r="BB222" s="618"/>
      <c r="BC222" s="622"/>
      <c r="BD222" s="622"/>
      <c r="BE222" s="622"/>
      <c r="BF222" s="622"/>
      <c r="BG222" s="622"/>
      <c r="BH222" s="622"/>
      <c r="BI222" s="622"/>
      <c r="BJ222" s="622"/>
      <c r="BK222" s="622"/>
      <c r="BL222" s="622"/>
      <c r="BM222" s="622"/>
      <c r="BN222" s="622"/>
      <c r="BO222" s="622"/>
      <c r="BP222" s="622"/>
      <c r="BQ222" s="622"/>
      <c r="BR222" s="622"/>
      <c r="BS222" s="622"/>
      <c r="BT222" s="622"/>
      <c r="BU222" s="622"/>
      <c r="BV222" s="622"/>
      <c r="BW222" s="136">
        <f>X23</f>
        <v>249</v>
      </c>
      <c r="BX222" s="136">
        <f t="shared" ref="BX222:BZ222" si="102">Y23</f>
        <v>72</v>
      </c>
      <c r="BY222" s="136">
        <f t="shared" si="102"/>
        <v>0</v>
      </c>
      <c r="BZ222" s="136">
        <f t="shared" si="102"/>
        <v>321</v>
      </c>
      <c r="CA222" s="623"/>
      <c r="CB222" s="755"/>
      <c r="CC222" s="755"/>
      <c r="CD222" s="755"/>
      <c r="CE222" s="755"/>
      <c r="CF222" s="755"/>
      <c r="CG222" s="755"/>
      <c r="CH222" s="755"/>
      <c r="CI222" s="755"/>
      <c r="CJ222" s="755"/>
      <c r="CK222" s="755"/>
      <c r="CL222" s="755"/>
      <c r="CM222" s="755"/>
      <c r="CN222" s="755"/>
      <c r="CO222" s="755"/>
      <c r="CP222" s="624"/>
      <c r="CQ222" s="136">
        <f>AR23</f>
        <v>249</v>
      </c>
      <c r="CR222" s="136">
        <f t="shared" ref="CR222:CT222" si="103">AS23</f>
        <v>72</v>
      </c>
      <c r="CS222" s="136">
        <f t="shared" si="103"/>
        <v>0</v>
      </c>
      <c r="CT222" s="136">
        <f t="shared" si="103"/>
        <v>321</v>
      </c>
      <c r="CU222" s="541"/>
      <c r="CV222" s="541"/>
      <c r="CW222" s="541"/>
      <c r="CX222" s="541"/>
    </row>
    <row r="223" spans="53:102" ht="39.950000000000003" customHeight="1" x14ac:dyDescent="0.25">
      <c r="BA223" s="618" t="str">
        <f>A24</f>
        <v>VALIDATION WITHIN PROFORMA–XVI (Religion vs. Caste of Victims)</v>
      </c>
      <c r="BB223" s="618"/>
      <c r="BC223" s="622"/>
      <c r="BD223" s="622"/>
      <c r="BE223" s="622"/>
      <c r="BF223" s="622"/>
      <c r="BG223" s="622"/>
      <c r="BH223" s="622"/>
      <c r="BI223" s="622"/>
      <c r="BJ223" s="622"/>
      <c r="BK223" s="622"/>
      <c r="BL223" s="622"/>
      <c r="BM223" s="622"/>
      <c r="BN223" s="622"/>
      <c r="BO223" s="622"/>
      <c r="BP223" s="622"/>
      <c r="BQ223" s="622"/>
      <c r="BR223" s="622"/>
      <c r="BS223" s="622"/>
      <c r="BT223" s="622"/>
      <c r="BU223" s="622"/>
      <c r="BV223" s="622"/>
      <c r="BW223" s="136" t="str">
        <f t="shared" ref="BW223:BW224" si="104">X24</f>
        <v/>
      </c>
      <c r="BX223" s="136" t="str">
        <f t="shared" ref="BX223:BX225" si="105">Y24</f>
        <v/>
      </c>
      <c r="BY223" s="136" t="str">
        <f t="shared" ref="BY223:BY225" si="106">Z24</f>
        <v/>
      </c>
      <c r="BZ223" s="136" t="str">
        <f t="shared" ref="BZ223:BZ225" si="107">AA24</f>
        <v/>
      </c>
      <c r="CA223" s="623"/>
      <c r="CB223" s="755"/>
      <c r="CC223" s="755"/>
      <c r="CD223" s="755"/>
      <c r="CE223" s="755"/>
      <c r="CF223" s="755"/>
      <c r="CG223" s="755"/>
      <c r="CH223" s="755"/>
      <c r="CI223" s="755"/>
      <c r="CJ223" s="755"/>
      <c r="CK223" s="755"/>
      <c r="CL223" s="755"/>
      <c r="CM223" s="755"/>
      <c r="CN223" s="755"/>
      <c r="CO223" s="755"/>
      <c r="CP223" s="624"/>
      <c r="CQ223" s="136" t="str">
        <f t="shared" ref="CQ223:CQ225" si="108">AR24</f>
        <v/>
      </c>
      <c r="CR223" s="136" t="str">
        <f t="shared" ref="CR223:CR225" si="109">AS24</f>
        <v/>
      </c>
      <c r="CS223" s="136" t="str">
        <f t="shared" ref="CS223:CS225" si="110">AT24</f>
        <v/>
      </c>
      <c r="CT223" s="136" t="str">
        <f t="shared" ref="CT223:CT225" si="111">AU24</f>
        <v/>
      </c>
      <c r="CU223" s="541"/>
      <c r="CV223" s="541"/>
      <c r="CW223" s="541"/>
      <c r="CX223" s="541"/>
    </row>
    <row r="224" spans="53:102" ht="30" customHeight="1" x14ac:dyDescent="0.25">
      <c r="BA224" s="618" t="str">
        <f>A25</f>
        <v>PROFORMA–XIV VALUES [Sl.–21 (Total)]</v>
      </c>
      <c r="BB224" s="618"/>
      <c r="BC224" s="622"/>
      <c r="BD224" s="622"/>
      <c r="BE224" s="622"/>
      <c r="BF224" s="622"/>
      <c r="BG224" s="622"/>
      <c r="BH224" s="622"/>
      <c r="BI224" s="622"/>
      <c r="BJ224" s="622"/>
      <c r="BK224" s="622"/>
      <c r="BL224" s="622"/>
      <c r="BM224" s="622"/>
      <c r="BN224" s="622"/>
      <c r="BO224" s="622"/>
      <c r="BP224" s="622"/>
      <c r="BQ224" s="622"/>
      <c r="BR224" s="622"/>
      <c r="BS224" s="622"/>
      <c r="BT224" s="622"/>
      <c r="BU224" s="622"/>
      <c r="BV224" s="622"/>
      <c r="BW224" s="136">
        <f t="shared" si="104"/>
        <v>249</v>
      </c>
      <c r="BX224" s="136">
        <f t="shared" si="105"/>
        <v>72</v>
      </c>
      <c r="BY224" s="136">
        <f t="shared" si="106"/>
        <v>0</v>
      </c>
      <c r="BZ224" s="136">
        <f t="shared" si="107"/>
        <v>321</v>
      </c>
      <c r="CA224" s="623"/>
      <c r="CB224" s="755"/>
      <c r="CC224" s="755"/>
      <c r="CD224" s="755"/>
      <c r="CE224" s="755"/>
      <c r="CF224" s="755"/>
      <c r="CG224" s="755"/>
      <c r="CH224" s="755"/>
      <c r="CI224" s="755"/>
      <c r="CJ224" s="755"/>
      <c r="CK224" s="755"/>
      <c r="CL224" s="755"/>
      <c r="CM224" s="755"/>
      <c r="CN224" s="755"/>
      <c r="CO224" s="755"/>
      <c r="CP224" s="624"/>
      <c r="CQ224" s="136">
        <f t="shared" si="108"/>
        <v>249</v>
      </c>
      <c r="CR224" s="136">
        <f t="shared" si="109"/>
        <v>72</v>
      </c>
      <c r="CS224" s="136">
        <f t="shared" si="110"/>
        <v>0</v>
      </c>
      <c r="CT224" s="136">
        <f t="shared" si="111"/>
        <v>321</v>
      </c>
      <c r="CU224" s="541"/>
      <c r="CV224" s="541"/>
      <c r="CW224" s="541"/>
      <c r="CX224" s="541"/>
    </row>
    <row r="225" spans="53:102" ht="39.950000000000003" customHeight="1" x14ac:dyDescent="0.25">
      <c r="BA225" s="618" t="str">
        <f>A26</f>
        <v>VALIDATION WITH PROFORMA–XIV [Sl.–21 (Total)]</v>
      </c>
      <c r="BB225" s="618"/>
      <c r="BC225" s="622"/>
      <c r="BD225" s="622"/>
      <c r="BE225" s="622"/>
      <c r="BF225" s="622"/>
      <c r="BG225" s="622"/>
      <c r="BH225" s="622"/>
      <c r="BI225" s="622"/>
      <c r="BJ225" s="622"/>
      <c r="BK225" s="622"/>
      <c r="BL225" s="622"/>
      <c r="BM225" s="622"/>
      <c r="BN225" s="622"/>
      <c r="BO225" s="622"/>
      <c r="BP225" s="622"/>
      <c r="BQ225" s="622"/>
      <c r="BR225" s="622"/>
      <c r="BS225" s="622"/>
      <c r="BT225" s="622"/>
      <c r="BU225" s="622"/>
      <c r="BV225" s="622"/>
      <c r="BW225" s="136" t="str">
        <f>X26</f>
        <v/>
      </c>
      <c r="BX225" s="136" t="str">
        <f t="shared" si="105"/>
        <v/>
      </c>
      <c r="BY225" s="136" t="str">
        <f t="shared" si="106"/>
        <v/>
      </c>
      <c r="BZ225" s="136" t="str">
        <f t="shared" si="107"/>
        <v/>
      </c>
      <c r="CA225" s="623"/>
      <c r="CB225" s="755"/>
      <c r="CC225" s="755"/>
      <c r="CD225" s="755"/>
      <c r="CE225" s="755"/>
      <c r="CF225" s="755"/>
      <c r="CG225" s="755"/>
      <c r="CH225" s="755"/>
      <c r="CI225" s="755"/>
      <c r="CJ225" s="755"/>
      <c r="CK225" s="755"/>
      <c r="CL225" s="755"/>
      <c r="CM225" s="755"/>
      <c r="CN225" s="755"/>
      <c r="CO225" s="755"/>
      <c r="CP225" s="624"/>
      <c r="CQ225" s="136" t="str">
        <f t="shared" si="108"/>
        <v/>
      </c>
      <c r="CR225" s="136" t="str">
        <f t="shared" si="109"/>
        <v/>
      </c>
      <c r="CS225" s="136" t="str">
        <f t="shared" si="110"/>
        <v/>
      </c>
      <c r="CT225" s="136" t="str">
        <f t="shared" si="111"/>
        <v/>
      </c>
      <c r="CU225" s="541"/>
      <c r="CV225" s="541"/>
      <c r="CW225" s="541"/>
      <c r="CX225" s="541"/>
    </row>
    <row r="226" spans="53:102" x14ac:dyDescent="0.25">
      <c r="BA226" s="647" t="str">
        <f>B5</f>
        <v>Sl. No</v>
      </c>
      <c r="BB226" s="647" t="str">
        <f>C5</f>
        <v>Status</v>
      </c>
      <c r="BC226" s="647" t="str">
        <f>AB5</f>
        <v>Number of Suicidal Deaths</v>
      </c>
      <c r="BD226" s="647"/>
      <c r="BE226" s="647"/>
      <c r="BF226" s="647"/>
      <c r="BG226" s="647"/>
      <c r="BH226" s="647"/>
      <c r="BI226" s="647"/>
      <c r="BJ226" s="647"/>
      <c r="BK226" s="647"/>
      <c r="BL226" s="647"/>
      <c r="BM226" s="647"/>
      <c r="BN226" s="647"/>
      <c r="BO226" s="647"/>
      <c r="BP226" s="647"/>
      <c r="BQ226" s="647"/>
      <c r="BR226" s="647"/>
      <c r="BS226" s="647"/>
      <c r="BT226" s="647"/>
      <c r="BU226" s="647"/>
      <c r="BV226" s="647"/>
      <c r="BW226" s="647"/>
      <c r="BX226" s="647"/>
      <c r="BY226" s="647"/>
      <c r="BZ226" s="647"/>
      <c r="CA226" s="647"/>
      <c r="CB226" s="647"/>
      <c r="CC226" s="647"/>
      <c r="CD226" s="647"/>
      <c r="CE226" s="647"/>
      <c r="CF226" s="647"/>
      <c r="CG226" s="647"/>
      <c r="CH226" s="647"/>
      <c r="CI226" s="647"/>
      <c r="CJ226" s="647"/>
      <c r="CK226" s="647"/>
      <c r="CL226" s="647"/>
      <c r="CM226" s="647"/>
      <c r="CN226" s="647"/>
      <c r="CO226" s="647"/>
      <c r="CP226" s="647"/>
      <c r="CQ226" s="647"/>
      <c r="CR226" s="647"/>
      <c r="CS226" s="647"/>
      <c r="CT226" s="647"/>
      <c r="CU226" s="782" t="str">
        <f>AV5</f>
        <v>VALIDATION WITHIN PROFORMA–XVI (Social &amp; Economic Status with Religion &amp; Caste) [Column (23), (24), (25), (26) with Column (43), (44), (45), (46)]</v>
      </c>
      <c r="CV226" s="783"/>
      <c r="CW226" s="783"/>
      <c r="CX226" s="784"/>
    </row>
    <row r="227" spans="53:102" x14ac:dyDescent="0.25">
      <c r="BA227" s="647"/>
      <c r="BB227" s="647"/>
      <c r="BC227" s="647" t="str">
        <f>D6</f>
        <v>Religion of Victims</v>
      </c>
      <c r="BD227" s="647"/>
      <c r="BE227" s="647"/>
      <c r="BF227" s="647"/>
      <c r="BG227" s="647"/>
      <c r="BH227" s="647"/>
      <c r="BI227" s="647"/>
      <c r="BJ227" s="647"/>
      <c r="BK227" s="647"/>
      <c r="BL227" s="647"/>
      <c r="BM227" s="647"/>
      <c r="BN227" s="647"/>
      <c r="BO227" s="647"/>
      <c r="BP227" s="647"/>
      <c r="BQ227" s="647"/>
      <c r="BR227" s="647"/>
      <c r="BS227" s="647"/>
      <c r="BT227" s="647"/>
      <c r="BU227" s="647"/>
      <c r="BV227" s="647"/>
      <c r="BW227" s="647"/>
      <c r="BX227" s="647"/>
      <c r="BY227" s="647"/>
      <c r="BZ227" s="647"/>
      <c r="CA227" s="647" t="str">
        <f>AB6</f>
        <v>Caste of Victims</v>
      </c>
      <c r="CB227" s="647"/>
      <c r="CC227" s="647"/>
      <c r="CD227" s="647"/>
      <c r="CE227" s="647"/>
      <c r="CF227" s="647"/>
      <c r="CG227" s="647"/>
      <c r="CH227" s="647"/>
      <c r="CI227" s="647"/>
      <c r="CJ227" s="647"/>
      <c r="CK227" s="647"/>
      <c r="CL227" s="647"/>
      <c r="CM227" s="647"/>
      <c r="CN227" s="647"/>
      <c r="CO227" s="647"/>
      <c r="CP227" s="647"/>
      <c r="CQ227" s="647"/>
      <c r="CR227" s="647"/>
      <c r="CS227" s="647"/>
      <c r="CT227" s="647"/>
      <c r="CU227" s="785"/>
      <c r="CV227" s="786"/>
      <c r="CW227" s="786"/>
      <c r="CX227" s="787"/>
    </row>
    <row r="228" spans="53:102" x14ac:dyDescent="0.25">
      <c r="BA228" s="647"/>
      <c r="BB228" s="647"/>
      <c r="BC228" s="647" t="str">
        <f>D7</f>
        <v>Hindu</v>
      </c>
      <c r="BD228" s="647"/>
      <c r="BE228" s="647"/>
      <c r="BF228" s="647"/>
      <c r="BG228" s="647" t="str">
        <f>H7</f>
        <v>Muslim</v>
      </c>
      <c r="BH228" s="647"/>
      <c r="BI228" s="647"/>
      <c r="BJ228" s="647"/>
      <c r="BK228" s="647" t="str">
        <f>L7</f>
        <v>Christian</v>
      </c>
      <c r="BL228" s="647"/>
      <c r="BM228" s="647"/>
      <c r="BN228" s="647"/>
      <c r="BO228" s="647" t="str">
        <f>P7</f>
        <v>Sikh</v>
      </c>
      <c r="BP228" s="647"/>
      <c r="BQ228" s="647"/>
      <c r="BR228" s="647"/>
      <c r="BS228" s="647" t="str">
        <f>T7</f>
        <v>Others</v>
      </c>
      <c r="BT228" s="647"/>
      <c r="BU228" s="647"/>
      <c r="BV228" s="647"/>
      <c r="BW228" s="647" t="str">
        <f>X7</f>
        <v>Total</v>
      </c>
      <c r="BX228" s="647"/>
      <c r="BY228" s="647"/>
      <c r="BZ228" s="647"/>
      <c r="CA228" s="647" t="str">
        <f>AB7</f>
        <v>General</v>
      </c>
      <c r="CB228" s="647"/>
      <c r="CC228" s="647"/>
      <c r="CD228" s="647"/>
      <c r="CE228" s="647" t="str">
        <f>AF7</f>
        <v>OBC</v>
      </c>
      <c r="CF228" s="647"/>
      <c r="CG228" s="647"/>
      <c r="CH228" s="647"/>
      <c r="CI228" s="647" t="str">
        <f>AJ7</f>
        <v>SC</v>
      </c>
      <c r="CJ228" s="647"/>
      <c r="CK228" s="647"/>
      <c r="CL228" s="647"/>
      <c r="CM228" s="647" t="str">
        <f>AN7</f>
        <v>ST</v>
      </c>
      <c r="CN228" s="647"/>
      <c r="CO228" s="647"/>
      <c r="CP228" s="647"/>
      <c r="CQ228" s="647" t="str">
        <f>AR7</f>
        <v>Total</v>
      </c>
      <c r="CR228" s="647"/>
      <c r="CS228" s="647"/>
      <c r="CT228" s="647"/>
      <c r="CU228" s="788"/>
      <c r="CV228" s="789"/>
      <c r="CW228" s="789"/>
      <c r="CX228" s="790"/>
    </row>
    <row r="229" spans="53:102" ht="25.5" x14ac:dyDescent="0.25">
      <c r="BA229" s="647"/>
      <c r="BB229" s="647"/>
      <c r="BC229" s="276" t="str">
        <f>D8</f>
        <v>Male</v>
      </c>
      <c r="BD229" s="276" t="str">
        <f>E8</f>
        <v>Female</v>
      </c>
      <c r="BE229" s="276" t="str">
        <f>F8</f>
        <v>Transgender</v>
      </c>
      <c r="BF229" s="276" t="str">
        <f>G8</f>
        <v>Total</v>
      </c>
      <c r="BG229" s="276" t="str">
        <f t="shared" ref="BG229:BJ229" si="112">H8</f>
        <v>Male</v>
      </c>
      <c r="BH229" s="276" t="str">
        <f t="shared" si="112"/>
        <v>Female</v>
      </c>
      <c r="BI229" s="276" t="str">
        <f t="shared" si="112"/>
        <v>Transgender</v>
      </c>
      <c r="BJ229" s="276" t="str">
        <f t="shared" si="112"/>
        <v>Total</v>
      </c>
      <c r="BK229" s="276" t="str">
        <f>L8</f>
        <v>Male</v>
      </c>
      <c r="BL229" s="276" t="str">
        <f t="shared" ref="BL229" si="113">M8</f>
        <v>Female</v>
      </c>
      <c r="BM229" s="276" t="str">
        <f t="shared" ref="BM229" si="114">N8</f>
        <v>Transgender</v>
      </c>
      <c r="BN229" s="276" t="str">
        <f t="shared" ref="BN229" si="115">O8</f>
        <v>Total</v>
      </c>
      <c r="BO229" s="276" t="str">
        <f>P8</f>
        <v>Male</v>
      </c>
      <c r="BP229" s="276" t="str">
        <f t="shared" ref="BP229" si="116">Q8</f>
        <v>Female</v>
      </c>
      <c r="BQ229" s="276" t="str">
        <f t="shared" ref="BQ229" si="117">R8</f>
        <v>Transgender</v>
      </c>
      <c r="BR229" s="276" t="str">
        <f t="shared" ref="BR229" si="118">S8</f>
        <v>Total</v>
      </c>
      <c r="BS229" s="276" t="str">
        <f>T8</f>
        <v>Male</v>
      </c>
      <c r="BT229" s="276" t="str">
        <f t="shared" ref="BT229" si="119">U8</f>
        <v>Female</v>
      </c>
      <c r="BU229" s="276" t="str">
        <f t="shared" ref="BU229" si="120">V8</f>
        <v>Transgender</v>
      </c>
      <c r="BV229" s="276" t="str">
        <f t="shared" ref="BV229" si="121">W8</f>
        <v>Total</v>
      </c>
      <c r="BW229" s="276" t="str">
        <f>X8</f>
        <v>Male</v>
      </c>
      <c r="BX229" s="276" t="str">
        <f t="shared" ref="BX229" si="122">Y8</f>
        <v>Female</v>
      </c>
      <c r="BY229" s="276" t="str">
        <f t="shared" ref="BY229" si="123">Z8</f>
        <v>Transgender</v>
      </c>
      <c r="BZ229" s="276" t="str">
        <f t="shared" ref="BZ229" si="124">AA8</f>
        <v>Total</v>
      </c>
      <c r="CA229" s="276" t="str">
        <f>AB8</f>
        <v>Male</v>
      </c>
      <c r="CB229" s="276" t="str">
        <f t="shared" ref="CB229" si="125">AC8</f>
        <v>Female</v>
      </c>
      <c r="CC229" s="276" t="str">
        <f t="shared" ref="CC229" si="126">AD8</f>
        <v>Transgender</v>
      </c>
      <c r="CD229" s="276" t="str">
        <f t="shared" ref="CD229" si="127">AE8</f>
        <v>Total</v>
      </c>
      <c r="CE229" s="276" t="str">
        <f>AF8</f>
        <v>Male</v>
      </c>
      <c r="CF229" s="276" t="str">
        <f t="shared" ref="CF229" si="128">AG8</f>
        <v>Female</v>
      </c>
      <c r="CG229" s="276" t="str">
        <f t="shared" ref="CG229" si="129">AH8</f>
        <v>Transgender</v>
      </c>
      <c r="CH229" s="276" t="str">
        <f t="shared" ref="CH229" si="130">AI8</f>
        <v>Total</v>
      </c>
      <c r="CI229" s="276" t="str">
        <f>AJ8</f>
        <v>Male</v>
      </c>
      <c r="CJ229" s="276" t="str">
        <f t="shared" ref="CJ229" si="131">AK8</f>
        <v>Female</v>
      </c>
      <c r="CK229" s="276" t="str">
        <f t="shared" ref="CK229" si="132">AL8</f>
        <v>Transgender</v>
      </c>
      <c r="CL229" s="276" t="str">
        <f t="shared" ref="CL229" si="133">AM8</f>
        <v>Total</v>
      </c>
      <c r="CM229" s="276" t="str">
        <f>AN8</f>
        <v>Male</v>
      </c>
      <c r="CN229" s="276" t="str">
        <f t="shared" ref="CN229" si="134">AO8</f>
        <v>Female</v>
      </c>
      <c r="CO229" s="276" t="str">
        <f t="shared" ref="CO229" si="135">AP8</f>
        <v>Transgender</v>
      </c>
      <c r="CP229" s="276" t="str">
        <f t="shared" ref="CP229" si="136">AQ8</f>
        <v>Total</v>
      </c>
      <c r="CQ229" s="276" t="str">
        <f t="shared" ref="CQ229" si="137">AR8</f>
        <v>Male</v>
      </c>
      <c r="CR229" s="276" t="str">
        <f t="shared" ref="CR229" si="138">AS8</f>
        <v>Female</v>
      </c>
      <c r="CS229" s="276" t="str">
        <f t="shared" ref="CS229" si="139">AT8</f>
        <v>Transgender</v>
      </c>
      <c r="CT229" s="276" t="str">
        <f t="shared" ref="CT229" si="140">AU8</f>
        <v>Total</v>
      </c>
      <c r="CU229" s="541" t="str">
        <f>AV8</f>
        <v>Male</v>
      </c>
      <c r="CV229" s="541" t="str">
        <f t="shared" ref="CV229:CX229" si="141">AW8</f>
        <v>Female</v>
      </c>
      <c r="CW229" s="541" t="str">
        <f t="shared" si="141"/>
        <v>Transgender</v>
      </c>
      <c r="CX229" s="541" t="str">
        <f t="shared" si="141"/>
        <v>Total</v>
      </c>
    </row>
    <row r="230" spans="53:102" x14ac:dyDescent="0.25">
      <c r="BA230" s="276" t="str">
        <f>B9</f>
        <v>(1)</v>
      </c>
      <c r="BB230" s="276" t="str">
        <f>C9</f>
        <v>(2)</v>
      </c>
      <c r="BC230" s="276" t="str">
        <f t="shared" ref="BC230:CT230" si="142">D9</f>
        <v>(3)</v>
      </c>
      <c r="BD230" s="276" t="str">
        <f t="shared" si="142"/>
        <v>(4)</v>
      </c>
      <c r="BE230" s="276" t="str">
        <f t="shared" si="142"/>
        <v>(5)</v>
      </c>
      <c r="BF230" s="276" t="str">
        <f t="shared" si="142"/>
        <v>(6)</v>
      </c>
      <c r="BG230" s="276" t="str">
        <f t="shared" si="142"/>
        <v>(7)</v>
      </c>
      <c r="BH230" s="276" t="str">
        <f t="shared" si="142"/>
        <v>(8)</v>
      </c>
      <c r="BI230" s="276" t="str">
        <f t="shared" si="142"/>
        <v>(9)</v>
      </c>
      <c r="BJ230" s="276" t="str">
        <f t="shared" si="142"/>
        <v>(10)</v>
      </c>
      <c r="BK230" s="276" t="str">
        <f t="shared" si="142"/>
        <v>(11)</v>
      </c>
      <c r="BL230" s="276" t="str">
        <f t="shared" si="142"/>
        <v>(12)</v>
      </c>
      <c r="BM230" s="276" t="str">
        <f t="shared" si="142"/>
        <v>(13)</v>
      </c>
      <c r="BN230" s="276" t="str">
        <f t="shared" si="142"/>
        <v>(14)</v>
      </c>
      <c r="BO230" s="276" t="str">
        <f t="shared" si="142"/>
        <v>(15)</v>
      </c>
      <c r="BP230" s="276" t="str">
        <f t="shared" si="142"/>
        <v>(16)</v>
      </c>
      <c r="BQ230" s="276" t="str">
        <f t="shared" si="142"/>
        <v>(17)</v>
      </c>
      <c r="BR230" s="276" t="str">
        <f t="shared" si="142"/>
        <v>(18)</v>
      </c>
      <c r="BS230" s="276" t="str">
        <f t="shared" si="142"/>
        <v>(19)</v>
      </c>
      <c r="BT230" s="276" t="str">
        <f t="shared" si="142"/>
        <v>(20)</v>
      </c>
      <c r="BU230" s="276" t="str">
        <f t="shared" si="142"/>
        <v>(21)</v>
      </c>
      <c r="BV230" s="276" t="str">
        <f t="shared" si="142"/>
        <v>(22)</v>
      </c>
      <c r="BW230" s="276" t="str">
        <f t="shared" si="142"/>
        <v>(23)</v>
      </c>
      <c r="BX230" s="276" t="str">
        <f t="shared" si="142"/>
        <v>(24)</v>
      </c>
      <c r="BY230" s="276" t="str">
        <f t="shared" si="142"/>
        <v>(25)</v>
      </c>
      <c r="BZ230" s="276" t="str">
        <f t="shared" si="142"/>
        <v>(26)</v>
      </c>
      <c r="CA230" s="276" t="str">
        <f t="shared" si="142"/>
        <v>(27)</v>
      </c>
      <c r="CB230" s="276" t="str">
        <f t="shared" si="142"/>
        <v>(28)</v>
      </c>
      <c r="CC230" s="276" t="str">
        <f t="shared" si="142"/>
        <v>(29)</v>
      </c>
      <c r="CD230" s="276" t="str">
        <f t="shared" si="142"/>
        <v>(30)</v>
      </c>
      <c r="CE230" s="276" t="str">
        <f t="shared" si="142"/>
        <v>(31)</v>
      </c>
      <c r="CF230" s="276" t="str">
        <f t="shared" si="142"/>
        <v>(32)</v>
      </c>
      <c r="CG230" s="276" t="str">
        <f t="shared" si="142"/>
        <v>(33)</v>
      </c>
      <c r="CH230" s="276" t="str">
        <f t="shared" si="142"/>
        <v>(34)</v>
      </c>
      <c r="CI230" s="276" t="str">
        <f t="shared" si="142"/>
        <v>(35)</v>
      </c>
      <c r="CJ230" s="276" t="str">
        <f t="shared" si="142"/>
        <v>(36)</v>
      </c>
      <c r="CK230" s="276" t="str">
        <f t="shared" si="142"/>
        <v>(37)</v>
      </c>
      <c r="CL230" s="276" t="str">
        <f t="shared" si="142"/>
        <v>(38)</v>
      </c>
      <c r="CM230" s="276" t="str">
        <f t="shared" si="142"/>
        <v>(39)</v>
      </c>
      <c r="CN230" s="276" t="str">
        <f t="shared" si="142"/>
        <v>(40)</v>
      </c>
      <c r="CO230" s="276" t="str">
        <f t="shared" si="142"/>
        <v>(41)</v>
      </c>
      <c r="CP230" s="276" t="str">
        <f t="shared" si="142"/>
        <v>(42)</v>
      </c>
      <c r="CQ230" s="276" t="str">
        <f t="shared" si="142"/>
        <v>(43)</v>
      </c>
      <c r="CR230" s="276" t="str">
        <f t="shared" si="142"/>
        <v>(44)</v>
      </c>
      <c r="CS230" s="276" t="str">
        <f t="shared" si="142"/>
        <v>(45)</v>
      </c>
      <c r="CT230" s="276" t="str">
        <f t="shared" si="142"/>
        <v>(46)</v>
      </c>
      <c r="CU230" s="541"/>
      <c r="CV230" s="541"/>
      <c r="CW230" s="541"/>
      <c r="CX230" s="541"/>
    </row>
    <row r="231" spans="53:102" x14ac:dyDescent="0.25">
      <c r="BA231" s="703" t="str">
        <f>A27</f>
        <v>Part-II: Economic Status</v>
      </c>
      <c r="BB231" s="703"/>
      <c r="BC231" s="703"/>
      <c r="BD231" s="703"/>
      <c r="BE231" s="703"/>
      <c r="BF231" s="703"/>
      <c r="BG231" s="703"/>
      <c r="BH231" s="703"/>
      <c r="BI231" s="703"/>
      <c r="BJ231" s="703"/>
      <c r="BK231" s="703"/>
      <c r="BL231" s="703"/>
      <c r="BM231" s="703"/>
      <c r="BN231" s="703"/>
      <c r="BO231" s="703"/>
      <c r="BP231" s="703"/>
      <c r="BQ231" s="703"/>
      <c r="BR231" s="703"/>
      <c r="BS231" s="703"/>
      <c r="BT231" s="703"/>
      <c r="BU231" s="703"/>
      <c r="BV231" s="703"/>
      <c r="BW231" s="703"/>
      <c r="BX231" s="703"/>
      <c r="BY231" s="703"/>
      <c r="BZ231" s="703"/>
      <c r="CA231" s="703"/>
      <c r="CB231" s="703"/>
      <c r="CC231" s="703"/>
      <c r="CD231" s="703"/>
      <c r="CE231" s="703"/>
      <c r="CF231" s="703"/>
      <c r="CG231" s="703"/>
      <c r="CH231" s="703"/>
      <c r="CI231" s="703"/>
      <c r="CJ231" s="703"/>
      <c r="CK231" s="703"/>
      <c r="CL231" s="703"/>
      <c r="CM231" s="703"/>
      <c r="CN231" s="703"/>
      <c r="CO231" s="703"/>
      <c r="CP231" s="703"/>
      <c r="CQ231" s="703"/>
      <c r="CR231" s="703"/>
      <c r="CS231" s="703"/>
      <c r="CT231" s="703"/>
      <c r="CU231" s="541"/>
      <c r="CV231" s="541"/>
      <c r="CW231" s="541"/>
      <c r="CX231" s="541"/>
    </row>
    <row r="232" spans="53:102" x14ac:dyDescent="0.25">
      <c r="BA232" s="277">
        <f>B28</f>
        <v>9</v>
      </c>
      <c r="BB232" s="136" t="str">
        <f>C28</f>
        <v>less than Rs. 1 lakh</v>
      </c>
      <c r="BC232" s="136">
        <f>D28</f>
        <v>85</v>
      </c>
      <c r="BD232" s="136">
        <f t="shared" ref="BD232:CT236" si="143">E28</f>
        <v>38</v>
      </c>
      <c r="BE232" s="136">
        <f t="shared" si="143"/>
        <v>0</v>
      </c>
      <c r="BF232" s="136">
        <f t="shared" si="143"/>
        <v>123</v>
      </c>
      <c r="BG232" s="136">
        <f t="shared" si="143"/>
        <v>8</v>
      </c>
      <c r="BH232" s="136">
        <f t="shared" si="143"/>
        <v>5</v>
      </c>
      <c r="BI232" s="136">
        <f t="shared" si="143"/>
        <v>0</v>
      </c>
      <c r="BJ232" s="136">
        <f t="shared" si="143"/>
        <v>13</v>
      </c>
      <c r="BK232" s="136">
        <f t="shared" si="143"/>
        <v>18</v>
      </c>
      <c r="BL232" s="136">
        <f t="shared" si="143"/>
        <v>12</v>
      </c>
      <c r="BM232" s="136">
        <f t="shared" si="143"/>
        <v>0</v>
      </c>
      <c r="BN232" s="136">
        <f t="shared" si="143"/>
        <v>30</v>
      </c>
      <c r="BO232" s="136">
        <f t="shared" si="143"/>
        <v>0</v>
      </c>
      <c r="BP232" s="136">
        <f t="shared" si="143"/>
        <v>0</v>
      </c>
      <c r="BQ232" s="136">
        <f t="shared" si="143"/>
        <v>0</v>
      </c>
      <c r="BR232" s="136">
        <f t="shared" si="143"/>
        <v>0</v>
      </c>
      <c r="BS232" s="136">
        <f t="shared" si="143"/>
        <v>5</v>
      </c>
      <c r="BT232" s="136">
        <f t="shared" si="143"/>
        <v>0</v>
      </c>
      <c r="BU232" s="136">
        <f t="shared" si="143"/>
        <v>0</v>
      </c>
      <c r="BV232" s="136">
        <f t="shared" si="143"/>
        <v>5</v>
      </c>
      <c r="BW232" s="136">
        <f t="shared" si="143"/>
        <v>116</v>
      </c>
      <c r="BX232" s="136">
        <f t="shared" si="143"/>
        <v>55</v>
      </c>
      <c r="BY232" s="136">
        <f t="shared" si="143"/>
        <v>0</v>
      </c>
      <c r="BZ232" s="136">
        <f t="shared" si="143"/>
        <v>171</v>
      </c>
      <c r="CA232" s="136">
        <f t="shared" si="143"/>
        <v>103</v>
      </c>
      <c r="CB232" s="136">
        <f t="shared" si="143"/>
        <v>50</v>
      </c>
      <c r="CC232" s="136">
        <f t="shared" si="143"/>
        <v>0</v>
      </c>
      <c r="CD232" s="136">
        <f t="shared" si="143"/>
        <v>153</v>
      </c>
      <c r="CE232" s="136">
        <f t="shared" si="143"/>
        <v>10</v>
      </c>
      <c r="CF232" s="136">
        <f t="shared" si="143"/>
        <v>3</v>
      </c>
      <c r="CG232" s="136">
        <f t="shared" si="143"/>
        <v>0</v>
      </c>
      <c r="CH232" s="136">
        <f t="shared" si="143"/>
        <v>13</v>
      </c>
      <c r="CI232" s="136">
        <f t="shared" si="143"/>
        <v>0</v>
      </c>
      <c r="CJ232" s="136">
        <f t="shared" si="143"/>
        <v>1</v>
      </c>
      <c r="CK232" s="136">
        <f t="shared" si="143"/>
        <v>0</v>
      </c>
      <c r="CL232" s="136">
        <f t="shared" si="143"/>
        <v>1</v>
      </c>
      <c r="CM232" s="136">
        <f t="shared" si="143"/>
        <v>3</v>
      </c>
      <c r="CN232" s="136">
        <f t="shared" si="143"/>
        <v>1</v>
      </c>
      <c r="CO232" s="136">
        <f t="shared" si="143"/>
        <v>0</v>
      </c>
      <c r="CP232" s="136">
        <f t="shared" si="143"/>
        <v>4</v>
      </c>
      <c r="CQ232" s="136">
        <f t="shared" si="143"/>
        <v>116</v>
      </c>
      <c r="CR232" s="136">
        <f t="shared" si="143"/>
        <v>55</v>
      </c>
      <c r="CS232" s="136">
        <f t="shared" si="143"/>
        <v>0</v>
      </c>
      <c r="CT232" s="136">
        <f t="shared" si="143"/>
        <v>171</v>
      </c>
      <c r="CU232" s="542" t="str">
        <f>AV28</f>
        <v/>
      </c>
      <c r="CV232" s="542" t="str">
        <f t="shared" ref="CV232:CX232" si="144">AW28</f>
        <v/>
      </c>
      <c r="CW232" s="542" t="str">
        <f t="shared" si="144"/>
        <v/>
      </c>
      <c r="CX232" s="542" t="str">
        <f t="shared" si="144"/>
        <v/>
      </c>
    </row>
    <row r="233" spans="53:102" ht="25.5" x14ac:dyDescent="0.25">
      <c r="BA233" s="277">
        <f t="shared" ref="BA233:BA236" si="145">B29</f>
        <v>10</v>
      </c>
      <c r="BB233" s="140" t="str">
        <f t="shared" ref="BB233:BB236" si="146">C29</f>
        <v>Rs. 1 lakh &amp; above – less than Rs. 5 lakhs</v>
      </c>
      <c r="BC233" s="136">
        <f t="shared" ref="BC233:BC236" si="147">D29</f>
        <v>89</v>
      </c>
      <c r="BD233" s="136">
        <f t="shared" si="143"/>
        <v>11</v>
      </c>
      <c r="BE233" s="136">
        <f t="shared" si="143"/>
        <v>0</v>
      </c>
      <c r="BF233" s="136">
        <f t="shared" si="143"/>
        <v>100</v>
      </c>
      <c r="BG233" s="136">
        <f t="shared" si="143"/>
        <v>9</v>
      </c>
      <c r="BH233" s="136">
        <f t="shared" si="143"/>
        <v>1</v>
      </c>
      <c r="BI233" s="136">
        <f t="shared" si="143"/>
        <v>0</v>
      </c>
      <c r="BJ233" s="136">
        <f t="shared" si="143"/>
        <v>10</v>
      </c>
      <c r="BK233" s="136">
        <f t="shared" si="143"/>
        <v>26</v>
      </c>
      <c r="BL233" s="136">
        <f t="shared" si="143"/>
        <v>4</v>
      </c>
      <c r="BM233" s="136">
        <f t="shared" si="143"/>
        <v>0</v>
      </c>
      <c r="BN233" s="136">
        <f t="shared" si="143"/>
        <v>30</v>
      </c>
      <c r="BO233" s="136">
        <f t="shared" si="143"/>
        <v>0</v>
      </c>
      <c r="BP233" s="136">
        <f t="shared" si="143"/>
        <v>0</v>
      </c>
      <c r="BQ233" s="136">
        <f t="shared" si="143"/>
        <v>0</v>
      </c>
      <c r="BR233" s="136">
        <f t="shared" si="143"/>
        <v>0</v>
      </c>
      <c r="BS233" s="136">
        <f t="shared" si="143"/>
        <v>0</v>
      </c>
      <c r="BT233" s="136">
        <f t="shared" si="143"/>
        <v>0</v>
      </c>
      <c r="BU233" s="136">
        <f t="shared" si="143"/>
        <v>0</v>
      </c>
      <c r="BV233" s="136">
        <f t="shared" si="143"/>
        <v>0</v>
      </c>
      <c r="BW233" s="136">
        <f t="shared" si="143"/>
        <v>124</v>
      </c>
      <c r="BX233" s="136">
        <f t="shared" si="143"/>
        <v>16</v>
      </c>
      <c r="BY233" s="136">
        <f t="shared" si="143"/>
        <v>0</v>
      </c>
      <c r="BZ233" s="136">
        <f t="shared" si="143"/>
        <v>140</v>
      </c>
      <c r="CA233" s="136">
        <f t="shared" si="143"/>
        <v>111</v>
      </c>
      <c r="CB233" s="136">
        <f t="shared" si="143"/>
        <v>14</v>
      </c>
      <c r="CC233" s="136">
        <f t="shared" si="143"/>
        <v>0</v>
      </c>
      <c r="CD233" s="136">
        <f t="shared" si="143"/>
        <v>125</v>
      </c>
      <c r="CE233" s="136">
        <f t="shared" si="143"/>
        <v>6</v>
      </c>
      <c r="CF233" s="136">
        <f t="shared" si="143"/>
        <v>2</v>
      </c>
      <c r="CG233" s="136">
        <f t="shared" si="143"/>
        <v>0</v>
      </c>
      <c r="CH233" s="136">
        <f t="shared" si="143"/>
        <v>8</v>
      </c>
      <c r="CI233" s="136">
        <f t="shared" si="143"/>
        <v>1</v>
      </c>
      <c r="CJ233" s="136">
        <f t="shared" si="143"/>
        <v>0</v>
      </c>
      <c r="CK233" s="136">
        <f t="shared" si="143"/>
        <v>0</v>
      </c>
      <c r="CL233" s="136">
        <f t="shared" si="143"/>
        <v>1</v>
      </c>
      <c r="CM233" s="136">
        <f t="shared" si="143"/>
        <v>6</v>
      </c>
      <c r="CN233" s="136">
        <f t="shared" si="143"/>
        <v>0</v>
      </c>
      <c r="CO233" s="136">
        <f t="shared" si="143"/>
        <v>0</v>
      </c>
      <c r="CP233" s="136">
        <f t="shared" si="143"/>
        <v>6</v>
      </c>
      <c r="CQ233" s="136">
        <f t="shared" si="143"/>
        <v>124</v>
      </c>
      <c r="CR233" s="136">
        <f t="shared" si="143"/>
        <v>16</v>
      </c>
      <c r="CS233" s="136">
        <f t="shared" si="143"/>
        <v>0</v>
      </c>
      <c r="CT233" s="136">
        <f t="shared" si="143"/>
        <v>140</v>
      </c>
      <c r="CU233" s="542" t="str">
        <f t="shared" ref="CU233:CU236" si="148">AV29</f>
        <v/>
      </c>
      <c r="CV233" s="542" t="str">
        <f t="shared" ref="CV233:CV236" si="149">AW29</f>
        <v/>
      </c>
      <c r="CW233" s="542" t="str">
        <f t="shared" ref="CW233:CW236" si="150">AX29</f>
        <v/>
      </c>
      <c r="CX233" s="542" t="str">
        <f t="shared" ref="CX233:CX236" si="151">AY29</f>
        <v/>
      </c>
    </row>
    <row r="234" spans="53:102" ht="30.75" customHeight="1" x14ac:dyDescent="0.25">
      <c r="BA234" s="277">
        <f t="shared" si="145"/>
        <v>11</v>
      </c>
      <c r="BB234" s="140" t="str">
        <f t="shared" si="146"/>
        <v>Rs. 5 lakhs &amp; above – less than Rs. 10 lakhs</v>
      </c>
      <c r="BC234" s="136">
        <f t="shared" si="147"/>
        <v>8</v>
      </c>
      <c r="BD234" s="136">
        <f t="shared" si="143"/>
        <v>1</v>
      </c>
      <c r="BE234" s="136">
        <f t="shared" si="143"/>
        <v>0</v>
      </c>
      <c r="BF234" s="136">
        <f t="shared" si="143"/>
        <v>9</v>
      </c>
      <c r="BG234" s="136">
        <f t="shared" si="143"/>
        <v>0</v>
      </c>
      <c r="BH234" s="136">
        <f t="shared" si="143"/>
        <v>0</v>
      </c>
      <c r="BI234" s="136">
        <f t="shared" si="143"/>
        <v>0</v>
      </c>
      <c r="BJ234" s="136">
        <f t="shared" si="143"/>
        <v>0</v>
      </c>
      <c r="BK234" s="136">
        <f t="shared" si="143"/>
        <v>1</v>
      </c>
      <c r="BL234" s="136">
        <f t="shared" si="143"/>
        <v>0</v>
      </c>
      <c r="BM234" s="136">
        <f t="shared" si="143"/>
        <v>0</v>
      </c>
      <c r="BN234" s="136">
        <f t="shared" si="143"/>
        <v>1</v>
      </c>
      <c r="BO234" s="136">
        <f t="shared" si="143"/>
        <v>0</v>
      </c>
      <c r="BP234" s="136">
        <f t="shared" si="143"/>
        <v>0</v>
      </c>
      <c r="BQ234" s="136">
        <f t="shared" si="143"/>
        <v>0</v>
      </c>
      <c r="BR234" s="136">
        <f t="shared" si="143"/>
        <v>0</v>
      </c>
      <c r="BS234" s="136">
        <f t="shared" si="143"/>
        <v>0</v>
      </c>
      <c r="BT234" s="136">
        <f t="shared" si="143"/>
        <v>0</v>
      </c>
      <c r="BU234" s="136">
        <f t="shared" si="143"/>
        <v>0</v>
      </c>
      <c r="BV234" s="136">
        <f t="shared" si="143"/>
        <v>0</v>
      </c>
      <c r="BW234" s="136">
        <f t="shared" si="143"/>
        <v>9</v>
      </c>
      <c r="BX234" s="136">
        <f t="shared" si="143"/>
        <v>1</v>
      </c>
      <c r="BY234" s="136">
        <f t="shared" si="143"/>
        <v>0</v>
      </c>
      <c r="BZ234" s="136">
        <f t="shared" si="143"/>
        <v>10</v>
      </c>
      <c r="CA234" s="136">
        <f t="shared" si="143"/>
        <v>8</v>
      </c>
      <c r="CB234" s="136">
        <f t="shared" si="143"/>
        <v>1</v>
      </c>
      <c r="CC234" s="136">
        <f t="shared" si="143"/>
        <v>0</v>
      </c>
      <c r="CD234" s="136">
        <f t="shared" si="143"/>
        <v>9</v>
      </c>
      <c r="CE234" s="136">
        <f t="shared" si="143"/>
        <v>1</v>
      </c>
      <c r="CF234" s="136">
        <f t="shared" si="143"/>
        <v>0</v>
      </c>
      <c r="CG234" s="136">
        <f t="shared" si="143"/>
        <v>0</v>
      </c>
      <c r="CH234" s="136">
        <f t="shared" si="143"/>
        <v>1</v>
      </c>
      <c r="CI234" s="136">
        <f t="shared" si="143"/>
        <v>0</v>
      </c>
      <c r="CJ234" s="136">
        <f t="shared" si="143"/>
        <v>0</v>
      </c>
      <c r="CK234" s="136">
        <f t="shared" si="143"/>
        <v>0</v>
      </c>
      <c r="CL234" s="136">
        <f t="shared" si="143"/>
        <v>0</v>
      </c>
      <c r="CM234" s="136">
        <f t="shared" si="143"/>
        <v>0</v>
      </c>
      <c r="CN234" s="136">
        <f t="shared" si="143"/>
        <v>0</v>
      </c>
      <c r="CO234" s="136">
        <f t="shared" si="143"/>
        <v>0</v>
      </c>
      <c r="CP234" s="136">
        <f t="shared" si="143"/>
        <v>0</v>
      </c>
      <c r="CQ234" s="136">
        <f t="shared" si="143"/>
        <v>9</v>
      </c>
      <c r="CR234" s="136">
        <f t="shared" si="143"/>
        <v>1</v>
      </c>
      <c r="CS234" s="136">
        <f t="shared" si="143"/>
        <v>0</v>
      </c>
      <c r="CT234" s="136">
        <f t="shared" si="143"/>
        <v>10</v>
      </c>
      <c r="CU234" s="542" t="str">
        <f t="shared" si="148"/>
        <v/>
      </c>
      <c r="CV234" s="542" t="str">
        <f t="shared" si="149"/>
        <v/>
      </c>
      <c r="CW234" s="542" t="str">
        <f t="shared" si="150"/>
        <v/>
      </c>
      <c r="CX234" s="542" t="str">
        <f t="shared" si="151"/>
        <v/>
      </c>
    </row>
    <row r="235" spans="53:102" x14ac:dyDescent="0.25">
      <c r="BA235" s="277">
        <f t="shared" si="145"/>
        <v>12</v>
      </c>
      <c r="BB235" s="136" t="str">
        <f t="shared" si="146"/>
        <v>Rs. 10 lakhs and above</v>
      </c>
      <c r="BC235" s="136">
        <f t="shared" si="147"/>
        <v>0</v>
      </c>
      <c r="BD235" s="136">
        <f t="shared" si="143"/>
        <v>0</v>
      </c>
      <c r="BE235" s="136">
        <f t="shared" si="143"/>
        <v>0</v>
      </c>
      <c r="BF235" s="136">
        <f t="shared" si="143"/>
        <v>0</v>
      </c>
      <c r="BG235" s="136">
        <f t="shared" si="143"/>
        <v>0</v>
      </c>
      <c r="BH235" s="136">
        <f t="shared" si="143"/>
        <v>0</v>
      </c>
      <c r="BI235" s="136">
        <f t="shared" si="143"/>
        <v>0</v>
      </c>
      <c r="BJ235" s="136">
        <f t="shared" si="143"/>
        <v>0</v>
      </c>
      <c r="BK235" s="136">
        <f t="shared" si="143"/>
        <v>0</v>
      </c>
      <c r="BL235" s="136">
        <f t="shared" si="143"/>
        <v>0</v>
      </c>
      <c r="BM235" s="136">
        <f t="shared" si="143"/>
        <v>0</v>
      </c>
      <c r="BN235" s="136">
        <f t="shared" si="143"/>
        <v>0</v>
      </c>
      <c r="BO235" s="136">
        <f t="shared" si="143"/>
        <v>0</v>
      </c>
      <c r="BP235" s="136">
        <f t="shared" si="143"/>
        <v>0</v>
      </c>
      <c r="BQ235" s="136">
        <f t="shared" si="143"/>
        <v>0</v>
      </c>
      <c r="BR235" s="136">
        <f t="shared" si="143"/>
        <v>0</v>
      </c>
      <c r="BS235" s="136">
        <f t="shared" si="143"/>
        <v>0</v>
      </c>
      <c r="BT235" s="136">
        <f t="shared" si="143"/>
        <v>0</v>
      </c>
      <c r="BU235" s="136">
        <f t="shared" si="143"/>
        <v>0</v>
      </c>
      <c r="BV235" s="136">
        <f t="shared" si="143"/>
        <v>0</v>
      </c>
      <c r="BW235" s="136">
        <f t="shared" si="143"/>
        <v>0</v>
      </c>
      <c r="BX235" s="136">
        <f t="shared" si="143"/>
        <v>0</v>
      </c>
      <c r="BY235" s="136">
        <f t="shared" si="143"/>
        <v>0</v>
      </c>
      <c r="BZ235" s="136">
        <f t="shared" si="143"/>
        <v>0</v>
      </c>
      <c r="CA235" s="136">
        <f t="shared" si="143"/>
        <v>0</v>
      </c>
      <c r="CB235" s="136">
        <f t="shared" si="143"/>
        <v>0</v>
      </c>
      <c r="CC235" s="136">
        <f t="shared" si="143"/>
        <v>0</v>
      </c>
      <c r="CD235" s="136">
        <f t="shared" si="143"/>
        <v>0</v>
      </c>
      <c r="CE235" s="136">
        <f t="shared" si="143"/>
        <v>0</v>
      </c>
      <c r="CF235" s="136">
        <f t="shared" si="143"/>
        <v>0</v>
      </c>
      <c r="CG235" s="136">
        <f t="shared" si="143"/>
        <v>0</v>
      </c>
      <c r="CH235" s="136">
        <f t="shared" si="143"/>
        <v>0</v>
      </c>
      <c r="CI235" s="136">
        <f t="shared" si="143"/>
        <v>0</v>
      </c>
      <c r="CJ235" s="136">
        <f t="shared" si="143"/>
        <v>0</v>
      </c>
      <c r="CK235" s="136">
        <f t="shared" si="143"/>
        <v>0</v>
      </c>
      <c r="CL235" s="136">
        <f t="shared" si="143"/>
        <v>0</v>
      </c>
      <c r="CM235" s="136">
        <f t="shared" si="143"/>
        <v>0</v>
      </c>
      <c r="CN235" s="136">
        <f t="shared" si="143"/>
        <v>0</v>
      </c>
      <c r="CO235" s="136">
        <f t="shared" si="143"/>
        <v>0</v>
      </c>
      <c r="CP235" s="136">
        <f t="shared" si="143"/>
        <v>0</v>
      </c>
      <c r="CQ235" s="136">
        <f t="shared" si="143"/>
        <v>0</v>
      </c>
      <c r="CR235" s="136">
        <f t="shared" si="143"/>
        <v>0</v>
      </c>
      <c r="CS235" s="136">
        <f t="shared" si="143"/>
        <v>0</v>
      </c>
      <c r="CT235" s="136">
        <f t="shared" si="143"/>
        <v>0</v>
      </c>
      <c r="CU235" s="542" t="str">
        <f t="shared" si="148"/>
        <v/>
      </c>
      <c r="CV235" s="542" t="str">
        <f t="shared" si="149"/>
        <v/>
      </c>
      <c r="CW235" s="542" t="str">
        <f t="shared" si="150"/>
        <v/>
      </c>
      <c r="CX235" s="542" t="str">
        <f t="shared" si="151"/>
        <v/>
      </c>
    </row>
    <row r="236" spans="53:102" ht="30" customHeight="1" x14ac:dyDescent="0.25">
      <c r="BA236" s="277">
        <f t="shared" si="145"/>
        <v>13</v>
      </c>
      <c r="BB236" s="140" t="str">
        <f t="shared" si="146"/>
        <v>Total (Economic Status) (sum of Sl. 9 to 12)</v>
      </c>
      <c r="BC236" s="136">
        <f t="shared" si="147"/>
        <v>182</v>
      </c>
      <c r="BD236" s="136">
        <f t="shared" si="143"/>
        <v>50</v>
      </c>
      <c r="BE236" s="136">
        <f t="shared" si="143"/>
        <v>0</v>
      </c>
      <c r="BF236" s="136">
        <f t="shared" si="143"/>
        <v>232</v>
      </c>
      <c r="BG236" s="136">
        <f t="shared" si="143"/>
        <v>17</v>
      </c>
      <c r="BH236" s="136">
        <f t="shared" si="143"/>
        <v>6</v>
      </c>
      <c r="BI236" s="136">
        <f t="shared" si="143"/>
        <v>0</v>
      </c>
      <c r="BJ236" s="136">
        <f t="shared" si="143"/>
        <v>23</v>
      </c>
      <c r="BK236" s="136">
        <f t="shared" si="143"/>
        <v>45</v>
      </c>
      <c r="BL236" s="136">
        <f t="shared" si="143"/>
        <v>16</v>
      </c>
      <c r="BM236" s="136">
        <f t="shared" si="143"/>
        <v>0</v>
      </c>
      <c r="BN236" s="136">
        <f t="shared" si="143"/>
        <v>61</v>
      </c>
      <c r="BO236" s="136">
        <f t="shared" si="143"/>
        <v>0</v>
      </c>
      <c r="BP236" s="136">
        <f t="shared" si="143"/>
        <v>0</v>
      </c>
      <c r="BQ236" s="136">
        <f t="shared" si="143"/>
        <v>0</v>
      </c>
      <c r="BR236" s="136">
        <f t="shared" si="143"/>
        <v>0</v>
      </c>
      <c r="BS236" s="136">
        <f t="shared" si="143"/>
        <v>5</v>
      </c>
      <c r="BT236" s="136">
        <f t="shared" si="143"/>
        <v>0</v>
      </c>
      <c r="BU236" s="136">
        <f t="shared" si="143"/>
        <v>0</v>
      </c>
      <c r="BV236" s="136">
        <f t="shared" si="143"/>
        <v>5</v>
      </c>
      <c r="BW236" s="136">
        <f t="shared" si="143"/>
        <v>249</v>
      </c>
      <c r="BX236" s="136">
        <f t="shared" si="143"/>
        <v>72</v>
      </c>
      <c r="BY236" s="136">
        <f t="shared" si="143"/>
        <v>0</v>
      </c>
      <c r="BZ236" s="136">
        <f t="shared" si="143"/>
        <v>321</v>
      </c>
      <c r="CA236" s="136">
        <f t="shared" si="143"/>
        <v>222</v>
      </c>
      <c r="CB236" s="136">
        <f t="shared" si="143"/>
        <v>65</v>
      </c>
      <c r="CC236" s="136">
        <f t="shared" si="143"/>
        <v>0</v>
      </c>
      <c r="CD236" s="136">
        <f t="shared" si="143"/>
        <v>287</v>
      </c>
      <c r="CE236" s="136">
        <f t="shared" si="143"/>
        <v>17</v>
      </c>
      <c r="CF236" s="136">
        <f t="shared" si="143"/>
        <v>5</v>
      </c>
      <c r="CG236" s="136">
        <f t="shared" si="143"/>
        <v>0</v>
      </c>
      <c r="CH236" s="136">
        <f t="shared" si="143"/>
        <v>22</v>
      </c>
      <c r="CI236" s="136">
        <f t="shared" si="143"/>
        <v>1</v>
      </c>
      <c r="CJ236" s="136">
        <f t="shared" si="143"/>
        <v>1</v>
      </c>
      <c r="CK236" s="136">
        <f t="shared" si="143"/>
        <v>0</v>
      </c>
      <c r="CL236" s="136">
        <f t="shared" si="143"/>
        <v>2</v>
      </c>
      <c r="CM236" s="136">
        <f t="shared" si="143"/>
        <v>9</v>
      </c>
      <c r="CN236" s="136">
        <f t="shared" si="143"/>
        <v>1</v>
      </c>
      <c r="CO236" s="136">
        <f t="shared" si="143"/>
        <v>0</v>
      </c>
      <c r="CP236" s="136">
        <f t="shared" si="143"/>
        <v>10</v>
      </c>
      <c r="CQ236" s="136">
        <f t="shared" si="143"/>
        <v>249</v>
      </c>
      <c r="CR236" s="136">
        <f t="shared" si="143"/>
        <v>72</v>
      </c>
      <c r="CS236" s="136">
        <f t="shared" si="143"/>
        <v>0</v>
      </c>
      <c r="CT236" s="136">
        <f t="shared" si="143"/>
        <v>321</v>
      </c>
      <c r="CU236" s="542" t="str">
        <f t="shared" si="148"/>
        <v/>
      </c>
      <c r="CV236" s="542" t="str">
        <f t="shared" si="149"/>
        <v/>
      </c>
      <c r="CW236" s="542" t="str">
        <f t="shared" si="150"/>
        <v/>
      </c>
      <c r="CX236" s="542" t="str">
        <f t="shared" si="151"/>
        <v/>
      </c>
    </row>
    <row r="237" spans="53:102" x14ac:dyDescent="0.25">
      <c r="BA237" s="759" t="str">
        <f>A33</f>
        <v>VALIDATION: ECONOMIC STATUS</v>
      </c>
      <c r="BB237" s="761"/>
      <c r="BC237" s="759"/>
      <c r="BD237" s="760"/>
      <c r="BE237" s="760"/>
      <c r="BF237" s="760"/>
      <c r="BG237" s="760"/>
      <c r="BH237" s="760"/>
      <c r="BI237" s="760"/>
      <c r="BJ237" s="760"/>
      <c r="BK237" s="760"/>
      <c r="BL237" s="760"/>
      <c r="BM237" s="760"/>
      <c r="BN237" s="760"/>
      <c r="BO237" s="760"/>
      <c r="BP237" s="760"/>
      <c r="BQ237" s="760"/>
      <c r="BR237" s="760"/>
      <c r="BS237" s="760"/>
      <c r="BT237" s="760"/>
      <c r="BU237" s="760"/>
      <c r="BV237" s="761"/>
      <c r="BW237" s="623" t="str">
        <f>X33</f>
        <v>Religion Total</v>
      </c>
      <c r="BX237" s="755"/>
      <c r="BY237" s="755"/>
      <c r="BZ237" s="624"/>
      <c r="CA237" s="759"/>
      <c r="CB237" s="760"/>
      <c r="CC237" s="760"/>
      <c r="CD237" s="760"/>
      <c r="CE237" s="760"/>
      <c r="CF237" s="760"/>
      <c r="CG237" s="760"/>
      <c r="CH237" s="760"/>
      <c r="CI237" s="760"/>
      <c r="CJ237" s="760"/>
      <c r="CK237" s="760"/>
      <c r="CL237" s="760"/>
      <c r="CM237" s="760"/>
      <c r="CN237" s="760"/>
      <c r="CO237" s="760"/>
      <c r="CP237" s="761"/>
      <c r="CQ237" s="623" t="str">
        <f>AR33</f>
        <v>Caste Total</v>
      </c>
      <c r="CR237" s="755"/>
      <c r="CS237" s="755"/>
      <c r="CT237" s="624"/>
      <c r="CU237" s="541"/>
      <c r="CV237" s="541"/>
      <c r="CW237" s="541"/>
      <c r="CX237" s="541"/>
    </row>
    <row r="238" spans="53:102" x14ac:dyDescent="0.25">
      <c r="BA238" s="762"/>
      <c r="BB238" s="764"/>
      <c r="BC238" s="762"/>
      <c r="BD238" s="763"/>
      <c r="BE238" s="763"/>
      <c r="BF238" s="763"/>
      <c r="BG238" s="763"/>
      <c r="BH238" s="763"/>
      <c r="BI238" s="763"/>
      <c r="BJ238" s="763"/>
      <c r="BK238" s="763"/>
      <c r="BL238" s="763"/>
      <c r="BM238" s="763"/>
      <c r="BN238" s="763"/>
      <c r="BO238" s="763"/>
      <c r="BP238" s="763"/>
      <c r="BQ238" s="763"/>
      <c r="BR238" s="763"/>
      <c r="BS238" s="763"/>
      <c r="BT238" s="763"/>
      <c r="BU238" s="763"/>
      <c r="BV238" s="764"/>
      <c r="BW238" s="307" t="str">
        <f>X34</f>
        <v>Male</v>
      </c>
      <c r="BX238" s="307" t="str">
        <f t="shared" ref="BX238:BZ238" si="152">Y34</f>
        <v>Female</v>
      </c>
      <c r="BY238" s="307" t="str">
        <f t="shared" si="152"/>
        <v>Transgender</v>
      </c>
      <c r="BZ238" s="307" t="str">
        <f t="shared" si="152"/>
        <v>Total</v>
      </c>
      <c r="CA238" s="762"/>
      <c r="CB238" s="763"/>
      <c r="CC238" s="763"/>
      <c r="CD238" s="763"/>
      <c r="CE238" s="763"/>
      <c r="CF238" s="763"/>
      <c r="CG238" s="763"/>
      <c r="CH238" s="763"/>
      <c r="CI238" s="763"/>
      <c r="CJ238" s="763"/>
      <c r="CK238" s="763"/>
      <c r="CL238" s="763"/>
      <c r="CM238" s="763"/>
      <c r="CN238" s="763"/>
      <c r="CO238" s="763"/>
      <c r="CP238" s="764"/>
      <c r="CQ238" s="307" t="str">
        <f>AR34</f>
        <v>Male</v>
      </c>
      <c r="CR238" s="307" t="str">
        <f t="shared" ref="CR238:CT238" si="153">AS34</f>
        <v>Female</v>
      </c>
      <c r="CS238" s="307" t="str">
        <f t="shared" si="153"/>
        <v>Transgender</v>
      </c>
      <c r="CT238" s="307" t="str">
        <f t="shared" si="153"/>
        <v>Total</v>
      </c>
      <c r="CU238" s="541"/>
      <c r="CV238" s="541"/>
      <c r="CW238" s="541"/>
      <c r="CX238" s="541"/>
    </row>
    <row r="239" spans="53:102" ht="27.75" customHeight="1" x14ac:dyDescent="0.25">
      <c r="BA239" s="678" t="str">
        <f>A35</f>
        <v xml:space="preserve"> PROFORMA–XVI VALUES (Religion vs. Caste of Victims)</v>
      </c>
      <c r="BB239" s="679"/>
      <c r="BC239" s="623"/>
      <c r="BD239" s="755"/>
      <c r="BE239" s="755"/>
      <c r="BF239" s="755"/>
      <c r="BG239" s="755"/>
      <c r="BH239" s="755"/>
      <c r="BI239" s="755"/>
      <c r="BJ239" s="755"/>
      <c r="BK239" s="755"/>
      <c r="BL239" s="755"/>
      <c r="BM239" s="755"/>
      <c r="BN239" s="755"/>
      <c r="BO239" s="755"/>
      <c r="BP239" s="755"/>
      <c r="BQ239" s="755"/>
      <c r="BR239" s="755"/>
      <c r="BS239" s="755"/>
      <c r="BT239" s="755"/>
      <c r="BU239" s="755"/>
      <c r="BV239" s="624"/>
      <c r="BW239" s="136">
        <f>X35</f>
        <v>249</v>
      </c>
      <c r="BX239" s="136">
        <f t="shared" ref="BX239:BZ239" si="154">Y35</f>
        <v>72</v>
      </c>
      <c r="BY239" s="136">
        <f t="shared" si="154"/>
        <v>0</v>
      </c>
      <c r="BZ239" s="136">
        <f t="shared" si="154"/>
        <v>321</v>
      </c>
      <c r="CA239" s="623"/>
      <c r="CB239" s="755"/>
      <c r="CC239" s="755"/>
      <c r="CD239" s="755"/>
      <c r="CE239" s="755"/>
      <c r="CF239" s="755"/>
      <c r="CG239" s="755"/>
      <c r="CH239" s="755"/>
      <c r="CI239" s="755"/>
      <c r="CJ239" s="755"/>
      <c r="CK239" s="755"/>
      <c r="CL239" s="755"/>
      <c r="CM239" s="755"/>
      <c r="CN239" s="755"/>
      <c r="CO239" s="755"/>
      <c r="CP239" s="624"/>
      <c r="CQ239" s="307">
        <f t="shared" ref="CQ239:CQ242" si="155">AR35</f>
        <v>249</v>
      </c>
      <c r="CR239" s="307">
        <f t="shared" ref="CR239:CR242" si="156">AS35</f>
        <v>72</v>
      </c>
      <c r="CS239" s="307">
        <f t="shared" ref="CS239:CS242" si="157">AT35</f>
        <v>0</v>
      </c>
      <c r="CT239" s="520">
        <f t="shared" ref="CT239:CT242" si="158">AU35</f>
        <v>321</v>
      </c>
      <c r="CU239" s="541"/>
      <c r="CV239" s="541"/>
      <c r="CW239" s="541"/>
      <c r="CX239" s="541"/>
    </row>
    <row r="240" spans="53:102" ht="42.75" customHeight="1" x14ac:dyDescent="0.25">
      <c r="BA240" s="678" t="str">
        <f>A36</f>
        <v>VALIDATION WITHIN PROFORMA–XVI (Religion vs. Caste of Victims)</v>
      </c>
      <c r="BB240" s="679"/>
      <c r="BC240" s="623"/>
      <c r="BD240" s="755"/>
      <c r="BE240" s="755"/>
      <c r="BF240" s="755"/>
      <c r="BG240" s="755"/>
      <c r="BH240" s="755"/>
      <c r="BI240" s="755"/>
      <c r="BJ240" s="755"/>
      <c r="BK240" s="755"/>
      <c r="BL240" s="755"/>
      <c r="BM240" s="755"/>
      <c r="BN240" s="755"/>
      <c r="BO240" s="755"/>
      <c r="BP240" s="755"/>
      <c r="BQ240" s="755"/>
      <c r="BR240" s="755"/>
      <c r="BS240" s="755"/>
      <c r="BT240" s="755"/>
      <c r="BU240" s="755"/>
      <c r="BV240" s="624"/>
      <c r="BW240" s="136" t="str">
        <f t="shared" ref="BW240:BW242" si="159">X36</f>
        <v/>
      </c>
      <c r="BX240" s="136" t="str">
        <f t="shared" ref="BX240:BX242" si="160">Y36</f>
        <v/>
      </c>
      <c r="BY240" s="136" t="str">
        <f t="shared" ref="BY240:BY242" si="161">Z36</f>
        <v/>
      </c>
      <c r="BZ240" s="136" t="str">
        <f t="shared" ref="BZ240:BZ242" si="162">AA36</f>
        <v/>
      </c>
      <c r="CA240" s="623"/>
      <c r="CB240" s="755"/>
      <c r="CC240" s="755"/>
      <c r="CD240" s="755"/>
      <c r="CE240" s="755"/>
      <c r="CF240" s="755"/>
      <c r="CG240" s="755"/>
      <c r="CH240" s="755"/>
      <c r="CI240" s="755"/>
      <c r="CJ240" s="755"/>
      <c r="CK240" s="755"/>
      <c r="CL240" s="755"/>
      <c r="CM240" s="755"/>
      <c r="CN240" s="755"/>
      <c r="CO240" s="755"/>
      <c r="CP240" s="624"/>
      <c r="CQ240" s="307" t="str">
        <f t="shared" si="155"/>
        <v/>
      </c>
      <c r="CR240" s="307" t="str">
        <f t="shared" si="156"/>
        <v/>
      </c>
      <c r="CS240" s="307" t="str">
        <f t="shared" si="157"/>
        <v/>
      </c>
      <c r="CT240" s="520" t="str">
        <f t="shared" si="158"/>
        <v/>
      </c>
      <c r="CU240" s="541"/>
      <c r="CV240" s="541"/>
      <c r="CW240" s="541"/>
      <c r="CX240" s="541"/>
    </row>
    <row r="241" spans="53:102" ht="29.25" customHeight="1" x14ac:dyDescent="0.25">
      <c r="BA241" s="678" t="str">
        <f>A37</f>
        <v xml:space="preserve"> PROFORMA–XIV VALUES [Sl.–21 (Total)]</v>
      </c>
      <c r="BB241" s="679"/>
      <c r="BC241" s="623"/>
      <c r="BD241" s="755"/>
      <c r="BE241" s="755"/>
      <c r="BF241" s="755"/>
      <c r="BG241" s="755"/>
      <c r="BH241" s="755"/>
      <c r="BI241" s="755"/>
      <c r="BJ241" s="755"/>
      <c r="BK241" s="755"/>
      <c r="BL241" s="755"/>
      <c r="BM241" s="755"/>
      <c r="BN241" s="755"/>
      <c r="BO241" s="755"/>
      <c r="BP241" s="755"/>
      <c r="BQ241" s="755"/>
      <c r="BR241" s="755"/>
      <c r="BS241" s="755"/>
      <c r="BT241" s="755"/>
      <c r="BU241" s="755"/>
      <c r="BV241" s="624"/>
      <c r="BW241" s="136">
        <f t="shared" si="159"/>
        <v>249</v>
      </c>
      <c r="BX241" s="136">
        <f t="shared" si="160"/>
        <v>72</v>
      </c>
      <c r="BY241" s="136">
        <f t="shared" si="161"/>
        <v>0</v>
      </c>
      <c r="BZ241" s="136">
        <f t="shared" si="162"/>
        <v>321</v>
      </c>
      <c r="CA241" s="623"/>
      <c r="CB241" s="755"/>
      <c r="CC241" s="755"/>
      <c r="CD241" s="755"/>
      <c r="CE241" s="755"/>
      <c r="CF241" s="755"/>
      <c r="CG241" s="755"/>
      <c r="CH241" s="755"/>
      <c r="CI241" s="755"/>
      <c r="CJ241" s="755"/>
      <c r="CK241" s="755"/>
      <c r="CL241" s="755"/>
      <c r="CM241" s="755"/>
      <c r="CN241" s="755"/>
      <c r="CO241" s="755"/>
      <c r="CP241" s="624"/>
      <c r="CQ241" s="307">
        <f t="shared" si="155"/>
        <v>249</v>
      </c>
      <c r="CR241" s="307">
        <f t="shared" si="156"/>
        <v>72</v>
      </c>
      <c r="CS241" s="307">
        <f t="shared" si="157"/>
        <v>0</v>
      </c>
      <c r="CT241" s="520">
        <f t="shared" si="158"/>
        <v>321</v>
      </c>
      <c r="CU241" s="541"/>
      <c r="CV241" s="541"/>
      <c r="CW241" s="541"/>
      <c r="CX241" s="541"/>
    </row>
    <row r="242" spans="53:102" ht="42.75" customHeight="1" x14ac:dyDescent="0.25">
      <c r="BA242" s="678" t="str">
        <f>A38</f>
        <v>VALIDATION WITH PROFORMA–XIV [Sl.–21 (Total)]</v>
      </c>
      <c r="BB242" s="679"/>
      <c r="BC242" s="623"/>
      <c r="BD242" s="755"/>
      <c r="BE242" s="755"/>
      <c r="BF242" s="755"/>
      <c r="BG242" s="755"/>
      <c r="BH242" s="755"/>
      <c r="BI242" s="755"/>
      <c r="BJ242" s="755"/>
      <c r="BK242" s="755"/>
      <c r="BL242" s="755"/>
      <c r="BM242" s="755"/>
      <c r="BN242" s="755"/>
      <c r="BO242" s="755"/>
      <c r="BP242" s="755"/>
      <c r="BQ242" s="755"/>
      <c r="BR242" s="755"/>
      <c r="BS242" s="755"/>
      <c r="BT242" s="755"/>
      <c r="BU242" s="755"/>
      <c r="BV242" s="624"/>
      <c r="BW242" s="136" t="str">
        <f t="shared" si="159"/>
        <v/>
      </c>
      <c r="BX242" s="136" t="str">
        <f t="shared" si="160"/>
        <v/>
      </c>
      <c r="BY242" s="136" t="str">
        <f t="shared" si="161"/>
        <v/>
      </c>
      <c r="BZ242" s="136" t="str">
        <f t="shared" si="162"/>
        <v/>
      </c>
      <c r="CA242" s="623"/>
      <c r="CB242" s="755"/>
      <c r="CC242" s="755"/>
      <c r="CD242" s="755"/>
      <c r="CE242" s="755"/>
      <c r="CF242" s="755"/>
      <c r="CG242" s="755"/>
      <c r="CH242" s="755"/>
      <c r="CI242" s="755"/>
      <c r="CJ242" s="755"/>
      <c r="CK242" s="755"/>
      <c r="CL242" s="755"/>
      <c r="CM242" s="755"/>
      <c r="CN242" s="755"/>
      <c r="CO242" s="755"/>
      <c r="CP242" s="624"/>
      <c r="CQ242" s="307" t="str">
        <f t="shared" si="155"/>
        <v/>
      </c>
      <c r="CR242" s="307" t="str">
        <f t="shared" si="156"/>
        <v/>
      </c>
      <c r="CS242" s="307" t="str">
        <f t="shared" si="157"/>
        <v/>
      </c>
      <c r="CT242" s="520" t="str">
        <f t="shared" si="158"/>
        <v/>
      </c>
      <c r="CU242" s="541"/>
      <c r="CV242" s="541"/>
      <c r="CW242" s="541"/>
      <c r="CX242" s="541"/>
    </row>
    <row r="451" spans="1:48" x14ac:dyDescent="0.25">
      <c r="A451" s="204" t="s">
        <v>451</v>
      </c>
      <c r="B451" s="204" t="s">
        <v>450</v>
      </c>
      <c r="C451" s="204" t="s">
        <v>452</v>
      </c>
      <c r="D451" s="204" t="s">
        <v>453</v>
      </c>
      <c r="E451" s="204" t="s">
        <v>527</v>
      </c>
      <c r="F451" s="204" t="s">
        <v>528</v>
      </c>
      <c r="G451" s="204" t="s">
        <v>529</v>
      </c>
      <c r="H451" s="204" t="s">
        <v>530</v>
      </c>
      <c r="I451" s="204" t="s">
        <v>531</v>
      </c>
      <c r="J451" s="204" t="s">
        <v>532</v>
      </c>
      <c r="K451" s="204" t="s">
        <v>533</v>
      </c>
      <c r="L451" s="204" t="s">
        <v>534</v>
      </c>
      <c r="M451" s="204" t="s">
        <v>535</v>
      </c>
      <c r="N451" s="204" t="s">
        <v>536</v>
      </c>
      <c r="O451" s="204" t="s">
        <v>537</v>
      </c>
      <c r="P451" s="204" t="s">
        <v>538</v>
      </c>
      <c r="Q451" s="204" t="s">
        <v>539</v>
      </c>
      <c r="R451" s="204" t="s">
        <v>540</v>
      </c>
      <c r="S451" s="204" t="s">
        <v>541</v>
      </c>
      <c r="T451" s="204" t="s">
        <v>542</v>
      </c>
      <c r="U451" s="204" t="s">
        <v>543</v>
      </c>
      <c r="V451" s="204" t="s">
        <v>544</v>
      </c>
      <c r="W451" s="204" t="s">
        <v>545</v>
      </c>
      <c r="X451" s="204" t="s">
        <v>546</v>
      </c>
      <c r="Y451" s="204" t="s">
        <v>547</v>
      </c>
      <c r="Z451" s="204" t="s">
        <v>548</v>
      </c>
      <c r="AA451" s="204" t="s">
        <v>549</v>
      </c>
      <c r="AB451" s="204" t="s">
        <v>550</v>
      </c>
      <c r="AC451" s="204" t="s">
        <v>551</v>
      </c>
      <c r="AD451" s="204" t="s">
        <v>552</v>
      </c>
      <c r="AE451" s="204" t="s">
        <v>553</v>
      </c>
      <c r="AF451" s="204" t="s">
        <v>554</v>
      </c>
      <c r="AG451" s="204" t="s">
        <v>555</v>
      </c>
      <c r="AH451" s="204" t="s">
        <v>556</v>
      </c>
      <c r="AI451" s="204" t="s">
        <v>557</v>
      </c>
      <c r="AJ451" s="204" t="s">
        <v>558</v>
      </c>
      <c r="AK451" s="204" t="s">
        <v>559</v>
      </c>
      <c r="AL451" s="204" t="s">
        <v>560</v>
      </c>
      <c r="AM451" s="204" t="s">
        <v>561</v>
      </c>
      <c r="AN451" s="204" t="s">
        <v>562</v>
      </c>
      <c r="AO451" s="204" t="s">
        <v>563</v>
      </c>
      <c r="AP451" s="204" t="s">
        <v>564</v>
      </c>
      <c r="AQ451" s="204" t="s">
        <v>565</v>
      </c>
      <c r="AR451" s="204" t="s">
        <v>566</v>
      </c>
      <c r="AS451" s="204" t="s">
        <v>567</v>
      </c>
      <c r="AT451" s="204" t="s">
        <v>568</v>
      </c>
      <c r="AU451" s="204" t="s">
        <v>569</v>
      </c>
      <c r="AV451" s="204" t="s">
        <v>570</v>
      </c>
    </row>
    <row r="452" spans="1:48" x14ac:dyDescent="0.25">
      <c r="A452" s="186" t="str">
        <f ca="1">IF(ADSI!$G$12="",ADSI!$H$16,ADSI!$H$14)</f>
        <v/>
      </c>
      <c r="B452" s="186">
        <f>IF(ADSI!$G$12="",ADSI!$H$16,ADSI!$H$12)</f>
        <v>6</v>
      </c>
      <c r="C452" s="187">
        <f t="shared" ref="C452:C459" si="163">A11</f>
        <v>850</v>
      </c>
      <c r="D452" s="186">
        <f>ADSI!$K$12</f>
        <v>2021</v>
      </c>
      <c r="E452" s="205">
        <f>D11</f>
        <v>64</v>
      </c>
      <c r="F452" s="205">
        <f t="shared" ref="F452:AV452" si="164">E11</f>
        <v>7</v>
      </c>
      <c r="G452" s="205">
        <f t="shared" si="164"/>
        <v>0</v>
      </c>
      <c r="H452" s="205">
        <f t="shared" si="164"/>
        <v>71</v>
      </c>
      <c r="I452" s="205">
        <f t="shared" si="164"/>
        <v>4</v>
      </c>
      <c r="J452" s="205">
        <f t="shared" si="164"/>
        <v>3</v>
      </c>
      <c r="K452" s="205">
        <f t="shared" si="164"/>
        <v>0</v>
      </c>
      <c r="L452" s="205">
        <f t="shared" si="164"/>
        <v>7</v>
      </c>
      <c r="M452" s="205">
        <f t="shared" si="164"/>
        <v>18</v>
      </c>
      <c r="N452" s="205">
        <f t="shared" si="164"/>
        <v>5</v>
      </c>
      <c r="O452" s="205">
        <f t="shared" si="164"/>
        <v>0</v>
      </c>
      <c r="P452" s="205">
        <f t="shared" si="164"/>
        <v>23</v>
      </c>
      <c r="Q452" s="205">
        <f t="shared" si="164"/>
        <v>0</v>
      </c>
      <c r="R452" s="205">
        <f t="shared" si="164"/>
        <v>0</v>
      </c>
      <c r="S452" s="205">
        <f t="shared" si="164"/>
        <v>0</v>
      </c>
      <c r="T452" s="205">
        <f t="shared" si="164"/>
        <v>0</v>
      </c>
      <c r="U452" s="205">
        <f t="shared" si="164"/>
        <v>0</v>
      </c>
      <c r="V452" s="205">
        <f t="shared" si="164"/>
        <v>0</v>
      </c>
      <c r="W452" s="205">
        <f t="shared" si="164"/>
        <v>0</v>
      </c>
      <c r="X452" s="205">
        <f t="shared" si="164"/>
        <v>0</v>
      </c>
      <c r="Y452" s="205">
        <f t="shared" si="164"/>
        <v>86</v>
      </c>
      <c r="Z452" s="205">
        <f t="shared" si="164"/>
        <v>15</v>
      </c>
      <c r="AA452" s="205">
        <f t="shared" si="164"/>
        <v>0</v>
      </c>
      <c r="AB452" s="205">
        <f t="shared" si="164"/>
        <v>101</v>
      </c>
      <c r="AC452" s="205">
        <f t="shared" si="164"/>
        <v>78</v>
      </c>
      <c r="AD452" s="205">
        <f t="shared" si="164"/>
        <v>14</v>
      </c>
      <c r="AE452" s="205">
        <f t="shared" si="164"/>
        <v>0</v>
      </c>
      <c r="AF452" s="205">
        <f t="shared" si="164"/>
        <v>92</v>
      </c>
      <c r="AG452" s="205">
        <f t="shared" si="164"/>
        <v>3</v>
      </c>
      <c r="AH452" s="205">
        <f t="shared" si="164"/>
        <v>1</v>
      </c>
      <c r="AI452" s="205">
        <f t="shared" si="164"/>
        <v>0</v>
      </c>
      <c r="AJ452" s="205">
        <f t="shared" si="164"/>
        <v>4</v>
      </c>
      <c r="AK452" s="205">
        <f t="shared" si="164"/>
        <v>1</v>
      </c>
      <c r="AL452" s="205">
        <f t="shared" si="164"/>
        <v>0</v>
      </c>
      <c r="AM452" s="205">
        <f t="shared" si="164"/>
        <v>0</v>
      </c>
      <c r="AN452" s="205">
        <f t="shared" si="164"/>
        <v>1</v>
      </c>
      <c r="AO452" s="205">
        <f t="shared" si="164"/>
        <v>4</v>
      </c>
      <c r="AP452" s="205">
        <f t="shared" si="164"/>
        <v>0</v>
      </c>
      <c r="AQ452" s="205">
        <f t="shared" si="164"/>
        <v>0</v>
      </c>
      <c r="AR452" s="205">
        <f t="shared" si="164"/>
        <v>4</v>
      </c>
      <c r="AS452" s="205">
        <f t="shared" si="164"/>
        <v>86</v>
      </c>
      <c r="AT452" s="205">
        <f t="shared" si="164"/>
        <v>15</v>
      </c>
      <c r="AU452" s="205">
        <f t="shared" si="164"/>
        <v>0</v>
      </c>
      <c r="AV452" s="205">
        <f t="shared" si="164"/>
        <v>101</v>
      </c>
    </row>
    <row r="453" spans="1:48" x14ac:dyDescent="0.25">
      <c r="A453" s="186" t="str">
        <f ca="1">IF(ADSI!$G$12="",ADSI!$H$16,ADSI!$H$14)</f>
        <v/>
      </c>
      <c r="B453" s="186">
        <f>IF(ADSI!$G$12="",ADSI!$H$16,ADSI!$H$12)</f>
        <v>6</v>
      </c>
      <c r="C453" s="187">
        <f t="shared" si="163"/>
        <v>851</v>
      </c>
      <c r="D453" s="186">
        <f>ADSI!$K$12</f>
        <v>2021</v>
      </c>
      <c r="E453" s="205">
        <f t="shared" ref="E453:AV453" si="165">D12</f>
        <v>116</v>
      </c>
      <c r="F453" s="205">
        <f t="shared" si="165"/>
        <v>39</v>
      </c>
      <c r="G453" s="205">
        <f t="shared" si="165"/>
        <v>0</v>
      </c>
      <c r="H453" s="205">
        <f t="shared" si="165"/>
        <v>155</v>
      </c>
      <c r="I453" s="205">
        <f t="shared" si="165"/>
        <v>13</v>
      </c>
      <c r="J453" s="205">
        <f t="shared" si="165"/>
        <v>3</v>
      </c>
      <c r="K453" s="205">
        <f t="shared" si="165"/>
        <v>0</v>
      </c>
      <c r="L453" s="205">
        <f t="shared" si="165"/>
        <v>16</v>
      </c>
      <c r="M453" s="205">
        <f t="shared" si="165"/>
        <v>27</v>
      </c>
      <c r="N453" s="205">
        <f t="shared" si="165"/>
        <v>10</v>
      </c>
      <c r="O453" s="205">
        <f t="shared" si="165"/>
        <v>0</v>
      </c>
      <c r="P453" s="205">
        <f t="shared" si="165"/>
        <v>37</v>
      </c>
      <c r="Q453" s="205">
        <f t="shared" si="165"/>
        <v>0</v>
      </c>
      <c r="R453" s="205">
        <f t="shared" si="165"/>
        <v>0</v>
      </c>
      <c r="S453" s="205">
        <f t="shared" si="165"/>
        <v>0</v>
      </c>
      <c r="T453" s="205">
        <f t="shared" si="165"/>
        <v>0</v>
      </c>
      <c r="U453" s="205">
        <f t="shared" si="165"/>
        <v>0</v>
      </c>
      <c r="V453" s="205">
        <f t="shared" si="165"/>
        <v>0</v>
      </c>
      <c r="W453" s="205">
        <f t="shared" si="165"/>
        <v>0</v>
      </c>
      <c r="X453" s="205">
        <f t="shared" si="165"/>
        <v>0</v>
      </c>
      <c r="Y453" s="205">
        <f t="shared" si="165"/>
        <v>156</v>
      </c>
      <c r="Z453" s="205">
        <f t="shared" si="165"/>
        <v>52</v>
      </c>
      <c r="AA453" s="205">
        <f t="shared" si="165"/>
        <v>0</v>
      </c>
      <c r="AB453" s="205">
        <f t="shared" si="165"/>
        <v>208</v>
      </c>
      <c r="AC453" s="205">
        <f t="shared" si="165"/>
        <v>137</v>
      </c>
      <c r="AD453" s="205">
        <f t="shared" si="165"/>
        <v>46</v>
      </c>
      <c r="AE453" s="205">
        <f t="shared" si="165"/>
        <v>0</v>
      </c>
      <c r="AF453" s="205">
        <f t="shared" si="165"/>
        <v>183</v>
      </c>
      <c r="AG453" s="205">
        <f t="shared" si="165"/>
        <v>14</v>
      </c>
      <c r="AH453" s="205">
        <f t="shared" si="165"/>
        <v>4</v>
      </c>
      <c r="AI453" s="205">
        <f t="shared" si="165"/>
        <v>0</v>
      </c>
      <c r="AJ453" s="205">
        <f t="shared" si="165"/>
        <v>18</v>
      </c>
      <c r="AK453" s="205">
        <f t="shared" si="165"/>
        <v>0</v>
      </c>
      <c r="AL453" s="205">
        <f t="shared" si="165"/>
        <v>1</v>
      </c>
      <c r="AM453" s="205">
        <f t="shared" si="165"/>
        <v>0</v>
      </c>
      <c r="AN453" s="205">
        <f t="shared" si="165"/>
        <v>1</v>
      </c>
      <c r="AO453" s="205">
        <f t="shared" si="165"/>
        <v>5</v>
      </c>
      <c r="AP453" s="205">
        <f t="shared" si="165"/>
        <v>1</v>
      </c>
      <c r="AQ453" s="205">
        <f t="shared" si="165"/>
        <v>0</v>
      </c>
      <c r="AR453" s="205">
        <f t="shared" si="165"/>
        <v>6</v>
      </c>
      <c r="AS453" s="205">
        <f t="shared" si="165"/>
        <v>156</v>
      </c>
      <c r="AT453" s="205">
        <f t="shared" si="165"/>
        <v>52</v>
      </c>
      <c r="AU453" s="205">
        <f t="shared" si="165"/>
        <v>0</v>
      </c>
      <c r="AV453" s="205">
        <f t="shared" si="165"/>
        <v>208</v>
      </c>
    </row>
    <row r="454" spans="1:48" x14ac:dyDescent="0.25">
      <c r="A454" s="186" t="str">
        <f ca="1">IF(ADSI!$G$12="",ADSI!$H$16,ADSI!$H$14)</f>
        <v/>
      </c>
      <c r="B454" s="186">
        <f>IF(ADSI!$G$12="",ADSI!$H$16,ADSI!$H$12)</f>
        <v>6</v>
      </c>
      <c r="C454" s="187">
        <f t="shared" si="163"/>
        <v>852</v>
      </c>
      <c r="D454" s="186">
        <f>ADSI!$K$12</f>
        <v>2021</v>
      </c>
      <c r="E454" s="205">
        <f t="shared" ref="E454:AV454" si="166">D13</f>
        <v>2</v>
      </c>
      <c r="F454" s="205">
        <f t="shared" si="166"/>
        <v>4</v>
      </c>
      <c r="G454" s="205">
        <f t="shared" si="166"/>
        <v>0</v>
      </c>
      <c r="H454" s="205">
        <f t="shared" si="166"/>
        <v>6</v>
      </c>
      <c r="I454" s="205">
        <f t="shared" si="166"/>
        <v>0</v>
      </c>
      <c r="J454" s="205">
        <f t="shared" si="166"/>
        <v>0</v>
      </c>
      <c r="K454" s="205">
        <f t="shared" si="166"/>
        <v>0</v>
      </c>
      <c r="L454" s="205">
        <f t="shared" si="166"/>
        <v>0</v>
      </c>
      <c r="M454" s="205">
        <f t="shared" si="166"/>
        <v>0</v>
      </c>
      <c r="N454" s="205">
        <f t="shared" si="166"/>
        <v>1</v>
      </c>
      <c r="O454" s="205">
        <f t="shared" si="166"/>
        <v>0</v>
      </c>
      <c r="P454" s="205">
        <f t="shared" si="166"/>
        <v>1</v>
      </c>
      <c r="Q454" s="205">
        <f t="shared" si="166"/>
        <v>0</v>
      </c>
      <c r="R454" s="205">
        <f t="shared" si="166"/>
        <v>0</v>
      </c>
      <c r="S454" s="205">
        <f t="shared" si="166"/>
        <v>0</v>
      </c>
      <c r="T454" s="205">
        <f t="shared" si="166"/>
        <v>0</v>
      </c>
      <c r="U454" s="205">
        <f t="shared" si="166"/>
        <v>0</v>
      </c>
      <c r="V454" s="205">
        <f t="shared" si="166"/>
        <v>0</v>
      </c>
      <c r="W454" s="205">
        <f t="shared" si="166"/>
        <v>0</v>
      </c>
      <c r="X454" s="205">
        <f t="shared" si="166"/>
        <v>0</v>
      </c>
      <c r="Y454" s="205">
        <f t="shared" si="166"/>
        <v>2</v>
      </c>
      <c r="Z454" s="205">
        <f t="shared" si="166"/>
        <v>5</v>
      </c>
      <c r="AA454" s="205">
        <f t="shared" si="166"/>
        <v>0</v>
      </c>
      <c r="AB454" s="205">
        <f t="shared" si="166"/>
        <v>7</v>
      </c>
      <c r="AC454" s="205">
        <f t="shared" si="166"/>
        <v>2</v>
      </c>
      <c r="AD454" s="205">
        <f t="shared" si="166"/>
        <v>5</v>
      </c>
      <c r="AE454" s="205">
        <f t="shared" si="166"/>
        <v>0</v>
      </c>
      <c r="AF454" s="205">
        <f t="shared" si="166"/>
        <v>7</v>
      </c>
      <c r="AG454" s="205">
        <f t="shared" si="166"/>
        <v>0</v>
      </c>
      <c r="AH454" s="205">
        <f t="shared" si="166"/>
        <v>0</v>
      </c>
      <c r="AI454" s="205">
        <f t="shared" si="166"/>
        <v>0</v>
      </c>
      <c r="AJ454" s="205">
        <f t="shared" si="166"/>
        <v>0</v>
      </c>
      <c r="AK454" s="205">
        <f t="shared" si="166"/>
        <v>0</v>
      </c>
      <c r="AL454" s="205">
        <f t="shared" si="166"/>
        <v>0</v>
      </c>
      <c r="AM454" s="205">
        <f t="shared" si="166"/>
        <v>0</v>
      </c>
      <c r="AN454" s="205">
        <f t="shared" si="166"/>
        <v>0</v>
      </c>
      <c r="AO454" s="205">
        <f t="shared" si="166"/>
        <v>0</v>
      </c>
      <c r="AP454" s="205">
        <f t="shared" si="166"/>
        <v>0</v>
      </c>
      <c r="AQ454" s="205">
        <f t="shared" si="166"/>
        <v>0</v>
      </c>
      <c r="AR454" s="205">
        <f t="shared" si="166"/>
        <v>0</v>
      </c>
      <c r="AS454" s="205">
        <f t="shared" si="166"/>
        <v>2</v>
      </c>
      <c r="AT454" s="205">
        <f t="shared" si="166"/>
        <v>5</v>
      </c>
      <c r="AU454" s="205">
        <f t="shared" si="166"/>
        <v>0</v>
      </c>
      <c r="AV454" s="205">
        <f t="shared" si="166"/>
        <v>7</v>
      </c>
    </row>
    <row r="455" spans="1:48" x14ac:dyDescent="0.25">
      <c r="A455" s="186" t="str">
        <f ca="1">IF(ADSI!$G$12="",ADSI!$H$16,ADSI!$H$14)</f>
        <v/>
      </c>
      <c r="B455" s="186">
        <f>IF(ADSI!$G$12="",ADSI!$H$16,ADSI!$H$12)</f>
        <v>6</v>
      </c>
      <c r="C455" s="187">
        <f t="shared" si="163"/>
        <v>853</v>
      </c>
      <c r="D455" s="186">
        <f>ADSI!$K$12</f>
        <v>2021</v>
      </c>
      <c r="E455" s="205">
        <f t="shared" ref="E455:AV455" si="167">D14</f>
        <v>0</v>
      </c>
      <c r="F455" s="205">
        <f t="shared" si="167"/>
        <v>0</v>
      </c>
      <c r="G455" s="205">
        <f t="shared" si="167"/>
        <v>0</v>
      </c>
      <c r="H455" s="205">
        <f t="shared" si="167"/>
        <v>0</v>
      </c>
      <c r="I455" s="205">
        <f t="shared" si="167"/>
        <v>0</v>
      </c>
      <c r="J455" s="205">
        <f t="shared" si="167"/>
        <v>0</v>
      </c>
      <c r="K455" s="205">
        <f t="shared" si="167"/>
        <v>0</v>
      </c>
      <c r="L455" s="205">
        <f t="shared" si="167"/>
        <v>0</v>
      </c>
      <c r="M455" s="205">
        <f t="shared" si="167"/>
        <v>0</v>
      </c>
      <c r="N455" s="205">
        <f t="shared" si="167"/>
        <v>0</v>
      </c>
      <c r="O455" s="205">
        <f t="shared" si="167"/>
        <v>0</v>
      </c>
      <c r="P455" s="205">
        <f t="shared" si="167"/>
        <v>0</v>
      </c>
      <c r="Q455" s="205">
        <f t="shared" si="167"/>
        <v>0</v>
      </c>
      <c r="R455" s="205">
        <f t="shared" si="167"/>
        <v>0</v>
      </c>
      <c r="S455" s="205">
        <f t="shared" si="167"/>
        <v>0</v>
      </c>
      <c r="T455" s="205">
        <f t="shared" si="167"/>
        <v>0</v>
      </c>
      <c r="U455" s="205">
        <f t="shared" si="167"/>
        <v>0</v>
      </c>
      <c r="V455" s="205">
        <f t="shared" si="167"/>
        <v>0</v>
      </c>
      <c r="W455" s="205">
        <f t="shared" si="167"/>
        <v>0</v>
      </c>
      <c r="X455" s="205">
        <f t="shared" si="167"/>
        <v>0</v>
      </c>
      <c r="Y455" s="205">
        <f t="shared" si="167"/>
        <v>0</v>
      </c>
      <c r="Z455" s="205">
        <f t="shared" si="167"/>
        <v>0</v>
      </c>
      <c r="AA455" s="205">
        <f t="shared" si="167"/>
        <v>0</v>
      </c>
      <c r="AB455" s="205">
        <f t="shared" si="167"/>
        <v>0</v>
      </c>
      <c r="AC455" s="205">
        <f t="shared" si="167"/>
        <v>0</v>
      </c>
      <c r="AD455" s="205">
        <f t="shared" si="167"/>
        <v>0</v>
      </c>
      <c r="AE455" s="205">
        <f t="shared" si="167"/>
        <v>0</v>
      </c>
      <c r="AF455" s="205">
        <f t="shared" si="167"/>
        <v>0</v>
      </c>
      <c r="AG455" s="205">
        <f t="shared" si="167"/>
        <v>0</v>
      </c>
      <c r="AH455" s="205">
        <f t="shared" si="167"/>
        <v>0</v>
      </c>
      <c r="AI455" s="205">
        <f t="shared" si="167"/>
        <v>0</v>
      </c>
      <c r="AJ455" s="205">
        <f t="shared" si="167"/>
        <v>0</v>
      </c>
      <c r="AK455" s="205">
        <f t="shared" si="167"/>
        <v>0</v>
      </c>
      <c r="AL455" s="205">
        <f t="shared" si="167"/>
        <v>0</v>
      </c>
      <c r="AM455" s="205">
        <f t="shared" si="167"/>
        <v>0</v>
      </c>
      <c r="AN455" s="205">
        <f t="shared" si="167"/>
        <v>0</v>
      </c>
      <c r="AO455" s="205">
        <f t="shared" si="167"/>
        <v>0</v>
      </c>
      <c r="AP455" s="205">
        <f t="shared" si="167"/>
        <v>0</v>
      </c>
      <c r="AQ455" s="205">
        <f t="shared" si="167"/>
        <v>0</v>
      </c>
      <c r="AR455" s="205">
        <f t="shared" si="167"/>
        <v>0</v>
      </c>
      <c r="AS455" s="205">
        <f t="shared" si="167"/>
        <v>0</v>
      </c>
      <c r="AT455" s="205">
        <f t="shared" si="167"/>
        <v>0</v>
      </c>
      <c r="AU455" s="205">
        <f t="shared" si="167"/>
        <v>0</v>
      </c>
      <c r="AV455" s="205">
        <f t="shared" si="167"/>
        <v>0</v>
      </c>
    </row>
    <row r="456" spans="1:48" x14ac:dyDescent="0.25">
      <c r="A456" s="186" t="str">
        <f ca="1">IF(ADSI!$G$12="",ADSI!$H$16,ADSI!$H$14)</f>
        <v/>
      </c>
      <c r="B456" s="186">
        <f>IF(ADSI!$G$12="",ADSI!$H$16,ADSI!$H$12)</f>
        <v>6</v>
      </c>
      <c r="C456" s="187">
        <f t="shared" si="163"/>
        <v>854</v>
      </c>
      <c r="D456" s="186">
        <f>ADSI!$K$12</f>
        <v>2021</v>
      </c>
      <c r="E456" s="205">
        <f t="shared" ref="E456:AV456" si="168">D15</f>
        <v>0</v>
      </c>
      <c r="F456" s="205">
        <f t="shared" si="168"/>
        <v>0</v>
      </c>
      <c r="G456" s="205">
        <f t="shared" si="168"/>
        <v>0</v>
      </c>
      <c r="H456" s="205">
        <f t="shared" si="168"/>
        <v>0</v>
      </c>
      <c r="I456" s="205">
        <f t="shared" si="168"/>
        <v>0</v>
      </c>
      <c r="J456" s="205">
        <f t="shared" si="168"/>
        <v>0</v>
      </c>
      <c r="K456" s="205">
        <f t="shared" si="168"/>
        <v>0</v>
      </c>
      <c r="L456" s="205">
        <f t="shared" si="168"/>
        <v>0</v>
      </c>
      <c r="M456" s="205">
        <f t="shared" si="168"/>
        <v>0</v>
      </c>
      <c r="N456" s="205">
        <f t="shared" si="168"/>
        <v>0</v>
      </c>
      <c r="O456" s="205">
        <f t="shared" si="168"/>
        <v>0</v>
      </c>
      <c r="P456" s="205">
        <f t="shared" si="168"/>
        <v>0</v>
      </c>
      <c r="Q456" s="205">
        <f t="shared" si="168"/>
        <v>0</v>
      </c>
      <c r="R456" s="205">
        <f t="shared" si="168"/>
        <v>0</v>
      </c>
      <c r="S456" s="205">
        <f t="shared" si="168"/>
        <v>0</v>
      </c>
      <c r="T456" s="205">
        <f t="shared" si="168"/>
        <v>0</v>
      </c>
      <c r="U456" s="205">
        <f t="shared" si="168"/>
        <v>0</v>
      </c>
      <c r="V456" s="205">
        <f t="shared" si="168"/>
        <v>0</v>
      </c>
      <c r="W456" s="205">
        <f t="shared" si="168"/>
        <v>0</v>
      </c>
      <c r="X456" s="205">
        <f t="shared" si="168"/>
        <v>0</v>
      </c>
      <c r="Y456" s="205">
        <f t="shared" si="168"/>
        <v>0</v>
      </c>
      <c r="Z456" s="205">
        <f t="shared" si="168"/>
        <v>0</v>
      </c>
      <c r="AA456" s="205">
        <f t="shared" si="168"/>
        <v>0</v>
      </c>
      <c r="AB456" s="205">
        <f t="shared" si="168"/>
        <v>0</v>
      </c>
      <c r="AC456" s="205">
        <f t="shared" si="168"/>
        <v>0</v>
      </c>
      <c r="AD456" s="205">
        <f t="shared" si="168"/>
        <v>0</v>
      </c>
      <c r="AE456" s="205">
        <f t="shared" si="168"/>
        <v>0</v>
      </c>
      <c r="AF456" s="205">
        <f t="shared" si="168"/>
        <v>0</v>
      </c>
      <c r="AG456" s="205">
        <f t="shared" si="168"/>
        <v>0</v>
      </c>
      <c r="AH456" s="205">
        <f t="shared" si="168"/>
        <v>0</v>
      </c>
      <c r="AI456" s="205">
        <f t="shared" si="168"/>
        <v>0</v>
      </c>
      <c r="AJ456" s="205">
        <f t="shared" si="168"/>
        <v>0</v>
      </c>
      <c r="AK456" s="205">
        <f t="shared" si="168"/>
        <v>0</v>
      </c>
      <c r="AL456" s="205">
        <f t="shared" si="168"/>
        <v>0</v>
      </c>
      <c r="AM456" s="205">
        <f t="shared" si="168"/>
        <v>0</v>
      </c>
      <c r="AN456" s="205">
        <f t="shared" si="168"/>
        <v>0</v>
      </c>
      <c r="AO456" s="205">
        <f t="shared" si="168"/>
        <v>0</v>
      </c>
      <c r="AP456" s="205">
        <f t="shared" si="168"/>
        <v>0</v>
      </c>
      <c r="AQ456" s="205">
        <f t="shared" si="168"/>
        <v>0</v>
      </c>
      <c r="AR456" s="205">
        <f t="shared" si="168"/>
        <v>0</v>
      </c>
      <c r="AS456" s="205">
        <f t="shared" si="168"/>
        <v>0</v>
      </c>
      <c r="AT456" s="205">
        <f t="shared" si="168"/>
        <v>0</v>
      </c>
      <c r="AU456" s="205">
        <f t="shared" si="168"/>
        <v>0</v>
      </c>
      <c r="AV456" s="205">
        <f t="shared" si="168"/>
        <v>0</v>
      </c>
    </row>
    <row r="457" spans="1:48" x14ac:dyDescent="0.25">
      <c r="A457" s="186" t="str">
        <f ca="1">IF(ADSI!$G$12="",ADSI!$H$16,ADSI!$H$14)</f>
        <v/>
      </c>
      <c r="B457" s="186">
        <f>IF(ADSI!$G$12="",ADSI!$H$16,ADSI!$H$12)</f>
        <v>6</v>
      </c>
      <c r="C457" s="187">
        <f t="shared" si="163"/>
        <v>855</v>
      </c>
      <c r="D457" s="186">
        <f>ADSI!$K$12</f>
        <v>2021</v>
      </c>
      <c r="E457" s="205">
        <f t="shared" ref="E457:AV457" si="169">D16</f>
        <v>0</v>
      </c>
      <c r="F457" s="205">
        <f t="shared" si="169"/>
        <v>0</v>
      </c>
      <c r="G457" s="205">
        <f t="shared" si="169"/>
        <v>0</v>
      </c>
      <c r="H457" s="205">
        <f t="shared" si="169"/>
        <v>0</v>
      </c>
      <c r="I457" s="205">
        <f t="shared" si="169"/>
        <v>0</v>
      </c>
      <c r="J457" s="205">
        <f t="shared" si="169"/>
        <v>0</v>
      </c>
      <c r="K457" s="205">
        <f t="shared" si="169"/>
        <v>0</v>
      </c>
      <c r="L457" s="205">
        <f t="shared" si="169"/>
        <v>0</v>
      </c>
      <c r="M457" s="205">
        <f t="shared" si="169"/>
        <v>0</v>
      </c>
      <c r="N457" s="205">
        <f t="shared" si="169"/>
        <v>0</v>
      </c>
      <c r="O457" s="205">
        <f t="shared" si="169"/>
        <v>0</v>
      </c>
      <c r="P457" s="205">
        <f t="shared" si="169"/>
        <v>0</v>
      </c>
      <c r="Q457" s="205">
        <f t="shared" si="169"/>
        <v>0</v>
      </c>
      <c r="R457" s="205">
        <f t="shared" si="169"/>
        <v>0</v>
      </c>
      <c r="S457" s="205">
        <f t="shared" si="169"/>
        <v>0</v>
      </c>
      <c r="T457" s="205">
        <f t="shared" si="169"/>
        <v>0</v>
      </c>
      <c r="U457" s="205">
        <f t="shared" si="169"/>
        <v>0</v>
      </c>
      <c r="V457" s="205">
        <f t="shared" si="169"/>
        <v>0</v>
      </c>
      <c r="W457" s="205">
        <f t="shared" si="169"/>
        <v>0</v>
      </c>
      <c r="X457" s="205">
        <f t="shared" si="169"/>
        <v>0</v>
      </c>
      <c r="Y457" s="205">
        <f t="shared" si="169"/>
        <v>0</v>
      </c>
      <c r="Z457" s="205">
        <f t="shared" si="169"/>
        <v>0</v>
      </c>
      <c r="AA457" s="205">
        <f t="shared" si="169"/>
        <v>0</v>
      </c>
      <c r="AB457" s="205">
        <f t="shared" si="169"/>
        <v>0</v>
      </c>
      <c r="AC457" s="205">
        <f t="shared" si="169"/>
        <v>0</v>
      </c>
      <c r="AD457" s="205">
        <f t="shared" si="169"/>
        <v>0</v>
      </c>
      <c r="AE457" s="205">
        <f t="shared" si="169"/>
        <v>0</v>
      </c>
      <c r="AF457" s="205">
        <f t="shared" si="169"/>
        <v>0</v>
      </c>
      <c r="AG457" s="205">
        <f t="shared" si="169"/>
        <v>0</v>
      </c>
      <c r="AH457" s="205">
        <f t="shared" si="169"/>
        <v>0</v>
      </c>
      <c r="AI457" s="205">
        <f t="shared" si="169"/>
        <v>0</v>
      </c>
      <c r="AJ457" s="205">
        <f t="shared" si="169"/>
        <v>0</v>
      </c>
      <c r="AK457" s="205">
        <f t="shared" si="169"/>
        <v>0</v>
      </c>
      <c r="AL457" s="205">
        <f t="shared" si="169"/>
        <v>0</v>
      </c>
      <c r="AM457" s="205">
        <f t="shared" si="169"/>
        <v>0</v>
      </c>
      <c r="AN457" s="205">
        <f t="shared" si="169"/>
        <v>0</v>
      </c>
      <c r="AO457" s="205">
        <f t="shared" si="169"/>
        <v>0</v>
      </c>
      <c r="AP457" s="205">
        <f t="shared" si="169"/>
        <v>0</v>
      </c>
      <c r="AQ457" s="205">
        <f t="shared" si="169"/>
        <v>0</v>
      </c>
      <c r="AR457" s="205">
        <f t="shared" si="169"/>
        <v>0</v>
      </c>
      <c r="AS457" s="205">
        <f t="shared" si="169"/>
        <v>0</v>
      </c>
      <c r="AT457" s="205">
        <f t="shared" si="169"/>
        <v>0</v>
      </c>
      <c r="AU457" s="205">
        <f t="shared" si="169"/>
        <v>0</v>
      </c>
      <c r="AV457" s="205">
        <f t="shared" si="169"/>
        <v>0</v>
      </c>
    </row>
    <row r="458" spans="1:48" x14ac:dyDescent="0.25">
      <c r="A458" s="186" t="str">
        <f ca="1">IF(ADSI!$G$12="",ADSI!$H$16,ADSI!$H$14)</f>
        <v/>
      </c>
      <c r="B458" s="186">
        <f>IF(ADSI!$G$12="",ADSI!$H$16,ADSI!$H$12)</f>
        <v>6</v>
      </c>
      <c r="C458" s="187">
        <f t="shared" si="163"/>
        <v>856</v>
      </c>
      <c r="D458" s="186">
        <f>ADSI!$K$12</f>
        <v>2021</v>
      </c>
      <c r="E458" s="205">
        <f t="shared" ref="E458:AV458" si="170">D17</f>
        <v>0</v>
      </c>
      <c r="F458" s="205">
        <f t="shared" si="170"/>
        <v>0</v>
      </c>
      <c r="G458" s="205">
        <f t="shared" si="170"/>
        <v>0</v>
      </c>
      <c r="H458" s="205">
        <f t="shared" si="170"/>
        <v>0</v>
      </c>
      <c r="I458" s="205">
        <f t="shared" si="170"/>
        <v>0</v>
      </c>
      <c r="J458" s="205">
        <f t="shared" si="170"/>
        <v>0</v>
      </c>
      <c r="K458" s="205">
        <f t="shared" si="170"/>
        <v>0</v>
      </c>
      <c r="L458" s="205">
        <f t="shared" si="170"/>
        <v>0</v>
      </c>
      <c r="M458" s="205">
        <f t="shared" si="170"/>
        <v>0</v>
      </c>
      <c r="N458" s="205">
        <f t="shared" si="170"/>
        <v>0</v>
      </c>
      <c r="O458" s="205">
        <f t="shared" si="170"/>
        <v>0</v>
      </c>
      <c r="P458" s="205">
        <f t="shared" si="170"/>
        <v>0</v>
      </c>
      <c r="Q458" s="205">
        <f t="shared" si="170"/>
        <v>0</v>
      </c>
      <c r="R458" s="205">
        <f t="shared" si="170"/>
        <v>0</v>
      </c>
      <c r="S458" s="205">
        <f t="shared" si="170"/>
        <v>0</v>
      </c>
      <c r="T458" s="205">
        <f t="shared" si="170"/>
        <v>0</v>
      </c>
      <c r="U458" s="205">
        <f t="shared" si="170"/>
        <v>5</v>
      </c>
      <c r="V458" s="205">
        <f t="shared" si="170"/>
        <v>0</v>
      </c>
      <c r="W458" s="205">
        <f t="shared" si="170"/>
        <v>0</v>
      </c>
      <c r="X458" s="205">
        <f t="shared" si="170"/>
        <v>5</v>
      </c>
      <c r="Y458" s="205">
        <f t="shared" si="170"/>
        <v>5</v>
      </c>
      <c r="Z458" s="205">
        <f t="shared" si="170"/>
        <v>0</v>
      </c>
      <c r="AA458" s="205">
        <f t="shared" si="170"/>
        <v>0</v>
      </c>
      <c r="AB458" s="205">
        <f t="shared" si="170"/>
        <v>5</v>
      </c>
      <c r="AC458" s="205">
        <f t="shared" si="170"/>
        <v>5</v>
      </c>
      <c r="AD458" s="205">
        <f t="shared" si="170"/>
        <v>0</v>
      </c>
      <c r="AE458" s="205">
        <f t="shared" si="170"/>
        <v>0</v>
      </c>
      <c r="AF458" s="205">
        <f t="shared" si="170"/>
        <v>5</v>
      </c>
      <c r="AG458" s="205">
        <f t="shared" si="170"/>
        <v>0</v>
      </c>
      <c r="AH458" s="205">
        <f t="shared" si="170"/>
        <v>0</v>
      </c>
      <c r="AI458" s="205">
        <f t="shared" si="170"/>
        <v>0</v>
      </c>
      <c r="AJ458" s="205">
        <f t="shared" si="170"/>
        <v>0</v>
      </c>
      <c r="AK458" s="205">
        <f t="shared" si="170"/>
        <v>0</v>
      </c>
      <c r="AL458" s="205">
        <f t="shared" si="170"/>
        <v>0</v>
      </c>
      <c r="AM458" s="205">
        <f t="shared" si="170"/>
        <v>0</v>
      </c>
      <c r="AN458" s="205">
        <f t="shared" si="170"/>
        <v>0</v>
      </c>
      <c r="AO458" s="205">
        <f t="shared" si="170"/>
        <v>0</v>
      </c>
      <c r="AP458" s="205">
        <f t="shared" si="170"/>
        <v>0</v>
      </c>
      <c r="AQ458" s="205">
        <f t="shared" si="170"/>
        <v>0</v>
      </c>
      <c r="AR458" s="205">
        <f t="shared" si="170"/>
        <v>0</v>
      </c>
      <c r="AS458" s="205">
        <f t="shared" si="170"/>
        <v>5</v>
      </c>
      <c r="AT458" s="205">
        <f t="shared" si="170"/>
        <v>0</v>
      </c>
      <c r="AU458" s="205">
        <f t="shared" si="170"/>
        <v>0</v>
      </c>
      <c r="AV458" s="205">
        <f t="shared" si="170"/>
        <v>5</v>
      </c>
    </row>
    <row r="459" spans="1:48" x14ac:dyDescent="0.25">
      <c r="A459" s="186" t="str">
        <f ca="1">IF(ADSI!$G$12="",ADSI!$H$16,ADSI!$H$14)</f>
        <v/>
      </c>
      <c r="B459" s="186">
        <f>IF(ADSI!$G$12="",ADSI!$H$16,ADSI!$H$12)</f>
        <v>6</v>
      </c>
      <c r="C459" s="187">
        <f t="shared" si="163"/>
        <v>865</v>
      </c>
      <c r="D459" s="186">
        <f>ADSI!$K$12</f>
        <v>2021</v>
      </c>
      <c r="E459" s="205">
        <f t="shared" ref="E459:AV459" si="171">D18</f>
        <v>182</v>
      </c>
      <c r="F459" s="205">
        <f t="shared" si="171"/>
        <v>50</v>
      </c>
      <c r="G459" s="205">
        <f t="shared" si="171"/>
        <v>0</v>
      </c>
      <c r="H459" s="205">
        <f t="shared" si="171"/>
        <v>232</v>
      </c>
      <c r="I459" s="205">
        <f t="shared" si="171"/>
        <v>17</v>
      </c>
      <c r="J459" s="205">
        <f t="shared" si="171"/>
        <v>6</v>
      </c>
      <c r="K459" s="205">
        <f t="shared" si="171"/>
        <v>0</v>
      </c>
      <c r="L459" s="205">
        <f t="shared" si="171"/>
        <v>23</v>
      </c>
      <c r="M459" s="205">
        <f t="shared" si="171"/>
        <v>45</v>
      </c>
      <c r="N459" s="205">
        <f t="shared" si="171"/>
        <v>16</v>
      </c>
      <c r="O459" s="205">
        <f t="shared" si="171"/>
        <v>0</v>
      </c>
      <c r="P459" s="205">
        <f t="shared" si="171"/>
        <v>61</v>
      </c>
      <c r="Q459" s="205">
        <f t="shared" si="171"/>
        <v>0</v>
      </c>
      <c r="R459" s="205">
        <f t="shared" si="171"/>
        <v>0</v>
      </c>
      <c r="S459" s="205">
        <f t="shared" si="171"/>
        <v>0</v>
      </c>
      <c r="T459" s="205">
        <f t="shared" si="171"/>
        <v>0</v>
      </c>
      <c r="U459" s="205">
        <f t="shared" si="171"/>
        <v>5</v>
      </c>
      <c r="V459" s="205">
        <f t="shared" si="171"/>
        <v>0</v>
      </c>
      <c r="W459" s="205">
        <f t="shared" si="171"/>
        <v>0</v>
      </c>
      <c r="X459" s="205">
        <f t="shared" si="171"/>
        <v>5</v>
      </c>
      <c r="Y459" s="205">
        <f t="shared" si="171"/>
        <v>249</v>
      </c>
      <c r="Z459" s="205">
        <f t="shared" si="171"/>
        <v>72</v>
      </c>
      <c r="AA459" s="205">
        <f t="shared" si="171"/>
        <v>0</v>
      </c>
      <c r="AB459" s="205">
        <f t="shared" si="171"/>
        <v>321</v>
      </c>
      <c r="AC459" s="205">
        <f t="shared" si="171"/>
        <v>222</v>
      </c>
      <c r="AD459" s="205">
        <f t="shared" si="171"/>
        <v>65</v>
      </c>
      <c r="AE459" s="205">
        <f t="shared" si="171"/>
        <v>0</v>
      </c>
      <c r="AF459" s="205">
        <f t="shared" si="171"/>
        <v>287</v>
      </c>
      <c r="AG459" s="205">
        <f t="shared" si="171"/>
        <v>17</v>
      </c>
      <c r="AH459" s="205">
        <f t="shared" si="171"/>
        <v>5</v>
      </c>
      <c r="AI459" s="205">
        <f t="shared" si="171"/>
        <v>0</v>
      </c>
      <c r="AJ459" s="205">
        <f t="shared" si="171"/>
        <v>22</v>
      </c>
      <c r="AK459" s="205">
        <f t="shared" si="171"/>
        <v>1</v>
      </c>
      <c r="AL459" s="205">
        <f t="shared" si="171"/>
        <v>1</v>
      </c>
      <c r="AM459" s="205">
        <f t="shared" si="171"/>
        <v>0</v>
      </c>
      <c r="AN459" s="205">
        <f t="shared" si="171"/>
        <v>2</v>
      </c>
      <c r="AO459" s="205">
        <f t="shared" si="171"/>
        <v>9</v>
      </c>
      <c r="AP459" s="205">
        <f t="shared" si="171"/>
        <v>1</v>
      </c>
      <c r="AQ459" s="205">
        <f t="shared" si="171"/>
        <v>0</v>
      </c>
      <c r="AR459" s="205">
        <f t="shared" si="171"/>
        <v>10</v>
      </c>
      <c r="AS459" s="205">
        <f t="shared" si="171"/>
        <v>249</v>
      </c>
      <c r="AT459" s="205">
        <f t="shared" si="171"/>
        <v>72</v>
      </c>
      <c r="AU459" s="205">
        <f t="shared" si="171"/>
        <v>0</v>
      </c>
      <c r="AV459" s="205">
        <f t="shared" si="171"/>
        <v>321</v>
      </c>
    </row>
    <row r="500" spans="1:48" x14ac:dyDescent="0.25">
      <c r="A500" s="201" t="s">
        <v>450</v>
      </c>
      <c r="B500" s="201" t="s">
        <v>451</v>
      </c>
      <c r="C500" s="201" t="s">
        <v>452</v>
      </c>
      <c r="D500" s="201" t="s">
        <v>453</v>
      </c>
      <c r="E500" s="201" t="s">
        <v>527</v>
      </c>
      <c r="F500" s="201" t="s">
        <v>528</v>
      </c>
      <c r="G500" s="201" t="s">
        <v>529</v>
      </c>
      <c r="H500" s="201" t="s">
        <v>530</v>
      </c>
      <c r="I500" s="201" t="s">
        <v>531</v>
      </c>
      <c r="J500" s="201" t="s">
        <v>532</v>
      </c>
      <c r="K500" s="201" t="s">
        <v>533</v>
      </c>
      <c r="L500" s="201" t="s">
        <v>534</v>
      </c>
      <c r="M500" s="201" t="s">
        <v>535</v>
      </c>
      <c r="N500" s="201" t="s">
        <v>536</v>
      </c>
      <c r="O500" s="201" t="s">
        <v>537</v>
      </c>
      <c r="P500" s="201" t="s">
        <v>538</v>
      </c>
      <c r="Q500" s="201" t="s">
        <v>539</v>
      </c>
      <c r="R500" s="201" t="s">
        <v>540</v>
      </c>
      <c r="S500" s="201" t="s">
        <v>541</v>
      </c>
      <c r="T500" s="201" t="s">
        <v>542</v>
      </c>
      <c r="U500" s="201" t="s">
        <v>543</v>
      </c>
      <c r="V500" s="201" t="s">
        <v>544</v>
      </c>
      <c r="W500" s="201" t="s">
        <v>545</v>
      </c>
      <c r="X500" s="201" t="s">
        <v>546</v>
      </c>
      <c r="Y500" s="201" t="s">
        <v>547</v>
      </c>
      <c r="Z500" s="201" t="s">
        <v>548</v>
      </c>
      <c r="AA500" s="201" t="s">
        <v>549</v>
      </c>
      <c r="AB500" s="201" t="s">
        <v>550</v>
      </c>
      <c r="AC500" s="201" t="s">
        <v>551</v>
      </c>
      <c r="AD500" s="201" t="s">
        <v>552</v>
      </c>
      <c r="AE500" s="201" t="s">
        <v>553</v>
      </c>
      <c r="AF500" s="201" t="s">
        <v>554</v>
      </c>
      <c r="AG500" s="201" t="s">
        <v>555</v>
      </c>
      <c r="AH500" s="201" t="s">
        <v>556</v>
      </c>
      <c r="AI500" s="201" t="s">
        <v>557</v>
      </c>
      <c r="AJ500" s="201" t="s">
        <v>558</v>
      </c>
      <c r="AK500" s="201" t="s">
        <v>559</v>
      </c>
      <c r="AL500" s="201" t="s">
        <v>560</v>
      </c>
      <c r="AM500" s="201" t="s">
        <v>561</v>
      </c>
      <c r="AN500" s="201" t="s">
        <v>562</v>
      </c>
      <c r="AO500" s="201" t="s">
        <v>563</v>
      </c>
      <c r="AP500" s="201" t="s">
        <v>564</v>
      </c>
      <c r="AQ500" s="201" t="s">
        <v>565</v>
      </c>
      <c r="AR500" s="201" t="s">
        <v>566</v>
      </c>
      <c r="AS500" s="201" t="s">
        <v>567</v>
      </c>
      <c r="AT500" s="201" t="s">
        <v>568</v>
      </c>
      <c r="AU500" s="201" t="s">
        <v>569</v>
      </c>
      <c r="AV500" s="201" t="s">
        <v>570</v>
      </c>
    </row>
    <row r="501" spans="1:48" s="365" customFormat="1" ht="12.75" x14ac:dyDescent="0.2">
      <c r="A501" s="348">
        <f>IF(ADSI!$G$12="",ADSI!$H$16,ADSI!$H$12)</f>
        <v>6</v>
      </c>
      <c r="B501" s="348" t="str">
        <f ca="1">IF(ADSI!$G$12="",ADSI!$H$16,ADSI!$H$14)</f>
        <v/>
      </c>
      <c r="C501" s="403">
        <f t="shared" ref="C501:C508" si="172">A11</f>
        <v>850</v>
      </c>
      <c r="D501" s="348">
        <f>ADSI!$K$12</f>
        <v>2021</v>
      </c>
      <c r="E501" s="367">
        <f>D11</f>
        <v>64</v>
      </c>
      <c r="F501" s="367">
        <f t="shared" ref="F501:AV501" si="173">E11</f>
        <v>7</v>
      </c>
      <c r="G501" s="367">
        <f t="shared" si="173"/>
        <v>0</v>
      </c>
      <c r="H501" s="367">
        <f t="shared" si="173"/>
        <v>71</v>
      </c>
      <c r="I501" s="367">
        <f t="shared" si="173"/>
        <v>4</v>
      </c>
      <c r="J501" s="367">
        <f t="shared" si="173"/>
        <v>3</v>
      </c>
      <c r="K501" s="367">
        <f t="shared" si="173"/>
        <v>0</v>
      </c>
      <c r="L501" s="367">
        <f t="shared" si="173"/>
        <v>7</v>
      </c>
      <c r="M501" s="367">
        <f t="shared" si="173"/>
        <v>18</v>
      </c>
      <c r="N501" s="367">
        <f t="shared" si="173"/>
        <v>5</v>
      </c>
      <c r="O501" s="367">
        <f t="shared" si="173"/>
        <v>0</v>
      </c>
      <c r="P501" s="367">
        <f t="shared" si="173"/>
        <v>23</v>
      </c>
      <c r="Q501" s="367">
        <f t="shared" si="173"/>
        <v>0</v>
      </c>
      <c r="R501" s="367">
        <f t="shared" si="173"/>
        <v>0</v>
      </c>
      <c r="S501" s="367">
        <f t="shared" si="173"/>
        <v>0</v>
      </c>
      <c r="T501" s="367">
        <f t="shared" si="173"/>
        <v>0</v>
      </c>
      <c r="U501" s="367">
        <f t="shared" si="173"/>
        <v>0</v>
      </c>
      <c r="V501" s="367">
        <f t="shared" si="173"/>
        <v>0</v>
      </c>
      <c r="W501" s="367">
        <f t="shared" si="173"/>
        <v>0</v>
      </c>
      <c r="X501" s="367">
        <f t="shared" si="173"/>
        <v>0</v>
      </c>
      <c r="Y501" s="367">
        <f t="shared" si="173"/>
        <v>86</v>
      </c>
      <c r="Z501" s="367">
        <f t="shared" si="173"/>
        <v>15</v>
      </c>
      <c r="AA501" s="367">
        <f t="shared" si="173"/>
        <v>0</v>
      </c>
      <c r="AB501" s="367">
        <f t="shared" si="173"/>
        <v>101</v>
      </c>
      <c r="AC501" s="367">
        <f t="shared" si="173"/>
        <v>78</v>
      </c>
      <c r="AD501" s="367">
        <f t="shared" si="173"/>
        <v>14</v>
      </c>
      <c r="AE501" s="367">
        <f t="shared" si="173"/>
        <v>0</v>
      </c>
      <c r="AF501" s="367">
        <f t="shared" si="173"/>
        <v>92</v>
      </c>
      <c r="AG501" s="367">
        <f t="shared" si="173"/>
        <v>3</v>
      </c>
      <c r="AH501" s="367">
        <f t="shared" si="173"/>
        <v>1</v>
      </c>
      <c r="AI501" s="367">
        <f t="shared" si="173"/>
        <v>0</v>
      </c>
      <c r="AJ501" s="367">
        <f t="shared" si="173"/>
        <v>4</v>
      </c>
      <c r="AK501" s="367">
        <f t="shared" si="173"/>
        <v>1</v>
      </c>
      <c r="AL501" s="367">
        <f t="shared" si="173"/>
        <v>0</v>
      </c>
      <c r="AM501" s="367">
        <f t="shared" si="173"/>
        <v>0</v>
      </c>
      <c r="AN501" s="367">
        <f t="shared" si="173"/>
        <v>1</v>
      </c>
      <c r="AO501" s="367">
        <f t="shared" si="173"/>
        <v>4</v>
      </c>
      <c r="AP501" s="367">
        <f t="shared" si="173"/>
        <v>0</v>
      </c>
      <c r="AQ501" s="367">
        <f t="shared" si="173"/>
        <v>0</v>
      </c>
      <c r="AR501" s="367">
        <f t="shared" si="173"/>
        <v>4</v>
      </c>
      <c r="AS501" s="367">
        <f t="shared" si="173"/>
        <v>86</v>
      </c>
      <c r="AT501" s="367">
        <f t="shared" si="173"/>
        <v>15</v>
      </c>
      <c r="AU501" s="367">
        <f t="shared" si="173"/>
        <v>0</v>
      </c>
      <c r="AV501" s="367">
        <f t="shared" si="173"/>
        <v>101</v>
      </c>
    </row>
    <row r="502" spans="1:48" s="365" customFormat="1" ht="12.75" x14ac:dyDescent="0.2">
      <c r="A502" s="348">
        <f>IF(ADSI!$G$12="",ADSI!$H$16,ADSI!$H$12)</f>
        <v>6</v>
      </c>
      <c r="B502" s="348" t="str">
        <f ca="1">IF(ADSI!$G$12="",ADSI!$H$16,ADSI!$H$14)</f>
        <v/>
      </c>
      <c r="C502" s="403">
        <f t="shared" si="172"/>
        <v>851</v>
      </c>
      <c r="D502" s="348">
        <f>ADSI!$K$12</f>
        <v>2021</v>
      </c>
      <c r="E502" s="367">
        <f t="shared" ref="E502:AV502" si="174">D12</f>
        <v>116</v>
      </c>
      <c r="F502" s="367">
        <f t="shared" si="174"/>
        <v>39</v>
      </c>
      <c r="G502" s="367">
        <f t="shared" si="174"/>
        <v>0</v>
      </c>
      <c r="H502" s="367">
        <f t="shared" si="174"/>
        <v>155</v>
      </c>
      <c r="I502" s="367">
        <f t="shared" si="174"/>
        <v>13</v>
      </c>
      <c r="J502" s="367">
        <f t="shared" si="174"/>
        <v>3</v>
      </c>
      <c r="K502" s="367">
        <f t="shared" si="174"/>
        <v>0</v>
      </c>
      <c r="L502" s="367">
        <f t="shared" si="174"/>
        <v>16</v>
      </c>
      <c r="M502" s="367">
        <f t="shared" si="174"/>
        <v>27</v>
      </c>
      <c r="N502" s="367">
        <f t="shared" si="174"/>
        <v>10</v>
      </c>
      <c r="O502" s="367">
        <f t="shared" si="174"/>
        <v>0</v>
      </c>
      <c r="P502" s="367">
        <f t="shared" si="174"/>
        <v>37</v>
      </c>
      <c r="Q502" s="367">
        <f t="shared" si="174"/>
        <v>0</v>
      </c>
      <c r="R502" s="367">
        <f t="shared" si="174"/>
        <v>0</v>
      </c>
      <c r="S502" s="367">
        <f t="shared" si="174"/>
        <v>0</v>
      </c>
      <c r="T502" s="367">
        <f t="shared" si="174"/>
        <v>0</v>
      </c>
      <c r="U502" s="367">
        <f t="shared" si="174"/>
        <v>0</v>
      </c>
      <c r="V502" s="367">
        <f t="shared" si="174"/>
        <v>0</v>
      </c>
      <c r="W502" s="367">
        <f t="shared" si="174"/>
        <v>0</v>
      </c>
      <c r="X502" s="367">
        <f t="shared" si="174"/>
        <v>0</v>
      </c>
      <c r="Y502" s="367">
        <f t="shared" si="174"/>
        <v>156</v>
      </c>
      <c r="Z502" s="367">
        <f t="shared" si="174"/>
        <v>52</v>
      </c>
      <c r="AA502" s="367">
        <f t="shared" si="174"/>
        <v>0</v>
      </c>
      <c r="AB502" s="367">
        <f t="shared" si="174"/>
        <v>208</v>
      </c>
      <c r="AC502" s="367">
        <f t="shared" si="174"/>
        <v>137</v>
      </c>
      <c r="AD502" s="367">
        <f t="shared" si="174"/>
        <v>46</v>
      </c>
      <c r="AE502" s="367">
        <f t="shared" si="174"/>
        <v>0</v>
      </c>
      <c r="AF502" s="367">
        <f t="shared" si="174"/>
        <v>183</v>
      </c>
      <c r="AG502" s="367">
        <f t="shared" si="174"/>
        <v>14</v>
      </c>
      <c r="AH502" s="367">
        <f t="shared" si="174"/>
        <v>4</v>
      </c>
      <c r="AI502" s="367">
        <f t="shared" si="174"/>
        <v>0</v>
      </c>
      <c r="AJ502" s="367">
        <f t="shared" si="174"/>
        <v>18</v>
      </c>
      <c r="AK502" s="367">
        <f t="shared" si="174"/>
        <v>0</v>
      </c>
      <c r="AL502" s="367">
        <f t="shared" si="174"/>
        <v>1</v>
      </c>
      <c r="AM502" s="367">
        <f t="shared" si="174"/>
        <v>0</v>
      </c>
      <c r="AN502" s="367">
        <f t="shared" si="174"/>
        <v>1</v>
      </c>
      <c r="AO502" s="367">
        <f t="shared" si="174"/>
        <v>5</v>
      </c>
      <c r="AP502" s="367">
        <f t="shared" si="174"/>
        <v>1</v>
      </c>
      <c r="AQ502" s="367">
        <f t="shared" si="174"/>
        <v>0</v>
      </c>
      <c r="AR502" s="367">
        <f t="shared" si="174"/>
        <v>6</v>
      </c>
      <c r="AS502" s="367">
        <f t="shared" si="174"/>
        <v>156</v>
      </c>
      <c r="AT502" s="367">
        <f t="shared" si="174"/>
        <v>52</v>
      </c>
      <c r="AU502" s="367">
        <f t="shared" si="174"/>
        <v>0</v>
      </c>
      <c r="AV502" s="367">
        <f t="shared" si="174"/>
        <v>208</v>
      </c>
    </row>
    <row r="503" spans="1:48" s="365" customFormat="1" ht="12.75" x14ac:dyDescent="0.2">
      <c r="A503" s="348">
        <f>IF(ADSI!$G$12="",ADSI!$H$16,ADSI!$H$12)</f>
        <v>6</v>
      </c>
      <c r="B503" s="348" t="str">
        <f ca="1">IF(ADSI!$G$12="",ADSI!$H$16,ADSI!$H$14)</f>
        <v/>
      </c>
      <c r="C503" s="403">
        <f t="shared" si="172"/>
        <v>852</v>
      </c>
      <c r="D503" s="348">
        <f>ADSI!$K$12</f>
        <v>2021</v>
      </c>
      <c r="E503" s="367">
        <f t="shared" ref="E503:AV503" si="175">D13</f>
        <v>2</v>
      </c>
      <c r="F503" s="367">
        <f t="shared" si="175"/>
        <v>4</v>
      </c>
      <c r="G503" s="367">
        <f t="shared" si="175"/>
        <v>0</v>
      </c>
      <c r="H503" s="367">
        <f t="shared" si="175"/>
        <v>6</v>
      </c>
      <c r="I503" s="367">
        <f t="shared" si="175"/>
        <v>0</v>
      </c>
      <c r="J503" s="367">
        <f t="shared" si="175"/>
        <v>0</v>
      </c>
      <c r="K503" s="367">
        <f t="shared" si="175"/>
        <v>0</v>
      </c>
      <c r="L503" s="367">
        <f t="shared" si="175"/>
        <v>0</v>
      </c>
      <c r="M503" s="367">
        <f t="shared" si="175"/>
        <v>0</v>
      </c>
      <c r="N503" s="367">
        <f t="shared" si="175"/>
        <v>1</v>
      </c>
      <c r="O503" s="367">
        <f t="shared" si="175"/>
        <v>0</v>
      </c>
      <c r="P503" s="367">
        <f t="shared" si="175"/>
        <v>1</v>
      </c>
      <c r="Q503" s="367">
        <f t="shared" si="175"/>
        <v>0</v>
      </c>
      <c r="R503" s="367">
        <f t="shared" si="175"/>
        <v>0</v>
      </c>
      <c r="S503" s="367">
        <f t="shared" si="175"/>
        <v>0</v>
      </c>
      <c r="T503" s="367">
        <f t="shared" si="175"/>
        <v>0</v>
      </c>
      <c r="U503" s="367">
        <f t="shared" si="175"/>
        <v>0</v>
      </c>
      <c r="V503" s="367">
        <f t="shared" si="175"/>
        <v>0</v>
      </c>
      <c r="W503" s="367">
        <f t="shared" si="175"/>
        <v>0</v>
      </c>
      <c r="X503" s="367">
        <f t="shared" si="175"/>
        <v>0</v>
      </c>
      <c r="Y503" s="367">
        <f t="shared" si="175"/>
        <v>2</v>
      </c>
      <c r="Z503" s="367">
        <f t="shared" si="175"/>
        <v>5</v>
      </c>
      <c r="AA503" s="367">
        <f t="shared" si="175"/>
        <v>0</v>
      </c>
      <c r="AB503" s="367">
        <f t="shared" si="175"/>
        <v>7</v>
      </c>
      <c r="AC503" s="367">
        <f t="shared" si="175"/>
        <v>2</v>
      </c>
      <c r="AD503" s="367">
        <f t="shared" si="175"/>
        <v>5</v>
      </c>
      <c r="AE503" s="367">
        <f t="shared" si="175"/>
        <v>0</v>
      </c>
      <c r="AF503" s="367">
        <f t="shared" si="175"/>
        <v>7</v>
      </c>
      <c r="AG503" s="367">
        <f t="shared" si="175"/>
        <v>0</v>
      </c>
      <c r="AH503" s="367">
        <f t="shared" si="175"/>
        <v>0</v>
      </c>
      <c r="AI503" s="367">
        <f t="shared" si="175"/>
        <v>0</v>
      </c>
      <c r="AJ503" s="367">
        <f t="shared" si="175"/>
        <v>0</v>
      </c>
      <c r="AK503" s="367">
        <f t="shared" si="175"/>
        <v>0</v>
      </c>
      <c r="AL503" s="367">
        <f t="shared" si="175"/>
        <v>0</v>
      </c>
      <c r="AM503" s="367">
        <f t="shared" si="175"/>
        <v>0</v>
      </c>
      <c r="AN503" s="367">
        <f t="shared" si="175"/>
        <v>0</v>
      </c>
      <c r="AO503" s="367">
        <f t="shared" si="175"/>
        <v>0</v>
      </c>
      <c r="AP503" s="367">
        <f t="shared" si="175"/>
        <v>0</v>
      </c>
      <c r="AQ503" s="367">
        <f t="shared" si="175"/>
        <v>0</v>
      </c>
      <c r="AR503" s="367">
        <f t="shared" si="175"/>
        <v>0</v>
      </c>
      <c r="AS503" s="367">
        <f t="shared" si="175"/>
        <v>2</v>
      </c>
      <c r="AT503" s="367">
        <f t="shared" si="175"/>
        <v>5</v>
      </c>
      <c r="AU503" s="367">
        <f t="shared" si="175"/>
        <v>0</v>
      </c>
      <c r="AV503" s="367">
        <f t="shared" si="175"/>
        <v>7</v>
      </c>
    </row>
    <row r="504" spans="1:48" s="365" customFormat="1" ht="12.75" x14ac:dyDescent="0.2">
      <c r="A504" s="348">
        <f>IF(ADSI!$G$12="",ADSI!$H$16,ADSI!$H$12)</f>
        <v>6</v>
      </c>
      <c r="B504" s="348" t="str">
        <f ca="1">IF(ADSI!$G$12="",ADSI!$H$16,ADSI!$H$14)</f>
        <v/>
      </c>
      <c r="C504" s="403">
        <f t="shared" si="172"/>
        <v>853</v>
      </c>
      <c r="D504" s="348">
        <f>ADSI!$K$12</f>
        <v>2021</v>
      </c>
      <c r="E504" s="367">
        <f t="shared" ref="E504:AV504" si="176">D14</f>
        <v>0</v>
      </c>
      <c r="F504" s="367">
        <f t="shared" si="176"/>
        <v>0</v>
      </c>
      <c r="G504" s="367">
        <f t="shared" si="176"/>
        <v>0</v>
      </c>
      <c r="H504" s="367">
        <f t="shared" si="176"/>
        <v>0</v>
      </c>
      <c r="I504" s="367">
        <f t="shared" si="176"/>
        <v>0</v>
      </c>
      <c r="J504" s="367">
        <f t="shared" si="176"/>
        <v>0</v>
      </c>
      <c r="K504" s="367">
        <f t="shared" si="176"/>
        <v>0</v>
      </c>
      <c r="L504" s="367">
        <f t="shared" si="176"/>
        <v>0</v>
      </c>
      <c r="M504" s="367">
        <f t="shared" si="176"/>
        <v>0</v>
      </c>
      <c r="N504" s="367">
        <f t="shared" si="176"/>
        <v>0</v>
      </c>
      <c r="O504" s="367">
        <f t="shared" si="176"/>
        <v>0</v>
      </c>
      <c r="P504" s="367">
        <f t="shared" si="176"/>
        <v>0</v>
      </c>
      <c r="Q504" s="367">
        <f t="shared" si="176"/>
        <v>0</v>
      </c>
      <c r="R504" s="367">
        <f t="shared" si="176"/>
        <v>0</v>
      </c>
      <c r="S504" s="367">
        <f t="shared" si="176"/>
        <v>0</v>
      </c>
      <c r="T504" s="367">
        <f t="shared" si="176"/>
        <v>0</v>
      </c>
      <c r="U504" s="367">
        <f t="shared" si="176"/>
        <v>0</v>
      </c>
      <c r="V504" s="367">
        <f t="shared" si="176"/>
        <v>0</v>
      </c>
      <c r="W504" s="367">
        <f t="shared" si="176"/>
        <v>0</v>
      </c>
      <c r="X504" s="367">
        <f t="shared" si="176"/>
        <v>0</v>
      </c>
      <c r="Y504" s="367">
        <f t="shared" si="176"/>
        <v>0</v>
      </c>
      <c r="Z504" s="367">
        <f t="shared" si="176"/>
        <v>0</v>
      </c>
      <c r="AA504" s="367">
        <f t="shared" si="176"/>
        <v>0</v>
      </c>
      <c r="AB504" s="367">
        <f t="shared" si="176"/>
        <v>0</v>
      </c>
      <c r="AC504" s="367">
        <f t="shared" si="176"/>
        <v>0</v>
      </c>
      <c r="AD504" s="367">
        <f t="shared" si="176"/>
        <v>0</v>
      </c>
      <c r="AE504" s="367">
        <f t="shared" si="176"/>
        <v>0</v>
      </c>
      <c r="AF504" s="367">
        <f t="shared" si="176"/>
        <v>0</v>
      </c>
      <c r="AG504" s="367">
        <f t="shared" si="176"/>
        <v>0</v>
      </c>
      <c r="AH504" s="367">
        <f t="shared" si="176"/>
        <v>0</v>
      </c>
      <c r="AI504" s="367">
        <f t="shared" si="176"/>
        <v>0</v>
      </c>
      <c r="AJ504" s="367">
        <f t="shared" si="176"/>
        <v>0</v>
      </c>
      <c r="AK504" s="367">
        <f t="shared" si="176"/>
        <v>0</v>
      </c>
      <c r="AL504" s="367">
        <f t="shared" si="176"/>
        <v>0</v>
      </c>
      <c r="AM504" s="367">
        <f t="shared" si="176"/>
        <v>0</v>
      </c>
      <c r="AN504" s="367">
        <f t="shared" si="176"/>
        <v>0</v>
      </c>
      <c r="AO504" s="367">
        <f t="shared" si="176"/>
        <v>0</v>
      </c>
      <c r="AP504" s="367">
        <f t="shared" si="176"/>
        <v>0</v>
      </c>
      <c r="AQ504" s="367">
        <f t="shared" si="176"/>
        <v>0</v>
      </c>
      <c r="AR504" s="367">
        <f t="shared" si="176"/>
        <v>0</v>
      </c>
      <c r="AS504" s="367">
        <f t="shared" si="176"/>
        <v>0</v>
      </c>
      <c r="AT504" s="367">
        <f t="shared" si="176"/>
        <v>0</v>
      </c>
      <c r="AU504" s="367">
        <f t="shared" si="176"/>
        <v>0</v>
      </c>
      <c r="AV504" s="367">
        <f t="shared" si="176"/>
        <v>0</v>
      </c>
    </row>
    <row r="505" spans="1:48" s="365" customFormat="1" ht="12.75" x14ac:dyDescent="0.2">
      <c r="A505" s="348">
        <f>IF(ADSI!$G$12="",ADSI!$H$16,ADSI!$H$12)</f>
        <v>6</v>
      </c>
      <c r="B505" s="348" t="str">
        <f ca="1">IF(ADSI!$G$12="",ADSI!$H$16,ADSI!$H$14)</f>
        <v/>
      </c>
      <c r="C505" s="403">
        <f t="shared" si="172"/>
        <v>854</v>
      </c>
      <c r="D505" s="348">
        <f>ADSI!$K$12</f>
        <v>2021</v>
      </c>
      <c r="E505" s="367">
        <f t="shared" ref="E505:AV505" si="177">D15</f>
        <v>0</v>
      </c>
      <c r="F505" s="367">
        <f t="shared" si="177"/>
        <v>0</v>
      </c>
      <c r="G505" s="367">
        <f t="shared" si="177"/>
        <v>0</v>
      </c>
      <c r="H505" s="367">
        <f t="shared" si="177"/>
        <v>0</v>
      </c>
      <c r="I505" s="367">
        <f t="shared" si="177"/>
        <v>0</v>
      </c>
      <c r="J505" s="367">
        <f t="shared" si="177"/>
        <v>0</v>
      </c>
      <c r="K505" s="367">
        <f t="shared" si="177"/>
        <v>0</v>
      </c>
      <c r="L505" s="367">
        <f t="shared" si="177"/>
        <v>0</v>
      </c>
      <c r="M505" s="367">
        <f t="shared" si="177"/>
        <v>0</v>
      </c>
      <c r="N505" s="367">
        <f t="shared" si="177"/>
        <v>0</v>
      </c>
      <c r="O505" s="367">
        <f t="shared" si="177"/>
        <v>0</v>
      </c>
      <c r="P505" s="367">
        <f t="shared" si="177"/>
        <v>0</v>
      </c>
      <c r="Q505" s="367">
        <f t="shared" si="177"/>
        <v>0</v>
      </c>
      <c r="R505" s="367">
        <f t="shared" si="177"/>
        <v>0</v>
      </c>
      <c r="S505" s="367">
        <f t="shared" si="177"/>
        <v>0</v>
      </c>
      <c r="T505" s="367">
        <f t="shared" si="177"/>
        <v>0</v>
      </c>
      <c r="U505" s="367">
        <f t="shared" si="177"/>
        <v>0</v>
      </c>
      <c r="V505" s="367">
        <f t="shared" si="177"/>
        <v>0</v>
      </c>
      <c r="W505" s="367">
        <f t="shared" si="177"/>
        <v>0</v>
      </c>
      <c r="X505" s="367">
        <f t="shared" si="177"/>
        <v>0</v>
      </c>
      <c r="Y505" s="367">
        <f t="shared" si="177"/>
        <v>0</v>
      </c>
      <c r="Z505" s="367">
        <f t="shared" si="177"/>
        <v>0</v>
      </c>
      <c r="AA505" s="367">
        <f t="shared" si="177"/>
        <v>0</v>
      </c>
      <c r="AB505" s="367">
        <f t="shared" si="177"/>
        <v>0</v>
      </c>
      <c r="AC505" s="367">
        <f t="shared" si="177"/>
        <v>0</v>
      </c>
      <c r="AD505" s="367">
        <f t="shared" si="177"/>
        <v>0</v>
      </c>
      <c r="AE505" s="367">
        <f t="shared" si="177"/>
        <v>0</v>
      </c>
      <c r="AF505" s="367">
        <f t="shared" si="177"/>
        <v>0</v>
      </c>
      <c r="AG505" s="367">
        <f t="shared" si="177"/>
        <v>0</v>
      </c>
      <c r="AH505" s="367">
        <f t="shared" si="177"/>
        <v>0</v>
      </c>
      <c r="AI505" s="367">
        <f t="shared" si="177"/>
        <v>0</v>
      </c>
      <c r="AJ505" s="367">
        <f t="shared" si="177"/>
        <v>0</v>
      </c>
      <c r="AK505" s="367">
        <f t="shared" si="177"/>
        <v>0</v>
      </c>
      <c r="AL505" s="367">
        <f t="shared" si="177"/>
        <v>0</v>
      </c>
      <c r="AM505" s="367">
        <f t="shared" si="177"/>
        <v>0</v>
      </c>
      <c r="AN505" s="367">
        <f t="shared" si="177"/>
        <v>0</v>
      </c>
      <c r="AO505" s="367">
        <f t="shared" si="177"/>
        <v>0</v>
      </c>
      <c r="AP505" s="367">
        <f t="shared" si="177"/>
        <v>0</v>
      </c>
      <c r="AQ505" s="367">
        <f t="shared" si="177"/>
        <v>0</v>
      </c>
      <c r="AR505" s="367">
        <f t="shared" si="177"/>
        <v>0</v>
      </c>
      <c r="AS505" s="367">
        <f t="shared" si="177"/>
        <v>0</v>
      </c>
      <c r="AT505" s="367">
        <f t="shared" si="177"/>
        <v>0</v>
      </c>
      <c r="AU505" s="367">
        <f t="shared" si="177"/>
        <v>0</v>
      </c>
      <c r="AV505" s="367">
        <f t="shared" si="177"/>
        <v>0</v>
      </c>
    </row>
    <row r="506" spans="1:48" s="365" customFormat="1" ht="12.75" x14ac:dyDescent="0.2">
      <c r="A506" s="348">
        <f>IF(ADSI!$G$12="",ADSI!$H$16,ADSI!$H$12)</f>
        <v>6</v>
      </c>
      <c r="B506" s="348" t="str">
        <f ca="1">IF(ADSI!$G$12="",ADSI!$H$16,ADSI!$H$14)</f>
        <v/>
      </c>
      <c r="C506" s="403">
        <f t="shared" si="172"/>
        <v>855</v>
      </c>
      <c r="D506" s="348">
        <f>ADSI!$K$12</f>
        <v>2021</v>
      </c>
      <c r="E506" s="367">
        <f t="shared" ref="E506:AV506" si="178">D16</f>
        <v>0</v>
      </c>
      <c r="F506" s="367">
        <f t="shared" si="178"/>
        <v>0</v>
      </c>
      <c r="G506" s="367">
        <f t="shared" si="178"/>
        <v>0</v>
      </c>
      <c r="H506" s="367">
        <f t="shared" si="178"/>
        <v>0</v>
      </c>
      <c r="I506" s="367">
        <f t="shared" si="178"/>
        <v>0</v>
      </c>
      <c r="J506" s="367">
        <f t="shared" si="178"/>
        <v>0</v>
      </c>
      <c r="K506" s="367">
        <f t="shared" si="178"/>
        <v>0</v>
      </c>
      <c r="L506" s="367">
        <f t="shared" si="178"/>
        <v>0</v>
      </c>
      <c r="M506" s="367">
        <f t="shared" si="178"/>
        <v>0</v>
      </c>
      <c r="N506" s="367">
        <f t="shared" si="178"/>
        <v>0</v>
      </c>
      <c r="O506" s="367">
        <f t="shared" si="178"/>
        <v>0</v>
      </c>
      <c r="P506" s="367">
        <f t="shared" si="178"/>
        <v>0</v>
      </c>
      <c r="Q506" s="367">
        <f t="shared" si="178"/>
        <v>0</v>
      </c>
      <c r="R506" s="367">
        <f t="shared" si="178"/>
        <v>0</v>
      </c>
      <c r="S506" s="367">
        <f t="shared" si="178"/>
        <v>0</v>
      </c>
      <c r="T506" s="367">
        <f t="shared" si="178"/>
        <v>0</v>
      </c>
      <c r="U506" s="367">
        <f t="shared" si="178"/>
        <v>0</v>
      </c>
      <c r="V506" s="367">
        <f t="shared" si="178"/>
        <v>0</v>
      </c>
      <c r="W506" s="367">
        <f t="shared" si="178"/>
        <v>0</v>
      </c>
      <c r="X506" s="367">
        <f t="shared" si="178"/>
        <v>0</v>
      </c>
      <c r="Y506" s="367">
        <f t="shared" si="178"/>
        <v>0</v>
      </c>
      <c r="Z506" s="367">
        <f t="shared" si="178"/>
        <v>0</v>
      </c>
      <c r="AA506" s="367">
        <f t="shared" si="178"/>
        <v>0</v>
      </c>
      <c r="AB506" s="367">
        <f t="shared" si="178"/>
        <v>0</v>
      </c>
      <c r="AC506" s="367">
        <f t="shared" si="178"/>
        <v>0</v>
      </c>
      <c r="AD506" s="367">
        <f t="shared" si="178"/>
        <v>0</v>
      </c>
      <c r="AE506" s="367">
        <f t="shared" si="178"/>
        <v>0</v>
      </c>
      <c r="AF506" s="367">
        <f t="shared" si="178"/>
        <v>0</v>
      </c>
      <c r="AG506" s="367">
        <f t="shared" si="178"/>
        <v>0</v>
      </c>
      <c r="AH506" s="367">
        <f t="shared" si="178"/>
        <v>0</v>
      </c>
      <c r="AI506" s="367">
        <f t="shared" si="178"/>
        <v>0</v>
      </c>
      <c r="AJ506" s="367">
        <f t="shared" si="178"/>
        <v>0</v>
      </c>
      <c r="AK506" s="367">
        <f t="shared" si="178"/>
        <v>0</v>
      </c>
      <c r="AL506" s="367">
        <f t="shared" si="178"/>
        <v>0</v>
      </c>
      <c r="AM506" s="367">
        <f t="shared" si="178"/>
        <v>0</v>
      </c>
      <c r="AN506" s="367">
        <f t="shared" si="178"/>
        <v>0</v>
      </c>
      <c r="AO506" s="367">
        <f t="shared" si="178"/>
        <v>0</v>
      </c>
      <c r="AP506" s="367">
        <f t="shared" si="178"/>
        <v>0</v>
      </c>
      <c r="AQ506" s="367">
        <f t="shared" si="178"/>
        <v>0</v>
      </c>
      <c r="AR506" s="367">
        <f t="shared" si="178"/>
        <v>0</v>
      </c>
      <c r="AS506" s="367">
        <f t="shared" si="178"/>
        <v>0</v>
      </c>
      <c r="AT506" s="367">
        <f t="shared" si="178"/>
        <v>0</v>
      </c>
      <c r="AU506" s="367">
        <f t="shared" si="178"/>
        <v>0</v>
      </c>
      <c r="AV506" s="367">
        <f t="shared" si="178"/>
        <v>0</v>
      </c>
    </row>
    <row r="507" spans="1:48" s="365" customFormat="1" ht="12.75" x14ac:dyDescent="0.2">
      <c r="A507" s="348">
        <f>IF(ADSI!$G$12="",ADSI!$H$16,ADSI!$H$12)</f>
        <v>6</v>
      </c>
      <c r="B507" s="348" t="str">
        <f ca="1">IF(ADSI!$G$12="",ADSI!$H$16,ADSI!$H$14)</f>
        <v/>
      </c>
      <c r="C507" s="403">
        <f t="shared" si="172"/>
        <v>856</v>
      </c>
      <c r="D507" s="348">
        <f>ADSI!$K$12</f>
        <v>2021</v>
      </c>
      <c r="E507" s="367">
        <f t="shared" ref="E507:AV507" si="179">D17</f>
        <v>0</v>
      </c>
      <c r="F507" s="367">
        <f t="shared" si="179"/>
        <v>0</v>
      </c>
      <c r="G507" s="367">
        <f t="shared" si="179"/>
        <v>0</v>
      </c>
      <c r="H507" s="367">
        <f t="shared" si="179"/>
        <v>0</v>
      </c>
      <c r="I507" s="367">
        <f t="shared" si="179"/>
        <v>0</v>
      </c>
      <c r="J507" s="367">
        <f t="shared" si="179"/>
        <v>0</v>
      </c>
      <c r="K507" s="367">
        <f t="shared" si="179"/>
        <v>0</v>
      </c>
      <c r="L507" s="367">
        <f t="shared" si="179"/>
        <v>0</v>
      </c>
      <c r="M507" s="367">
        <f t="shared" si="179"/>
        <v>0</v>
      </c>
      <c r="N507" s="367">
        <f t="shared" si="179"/>
        <v>0</v>
      </c>
      <c r="O507" s="367">
        <f t="shared" si="179"/>
        <v>0</v>
      </c>
      <c r="P507" s="367">
        <f t="shared" si="179"/>
        <v>0</v>
      </c>
      <c r="Q507" s="367">
        <f t="shared" si="179"/>
        <v>0</v>
      </c>
      <c r="R507" s="367">
        <f t="shared" si="179"/>
        <v>0</v>
      </c>
      <c r="S507" s="367">
        <f t="shared" si="179"/>
        <v>0</v>
      </c>
      <c r="T507" s="367">
        <f t="shared" si="179"/>
        <v>0</v>
      </c>
      <c r="U507" s="367">
        <f t="shared" si="179"/>
        <v>5</v>
      </c>
      <c r="V507" s="367">
        <f t="shared" si="179"/>
        <v>0</v>
      </c>
      <c r="W507" s="367">
        <f t="shared" si="179"/>
        <v>0</v>
      </c>
      <c r="X507" s="367">
        <f t="shared" si="179"/>
        <v>5</v>
      </c>
      <c r="Y507" s="367">
        <f t="shared" si="179"/>
        <v>5</v>
      </c>
      <c r="Z507" s="367">
        <f t="shared" si="179"/>
        <v>0</v>
      </c>
      <c r="AA507" s="367">
        <f t="shared" si="179"/>
        <v>0</v>
      </c>
      <c r="AB507" s="367">
        <f t="shared" si="179"/>
        <v>5</v>
      </c>
      <c r="AC507" s="367">
        <f t="shared" si="179"/>
        <v>5</v>
      </c>
      <c r="AD507" s="367">
        <f t="shared" si="179"/>
        <v>0</v>
      </c>
      <c r="AE507" s="367">
        <f t="shared" si="179"/>
        <v>0</v>
      </c>
      <c r="AF507" s="367">
        <f t="shared" si="179"/>
        <v>5</v>
      </c>
      <c r="AG507" s="367">
        <f t="shared" si="179"/>
        <v>0</v>
      </c>
      <c r="AH507" s="367">
        <f t="shared" si="179"/>
        <v>0</v>
      </c>
      <c r="AI507" s="367">
        <f t="shared" si="179"/>
        <v>0</v>
      </c>
      <c r="AJ507" s="367">
        <f t="shared" si="179"/>
        <v>0</v>
      </c>
      <c r="AK507" s="367">
        <f t="shared" si="179"/>
        <v>0</v>
      </c>
      <c r="AL507" s="367">
        <f t="shared" si="179"/>
        <v>0</v>
      </c>
      <c r="AM507" s="367">
        <f t="shared" si="179"/>
        <v>0</v>
      </c>
      <c r="AN507" s="367">
        <f t="shared" si="179"/>
        <v>0</v>
      </c>
      <c r="AO507" s="367">
        <f t="shared" si="179"/>
        <v>0</v>
      </c>
      <c r="AP507" s="367">
        <f t="shared" si="179"/>
        <v>0</v>
      </c>
      <c r="AQ507" s="367">
        <f t="shared" si="179"/>
        <v>0</v>
      </c>
      <c r="AR507" s="367">
        <f t="shared" si="179"/>
        <v>0</v>
      </c>
      <c r="AS507" s="367">
        <f t="shared" si="179"/>
        <v>5</v>
      </c>
      <c r="AT507" s="367">
        <f t="shared" si="179"/>
        <v>0</v>
      </c>
      <c r="AU507" s="367">
        <f t="shared" si="179"/>
        <v>0</v>
      </c>
      <c r="AV507" s="367">
        <f t="shared" si="179"/>
        <v>5</v>
      </c>
    </row>
    <row r="508" spans="1:48" s="365" customFormat="1" ht="12.75" x14ac:dyDescent="0.2">
      <c r="A508" s="348">
        <f>IF(ADSI!$G$12="",ADSI!$H$16,ADSI!$H$12)</f>
        <v>6</v>
      </c>
      <c r="B508" s="348" t="str">
        <f ca="1">IF(ADSI!$G$12="",ADSI!$H$16,ADSI!$H$14)</f>
        <v/>
      </c>
      <c r="C508" s="403">
        <f t="shared" si="172"/>
        <v>865</v>
      </c>
      <c r="D508" s="348">
        <f>ADSI!$K$12</f>
        <v>2021</v>
      </c>
      <c r="E508" s="367">
        <f t="shared" ref="E508:AV508" si="180">D18</f>
        <v>182</v>
      </c>
      <c r="F508" s="367">
        <f t="shared" si="180"/>
        <v>50</v>
      </c>
      <c r="G508" s="367">
        <f t="shared" si="180"/>
        <v>0</v>
      </c>
      <c r="H508" s="367">
        <f t="shared" si="180"/>
        <v>232</v>
      </c>
      <c r="I508" s="367">
        <f t="shared" si="180"/>
        <v>17</v>
      </c>
      <c r="J508" s="367">
        <f t="shared" si="180"/>
        <v>6</v>
      </c>
      <c r="K508" s="367">
        <f t="shared" si="180"/>
        <v>0</v>
      </c>
      <c r="L508" s="367">
        <f t="shared" si="180"/>
        <v>23</v>
      </c>
      <c r="M508" s="367">
        <f t="shared" si="180"/>
        <v>45</v>
      </c>
      <c r="N508" s="367">
        <f t="shared" si="180"/>
        <v>16</v>
      </c>
      <c r="O508" s="367">
        <f t="shared" si="180"/>
        <v>0</v>
      </c>
      <c r="P508" s="367">
        <f t="shared" si="180"/>
        <v>61</v>
      </c>
      <c r="Q508" s="367">
        <f t="shared" si="180"/>
        <v>0</v>
      </c>
      <c r="R508" s="367">
        <f t="shared" si="180"/>
        <v>0</v>
      </c>
      <c r="S508" s="367">
        <f t="shared" si="180"/>
        <v>0</v>
      </c>
      <c r="T508" s="367">
        <f t="shared" si="180"/>
        <v>0</v>
      </c>
      <c r="U508" s="367">
        <f t="shared" si="180"/>
        <v>5</v>
      </c>
      <c r="V508" s="367">
        <f t="shared" si="180"/>
        <v>0</v>
      </c>
      <c r="W508" s="367">
        <f t="shared" si="180"/>
        <v>0</v>
      </c>
      <c r="X508" s="367">
        <f t="shared" si="180"/>
        <v>5</v>
      </c>
      <c r="Y508" s="367">
        <f t="shared" si="180"/>
        <v>249</v>
      </c>
      <c r="Z508" s="367">
        <f t="shared" si="180"/>
        <v>72</v>
      </c>
      <c r="AA508" s="367">
        <f t="shared" si="180"/>
        <v>0</v>
      </c>
      <c r="AB508" s="367">
        <f t="shared" si="180"/>
        <v>321</v>
      </c>
      <c r="AC508" s="367">
        <f t="shared" si="180"/>
        <v>222</v>
      </c>
      <c r="AD508" s="367">
        <f t="shared" si="180"/>
        <v>65</v>
      </c>
      <c r="AE508" s="367">
        <f t="shared" si="180"/>
        <v>0</v>
      </c>
      <c r="AF508" s="367">
        <f t="shared" si="180"/>
        <v>287</v>
      </c>
      <c r="AG508" s="367">
        <f t="shared" si="180"/>
        <v>17</v>
      </c>
      <c r="AH508" s="367">
        <f t="shared" si="180"/>
        <v>5</v>
      </c>
      <c r="AI508" s="367">
        <f t="shared" si="180"/>
        <v>0</v>
      </c>
      <c r="AJ508" s="367">
        <f t="shared" si="180"/>
        <v>22</v>
      </c>
      <c r="AK508" s="367">
        <f t="shared" si="180"/>
        <v>1</v>
      </c>
      <c r="AL508" s="367">
        <f t="shared" si="180"/>
        <v>1</v>
      </c>
      <c r="AM508" s="367">
        <f t="shared" si="180"/>
        <v>0</v>
      </c>
      <c r="AN508" s="367">
        <f t="shared" si="180"/>
        <v>2</v>
      </c>
      <c r="AO508" s="367">
        <f t="shared" si="180"/>
        <v>9</v>
      </c>
      <c r="AP508" s="367">
        <f t="shared" si="180"/>
        <v>1</v>
      </c>
      <c r="AQ508" s="367">
        <f t="shared" si="180"/>
        <v>0</v>
      </c>
      <c r="AR508" s="367">
        <f t="shared" si="180"/>
        <v>10</v>
      </c>
      <c r="AS508" s="367">
        <f t="shared" si="180"/>
        <v>249</v>
      </c>
      <c r="AT508" s="367">
        <f t="shared" si="180"/>
        <v>72</v>
      </c>
      <c r="AU508" s="367">
        <f t="shared" si="180"/>
        <v>0</v>
      </c>
      <c r="AV508" s="367">
        <f t="shared" si="180"/>
        <v>321</v>
      </c>
    </row>
    <row r="509" spans="1:48" s="365" customFormat="1" ht="12.75" x14ac:dyDescent="0.2">
      <c r="A509" s="348">
        <f>IF(ADSI!$G$12="",ADSI!$H$16,ADSI!$H$12)</f>
        <v>6</v>
      </c>
      <c r="B509" s="348" t="str">
        <f ca="1">IF(ADSI!$G$12="",ADSI!$H$16,ADSI!$H$14)</f>
        <v/>
      </c>
      <c r="C509" s="403">
        <f>A28</f>
        <v>875</v>
      </c>
      <c r="D509" s="348">
        <f>ADSI!$K$12</f>
        <v>2021</v>
      </c>
      <c r="E509" s="367">
        <f>D28</f>
        <v>85</v>
      </c>
      <c r="F509" s="367">
        <f t="shared" ref="F509:AV509" si="181">E28</f>
        <v>38</v>
      </c>
      <c r="G509" s="367">
        <f t="shared" si="181"/>
        <v>0</v>
      </c>
      <c r="H509" s="367">
        <f t="shared" si="181"/>
        <v>123</v>
      </c>
      <c r="I509" s="367">
        <f t="shared" si="181"/>
        <v>8</v>
      </c>
      <c r="J509" s="367">
        <f t="shared" si="181"/>
        <v>5</v>
      </c>
      <c r="K509" s="367">
        <f t="shared" si="181"/>
        <v>0</v>
      </c>
      <c r="L509" s="367">
        <f t="shared" si="181"/>
        <v>13</v>
      </c>
      <c r="M509" s="367">
        <f t="shared" si="181"/>
        <v>18</v>
      </c>
      <c r="N509" s="367">
        <f t="shared" si="181"/>
        <v>12</v>
      </c>
      <c r="O509" s="367">
        <f t="shared" si="181"/>
        <v>0</v>
      </c>
      <c r="P509" s="367">
        <f t="shared" si="181"/>
        <v>30</v>
      </c>
      <c r="Q509" s="367">
        <f t="shared" si="181"/>
        <v>0</v>
      </c>
      <c r="R509" s="367">
        <f t="shared" si="181"/>
        <v>0</v>
      </c>
      <c r="S509" s="367">
        <f t="shared" si="181"/>
        <v>0</v>
      </c>
      <c r="T509" s="367">
        <f t="shared" si="181"/>
        <v>0</v>
      </c>
      <c r="U509" s="367">
        <f t="shared" si="181"/>
        <v>5</v>
      </c>
      <c r="V509" s="367">
        <f t="shared" si="181"/>
        <v>0</v>
      </c>
      <c r="W509" s="367">
        <f t="shared" si="181"/>
        <v>0</v>
      </c>
      <c r="X509" s="367">
        <f t="shared" si="181"/>
        <v>5</v>
      </c>
      <c r="Y509" s="367">
        <f t="shared" si="181"/>
        <v>116</v>
      </c>
      <c r="Z509" s="367">
        <f t="shared" si="181"/>
        <v>55</v>
      </c>
      <c r="AA509" s="367">
        <f t="shared" si="181"/>
        <v>0</v>
      </c>
      <c r="AB509" s="367">
        <f t="shared" si="181"/>
        <v>171</v>
      </c>
      <c r="AC509" s="367">
        <f t="shared" si="181"/>
        <v>103</v>
      </c>
      <c r="AD509" s="367">
        <f t="shared" si="181"/>
        <v>50</v>
      </c>
      <c r="AE509" s="367">
        <f t="shared" si="181"/>
        <v>0</v>
      </c>
      <c r="AF509" s="367">
        <f t="shared" si="181"/>
        <v>153</v>
      </c>
      <c r="AG509" s="367">
        <f t="shared" si="181"/>
        <v>10</v>
      </c>
      <c r="AH509" s="367">
        <f t="shared" si="181"/>
        <v>3</v>
      </c>
      <c r="AI509" s="367">
        <f t="shared" si="181"/>
        <v>0</v>
      </c>
      <c r="AJ509" s="367">
        <f t="shared" si="181"/>
        <v>13</v>
      </c>
      <c r="AK509" s="367">
        <f t="shared" si="181"/>
        <v>0</v>
      </c>
      <c r="AL509" s="367">
        <f t="shared" si="181"/>
        <v>1</v>
      </c>
      <c r="AM509" s="367">
        <f t="shared" si="181"/>
        <v>0</v>
      </c>
      <c r="AN509" s="367">
        <f t="shared" si="181"/>
        <v>1</v>
      </c>
      <c r="AO509" s="367">
        <f t="shared" si="181"/>
        <v>3</v>
      </c>
      <c r="AP509" s="367">
        <f t="shared" si="181"/>
        <v>1</v>
      </c>
      <c r="AQ509" s="367">
        <f t="shared" si="181"/>
        <v>0</v>
      </c>
      <c r="AR509" s="367">
        <f t="shared" si="181"/>
        <v>4</v>
      </c>
      <c r="AS509" s="367">
        <f t="shared" si="181"/>
        <v>116</v>
      </c>
      <c r="AT509" s="367">
        <f t="shared" si="181"/>
        <v>55</v>
      </c>
      <c r="AU509" s="367">
        <f t="shared" si="181"/>
        <v>0</v>
      </c>
      <c r="AV509" s="367">
        <f t="shared" si="181"/>
        <v>171</v>
      </c>
    </row>
    <row r="510" spans="1:48" s="365" customFormat="1" ht="12.75" x14ac:dyDescent="0.2">
      <c r="A510" s="348">
        <f>IF(ADSI!$G$12="",ADSI!$H$16,ADSI!$H$12)</f>
        <v>6</v>
      </c>
      <c r="B510" s="348" t="str">
        <f ca="1">IF(ADSI!$G$12="",ADSI!$H$16,ADSI!$H$14)</f>
        <v/>
      </c>
      <c r="C510" s="403">
        <f t="shared" ref="C510:C513" si="182">A29</f>
        <v>876</v>
      </c>
      <c r="D510" s="348">
        <f>ADSI!$K$12</f>
        <v>2021</v>
      </c>
      <c r="E510" s="367">
        <f t="shared" ref="E510:AV510" si="183">D29</f>
        <v>89</v>
      </c>
      <c r="F510" s="367">
        <f t="shared" si="183"/>
        <v>11</v>
      </c>
      <c r="G510" s="367">
        <f t="shared" si="183"/>
        <v>0</v>
      </c>
      <c r="H510" s="367">
        <f t="shared" si="183"/>
        <v>100</v>
      </c>
      <c r="I510" s="367">
        <f t="shared" si="183"/>
        <v>9</v>
      </c>
      <c r="J510" s="367">
        <f t="shared" si="183"/>
        <v>1</v>
      </c>
      <c r="K510" s="367">
        <f t="shared" si="183"/>
        <v>0</v>
      </c>
      <c r="L510" s="367">
        <f t="shared" si="183"/>
        <v>10</v>
      </c>
      <c r="M510" s="367">
        <f t="shared" si="183"/>
        <v>26</v>
      </c>
      <c r="N510" s="367">
        <f t="shared" si="183"/>
        <v>4</v>
      </c>
      <c r="O510" s="367">
        <f t="shared" si="183"/>
        <v>0</v>
      </c>
      <c r="P510" s="367">
        <f t="shared" si="183"/>
        <v>30</v>
      </c>
      <c r="Q510" s="367">
        <f t="shared" si="183"/>
        <v>0</v>
      </c>
      <c r="R510" s="367">
        <f t="shared" si="183"/>
        <v>0</v>
      </c>
      <c r="S510" s="367">
        <f t="shared" si="183"/>
        <v>0</v>
      </c>
      <c r="T510" s="367">
        <f t="shared" si="183"/>
        <v>0</v>
      </c>
      <c r="U510" s="367">
        <f t="shared" si="183"/>
        <v>0</v>
      </c>
      <c r="V510" s="367">
        <f t="shared" si="183"/>
        <v>0</v>
      </c>
      <c r="W510" s="367">
        <f t="shared" si="183"/>
        <v>0</v>
      </c>
      <c r="X510" s="367">
        <f t="shared" si="183"/>
        <v>0</v>
      </c>
      <c r="Y510" s="367">
        <f t="shared" si="183"/>
        <v>124</v>
      </c>
      <c r="Z510" s="367">
        <f t="shared" si="183"/>
        <v>16</v>
      </c>
      <c r="AA510" s="367">
        <f t="shared" si="183"/>
        <v>0</v>
      </c>
      <c r="AB510" s="367">
        <f t="shared" si="183"/>
        <v>140</v>
      </c>
      <c r="AC510" s="367">
        <f t="shared" si="183"/>
        <v>111</v>
      </c>
      <c r="AD510" s="367">
        <f t="shared" si="183"/>
        <v>14</v>
      </c>
      <c r="AE510" s="367">
        <f t="shared" si="183"/>
        <v>0</v>
      </c>
      <c r="AF510" s="367">
        <f t="shared" si="183"/>
        <v>125</v>
      </c>
      <c r="AG510" s="367">
        <f t="shared" si="183"/>
        <v>6</v>
      </c>
      <c r="AH510" s="367">
        <f t="shared" si="183"/>
        <v>2</v>
      </c>
      <c r="AI510" s="367">
        <f t="shared" si="183"/>
        <v>0</v>
      </c>
      <c r="AJ510" s="367">
        <f t="shared" si="183"/>
        <v>8</v>
      </c>
      <c r="AK510" s="367">
        <f t="shared" si="183"/>
        <v>1</v>
      </c>
      <c r="AL510" s="367">
        <f t="shared" si="183"/>
        <v>0</v>
      </c>
      <c r="AM510" s="367">
        <f t="shared" si="183"/>
        <v>0</v>
      </c>
      <c r="AN510" s="367">
        <f t="shared" si="183"/>
        <v>1</v>
      </c>
      <c r="AO510" s="367">
        <f t="shared" si="183"/>
        <v>6</v>
      </c>
      <c r="AP510" s="367">
        <f t="shared" si="183"/>
        <v>0</v>
      </c>
      <c r="AQ510" s="367">
        <f t="shared" si="183"/>
        <v>0</v>
      </c>
      <c r="AR510" s="367">
        <f t="shared" si="183"/>
        <v>6</v>
      </c>
      <c r="AS510" s="367">
        <f t="shared" si="183"/>
        <v>124</v>
      </c>
      <c r="AT510" s="367">
        <f t="shared" si="183"/>
        <v>16</v>
      </c>
      <c r="AU510" s="367">
        <f t="shared" si="183"/>
        <v>0</v>
      </c>
      <c r="AV510" s="367">
        <f t="shared" si="183"/>
        <v>140</v>
      </c>
    </row>
    <row r="511" spans="1:48" s="365" customFormat="1" ht="12.75" x14ac:dyDescent="0.2">
      <c r="A511" s="348">
        <f>IF(ADSI!$G$12="",ADSI!$H$16,ADSI!$H$12)</f>
        <v>6</v>
      </c>
      <c r="B511" s="348" t="str">
        <f ca="1">IF(ADSI!$G$12="",ADSI!$H$16,ADSI!$H$14)</f>
        <v/>
      </c>
      <c r="C511" s="403">
        <f t="shared" si="182"/>
        <v>877</v>
      </c>
      <c r="D511" s="348">
        <f>ADSI!$K$12</f>
        <v>2021</v>
      </c>
      <c r="E511" s="367">
        <f t="shared" ref="E511:AV511" si="184">D30</f>
        <v>8</v>
      </c>
      <c r="F511" s="367">
        <f t="shared" si="184"/>
        <v>1</v>
      </c>
      <c r="G511" s="367">
        <f t="shared" si="184"/>
        <v>0</v>
      </c>
      <c r="H511" s="367">
        <f t="shared" si="184"/>
        <v>9</v>
      </c>
      <c r="I511" s="367">
        <f t="shared" si="184"/>
        <v>0</v>
      </c>
      <c r="J511" s="367">
        <f t="shared" si="184"/>
        <v>0</v>
      </c>
      <c r="K511" s="367">
        <f t="shared" si="184"/>
        <v>0</v>
      </c>
      <c r="L511" s="367">
        <f t="shared" si="184"/>
        <v>0</v>
      </c>
      <c r="M511" s="367">
        <f t="shared" si="184"/>
        <v>1</v>
      </c>
      <c r="N511" s="367">
        <f t="shared" si="184"/>
        <v>0</v>
      </c>
      <c r="O511" s="367">
        <f t="shared" si="184"/>
        <v>0</v>
      </c>
      <c r="P511" s="367">
        <f t="shared" si="184"/>
        <v>1</v>
      </c>
      <c r="Q511" s="367">
        <f t="shared" si="184"/>
        <v>0</v>
      </c>
      <c r="R511" s="367">
        <f t="shared" si="184"/>
        <v>0</v>
      </c>
      <c r="S511" s="367">
        <f t="shared" si="184"/>
        <v>0</v>
      </c>
      <c r="T511" s="367">
        <f t="shared" si="184"/>
        <v>0</v>
      </c>
      <c r="U511" s="367">
        <f t="shared" si="184"/>
        <v>0</v>
      </c>
      <c r="V511" s="367">
        <f t="shared" si="184"/>
        <v>0</v>
      </c>
      <c r="W511" s="367">
        <f t="shared" si="184"/>
        <v>0</v>
      </c>
      <c r="X511" s="367">
        <f t="shared" si="184"/>
        <v>0</v>
      </c>
      <c r="Y511" s="367">
        <f t="shared" si="184"/>
        <v>9</v>
      </c>
      <c r="Z511" s="367">
        <f t="shared" si="184"/>
        <v>1</v>
      </c>
      <c r="AA511" s="367">
        <f t="shared" si="184"/>
        <v>0</v>
      </c>
      <c r="AB511" s="367">
        <f t="shared" si="184"/>
        <v>10</v>
      </c>
      <c r="AC511" s="367">
        <f t="shared" si="184"/>
        <v>8</v>
      </c>
      <c r="AD511" s="367">
        <f t="shared" si="184"/>
        <v>1</v>
      </c>
      <c r="AE511" s="367">
        <f t="shared" si="184"/>
        <v>0</v>
      </c>
      <c r="AF511" s="367">
        <f t="shared" si="184"/>
        <v>9</v>
      </c>
      <c r="AG511" s="367">
        <f t="shared" si="184"/>
        <v>1</v>
      </c>
      <c r="AH511" s="367">
        <f t="shared" si="184"/>
        <v>0</v>
      </c>
      <c r="AI511" s="367">
        <f t="shared" si="184"/>
        <v>0</v>
      </c>
      <c r="AJ511" s="367">
        <f t="shared" si="184"/>
        <v>1</v>
      </c>
      <c r="AK511" s="367">
        <f t="shared" si="184"/>
        <v>0</v>
      </c>
      <c r="AL511" s="367">
        <f t="shared" si="184"/>
        <v>0</v>
      </c>
      <c r="AM511" s="367">
        <f t="shared" si="184"/>
        <v>0</v>
      </c>
      <c r="AN511" s="367">
        <f t="shared" si="184"/>
        <v>0</v>
      </c>
      <c r="AO511" s="367">
        <f t="shared" si="184"/>
        <v>0</v>
      </c>
      <c r="AP511" s="367">
        <f t="shared" si="184"/>
        <v>0</v>
      </c>
      <c r="AQ511" s="367">
        <f t="shared" si="184"/>
        <v>0</v>
      </c>
      <c r="AR511" s="367">
        <f t="shared" si="184"/>
        <v>0</v>
      </c>
      <c r="AS511" s="367">
        <f t="shared" si="184"/>
        <v>9</v>
      </c>
      <c r="AT511" s="367">
        <f t="shared" si="184"/>
        <v>1</v>
      </c>
      <c r="AU511" s="367">
        <f t="shared" si="184"/>
        <v>0</v>
      </c>
      <c r="AV511" s="367">
        <f t="shared" si="184"/>
        <v>10</v>
      </c>
    </row>
    <row r="512" spans="1:48" s="365" customFormat="1" ht="12.75" x14ac:dyDescent="0.2">
      <c r="A512" s="348">
        <f>IF(ADSI!$G$12="",ADSI!$H$16,ADSI!$H$12)</f>
        <v>6</v>
      </c>
      <c r="B512" s="348" t="str">
        <f ca="1">IF(ADSI!$G$12="",ADSI!$H$16,ADSI!$H$14)</f>
        <v/>
      </c>
      <c r="C512" s="403">
        <f t="shared" si="182"/>
        <v>878</v>
      </c>
      <c r="D512" s="348">
        <f>ADSI!$K$12</f>
        <v>2021</v>
      </c>
      <c r="E512" s="367">
        <f t="shared" ref="E512:AV512" si="185">D31</f>
        <v>0</v>
      </c>
      <c r="F512" s="367">
        <f t="shared" si="185"/>
        <v>0</v>
      </c>
      <c r="G512" s="367">
        <f t="shared" si="185"/>
        <v>0</v>
      </c>
      <c r="H512" s="367">
        <f t="shared" si="185"/>
        <v>0</v>
      </c>
      <c r="I512" s="367">
        <f t="shared" si="185"/>
        <v>0</v>
      </c>
      <c r="J512" s="367">
        <f t="shared" si="185"/>
        <v>0</v>
      </c>
      <c r="K512" s="367">
        <f t="shared" si="185"/>
        <v>0</v>
      </c>
      <c r="L512" s="367">
        <f t="shared" si="185"/>
        <v>0</v>
      </c>
      <c r="M512" s="367">
        <f t="shared" si="185"/>
        <v>0</v>
      </c>
      <c r="N512" s="367">
        <f t="shared" si="185"/>
        <v>0</v>
      </c>
      <c r="O512" s="367">
        <f t="shared" si="185"/>
        <v>0</v>
      </c>
      <c r="P512" s="367">
        <f t="shared" si="185"/>
        <v>0</v>
      </c>
      <c r="Q512" s="367">
        <f t="shared" si="185"/>
        <v>0</v>
      </c>
      <c r="R512" s="367">
        <f t="shared" si="185"/>
        <v>0</v>
      </c>
      <c r="S512" s="367">
        <f t="shared" si="185"/>
        <v>0</v>
      </c>
      <c r="T512" s="367">
        <f t="shared" si="185"/>
        <v>0</v>
      </c>
      <c r="U512" s="367">
        <f t="shared" si="185"/>
        <v>0</v>
      </c>
      <c r="V512" s="367">
        <f t="shared" si="185"/>
        <v>0</v>
      </c>
      <c r="W512" s="367">
        <f t="shared" si="185"/>
        <v>0</v>
      </c>
      <c r="X512" s="367">
        <f t="shared" si="185"/>
        <v>0</v>
      </c>
      <c r="Y512" s="367">
        <f t="shared" si="185"/>
        <v>0</v>
      </c>
      <c r="Z512" s="367">
        <f t="shared" si="185"/>
        <v>0</v>
      </c>
      <c r="AA512" s="367">
        <f t="shared" si="185"/>
        <v>0</v>
      </c>
      <c r="AB512" s="367">
        <f t="shared" si="185"/>
        <v>0</v>
      </c>
      <c r="AC512" s="367">
        <f t="shared" si="185"/>
        <v>0</v>
      </c>
      <c r="AD512" s="367">
        <f t="shared" si="185"/>
        <v>0</v>
      </c>
      <c r="AE512" s="367">
        <f t="shared" si="185"/>
        <v>0</v>
      </c>
      <c r="AF512" s="367">
        <f t="shared" si="185"/>
        <v>0</v>
      </c>
      <c r="AG512" s="367">
        <f t="shared" si="185"/>
        <v>0</v>
      </c>
      <c r="AH512" s="367">
        <f t="shared" si="185"/>
        <v>0</v>
      </c>
      <c r="AI512" s="367">
        <f t="shared" si="185"/>
        <v>0</v>
      </c>
      <c r="AJ512" s="367">
        <f t="shared" si="185"/>
        <v>0</v>
      </c>
      <c r="AK512" s="367">
        <f t="shared" si="185"/>
        <v>0</v>
      </c>
      <c r="AL512" s="367">
        <f t="shared" si="185"/>
        <v>0</v>
      </c>
      <c r="AM512" s="367">
        <f t="shared" si="185"/>
        <v>0</v>
      </c>
      <c r="AN512" s="367">
        <f t="shared" si="185"/>
        <v>0</v>
      </c>
      <c r="AO512" s="367">
        <f t="shared" si="185"/>
        <v>0</v>
      </c>
      <c r="AP512" s="367">
        <f t="shared" si="185"/>
        <v>0</v>
      </c>
      <c r="AQ512" s="367">
        <f t="shared" si="185"/>
        <v>0</v>
      </c>
      <c r="AR512" s="367">
        <f t="shared" si="185"/>
        <v>0</v>
      </c>
      <c r="AS512" s="367">
        <f t="shared" si="185"/>
        <v>0</v>
      </c>
      <c r="AT512" s="367">
        <f t="shared" si="185"/>
        <v>0</v>
      </c>
      <c r="AU512" s="367">
        <f t="shared" si="185"/>
        <v>0</v>
      </c>
      <c r="AV512" s="367">
        <f t="shared" si="185"/>
        <v>0</v>
      </c>
    </row>
    <row r="513" spans="1:48" s="365" customFormat="1" ht="12.75" x14ac:dyDescent="0.2">
      <c r="A513" s="348">
        <f>IF(ADSI!$G$12="",ADSI!$H$16,ADSI!$H$12)</f>
        <v>6</v>
      </c>
      <c r="B513" s="348" t="str">
        <f ca="1">IF(ADSI!$G$12="",ADSI!$H$16,ADSI!$H$14)</f>
        <v/>
      </c>
      <c r="C513" s="403">
        <f t="shared" si="182"/>
        <v>890</v>
      </c>
      <c r="D513" s="348">
        <f>ADSI!$K$12</f>
        <v>2021</v>
      </c>
      <c r="E513" s="367">
        <f t="shared" ref="E513:AV513" si="186">D32</f>
        <v>182</v>
      </c>
      <c r="F513" s="367">
        <f t="shared" si="186"/>
        <v>50</v>
      </c>
      <c r="G513" s="367">
        <f t="shared" si="186"/>
        <v>0</v>
      </c>
      <c r="H513" s="367">
        <f t="shared" si="186"/>
        <v>232</v>
      </c>
      <c r="I513" s="367">
        <f t="shared" si="186"/>
        <v>17</v>
      </c>
      <c r="J513" s="367">
        <f t="shared" si="186"/>
        <v>6</v>
      </c>
      <c r="K513" s="367">
        <f t="shared" si="186"/>
        <v>0</v>
      </c>
      <c r="L513" s="367">
        <f t="shared" si="186"/>
        <v>23</v>
      </c>
      <c r="M513" s="367">
        <f t="shared" si="186"/>
        <v>45</v>
      </c>
      <c r="N513" s="367">
        <f t="shared" si="186"/>
        <v>16</v>
      </c>
      <c r="O513" s="367">
        <f t="shared" si="186"/>
        <v>0</v>
      </c>
      <c r="P513" s="367">
        <f t="shared" si="186"/>
        <v>61</v>
      </c>
      <c r="Q513" s="367">
        <f t="shared" si="186"/>
        <v>0</v>
      </c>
      <c r="R513" s="367">
        <f t="shared" si="186"/>
        <v>0</v>
      </c>
      <c r="S513" s="367">
        <f t="shared" si="186"/>
        <v>0</v>
      </c>
      <c r="T513" s="367">
        <f t="shared" si="186"/>
        <v>0</v>
      </c>
      <c r="U513" s="367">
        <f t="shared" si="186"/>
        <v>5</v>
      </c>
      <c r="V513" s="367">
        <f t="shared" si="186"/>
        <v>0</v>
      </c>
      <c r="W513" s="367">
        <f t="shared" si="186"/>
        <v>0</v>
      </c>
      <c r="X513" s="367">
        <f t="shared" si="186"/>
        <v>5</v>
      </c>
      <c r="Y513" s="367">
        <f t="shared" si="186"/>
        <v>249</v>
      </c>
      <c r="Z513" s="367">
        <f t="shared" si="186"/>
        <v>72</v>
      </c>
      <c r="AA513" s="367">
        <f t="shared" si="186"/>
        <v>0</v>
      </c>
      <c r="AB513" s="367">
        <f t="shared" si="186"/>
        <v>321</v>
      </c>
      <c r="AC513" s="367">
        <f t="shared" si="186"/>
        <v>222</v>
      </c>
      <c r="AD513" s="367">
        <f t="shared" si="186"/>
        <v>65</v>
      </c>
      <c r="AE513" s="367">
        <f t="shared" si="186"/>
        <v>0</v>
      </c>
      <c r="AF513" s="367">
        <f t="shared" si="186"/>
        <v>287</v>
      </c>
      <c r="AG513" s="367">
        <f t="shared" si="186"/>
        <v>17</v>
      </c>
      <c r="AH513" s="367">
        <f t="shared" si="186"/>
        <v>5</v>
      </c>
      <c r="AI513" s="367">
        <f t="shared" si="186"/>
        <v>0</v>
      </c>
      <c r="AJ513" s="367">
        <f t="shared" si="186"/>
        <v>22</v>
      </c>
      <c r="AK513" s="367">
        <f t="shared" si="186"/>
        <v>1</v>
      </c>
      <c r="AL513" s="367">
        <f t="shared" si="186"/>
        <v>1</v>
      </c>
      <c r="AM513" s="367">
        <f t="shared" si="186"/>
        <v>0</v>
      </c>
      <c r="AN513" s="367">
        <f t="shared" si="186"/>
        <v>2</v>
      </c>
      <c r="AO513" s="367">
        <f t="shared" si="186"/>
        <v>9</v>
      </c>
      <c r="AP513" s="367">
        <f t="shared" si="186"/>
        <v>1</v>
      </c>
      <c r="AQ513" s="367">
        <f t="shared" si="186"/>
        <v>0</v>
      </c>
      <c r="AR513" s="367">
        <f t="shared" si="186"/>
        <v>10</v>
      </c>
      <c r="AS513" s="367">
        <f t="shared" si="186"/>
        <v>249</v>
      </c>
      <c r="AT513" s="367">
        <f t="shared" si="186"/>
        <v>72</v>
      </c>
      <c r="AU513" s="367">
        <f t="shared" si="186"/>
        <v>0</v>
      </c>
      <c r="AV513" s="367">
        <f t="shared" si="186"/>
        <v>321</v>
      </c>
    </row>
    <row r="514" spans="1:48" s="365" customFormat="1" ht="12.75" x14ac:dyDescent="0.2">
      <c r="A514" s="348"/>
      <c r="B514" s="348"/>
      <c r="C514" s="403"/>
      <c r="D514" s="348"/>
      <c r="E514" s="367"/>
      <c r="F514" s="367"/>
      <c r="G514" s="367"/>
      <c r="H514" s="367"/>
      <c r="I514" s="367"/>
      <c r="J514" s="367"/>
      <c r="K514" s="367"/>
      <c r="L514" s="367"/>
      <c r="M514" s="367"/>
      <c r="N514" s="367"/>
      <c r="O514" s="367"/>
      <c r="P514" s="367"/>
      <c r="Q514" s="367"/>
      <c r="R514" s="367"/>
      <c r="S514" s="367"/>
      <c r="T514" s="367"/>
      <c r="U514" s="367"/>
      <c r="V514" s="367"/>
      <c r="W514" s="367"/>
      <c r="X514" s="367"/>
      <c r="Y514" s="367"/>
      <c r="Z514" s="367"/>
      <c r="AA514" s="367"/>
      <c r="AB514" s="367"/>
      <c r="AC514" s="367"/>
      <c r="AD514" s="367"/>
      <c r="AE514" s="367"/>
      <c r="AF514" s="367"/>
      <c r="AG514" s="367"/>
      <c r="AH514" s="367"/>
      <c r="AI514" s="367"/>
      <c r="AJ514" s="367"/>
      <c r="AK514" s="367"/>
      <c r="AL514" s="367"/>
      <c r="AM514" s="367"/>
      <c r="AN514" s="367"/>
      <c r="AO514" s="367"/>
      <c r="AP514" s="367"/>
      <c r="AQ514" s="367"/>
      <c r="AR514" s="367"/>
      <c r="AS514" s="367"/>
      <c r="AT514" s="367"/>
      <c r="AU514" s="367"/>
      <c r="AV514" s="367"/>
    </row>
    <row r="515" spans="1:48" s="365" customFormat="1" ht="12.75" x14ac:dyDescent="0.2">
      <c r="C515" s="366"/>
    </row>
    <row r="516" spans="1:48" s="365" customFormat="1" ht="12.75" x14ac:dyDescent="0.2"/>
    <row r="517" spans="1:48" s="365" customFormat="1" ht="12.75" x14ac:dyDescent="0.2"/>
    <row r="518" spans="1:48" s="365" customFormat="1" ht="12.75" x14ac:dyDescent="0.2"/>
    <row r="519" spans="1:48" s="365" customFormat="1" ht="12.75" x14ac:dyDescent="0.2"/>
    <row r="520" spans="1:48" s="365" customFormat="1" ht="12.75" x14ac:dyDescent="0.2"/>
    <row r="521" spans="1:48" s="365" customFormat="1" ht="12.75" x14ac:dyDescent="0.2"/>
    <row r="522" spans="1:48" s="365" customFormat="1" ht="12.75" x14ac:dyDescent="0.2"/>
    <row r="523" spans="1:48" s="365" customFormat="1" ht="12.75" x14ac:dyDescent="0.2"/>
    <row r="524" spans="1:48" s="365" customFormat="1" ht="12.75" x14ac:dyDescent="0.2"/>
    <row r="525" spans="1:48" s="365" customFormat="1" ht="12.75" x14ac:dyDescent="0.2"/>
    <row r="526" spans="1:48" s="365" customFormat="1" ht="12.75" x14ac:dyDescent="0.2"/>
    <row r="527" spans="1:48" s="365" customFormat="1" ht="12.75" x14ac:dyDescent="0.2"/>
    <row r="528" spans="1:48" s="365" customFormat="1" ht="12.75" x14ac:dyDescent="0.2"/>
    <row r="529" s="365" customFormat="1" ht="12.75" x14ac:dyDescent="0.2"/>
  </sheetData>
  <sheetProtection password="C614" sheet="1" objects="1" scenarios="1" selectLockedCells="1"/>
  <mergeCells count="139">
    <mergeCell ref="CU204:CX206"/>
    <mergeCell ref="CU226:CX228"/>
    <mergeCell ref="A35:C35"/>
    <mergeCell ref="A36:C36"/>
    <mergeCell ref="A37:C37"/>
    <mergeCell ref="AV5:AY7"/>
    <mergeCell ref="D37:W37"/>
    <mergeCell ref="AB37:AQ37"/>
    <mergeCell ref="D38:W38"/>
    <mergeCell ref="AB38:AQ38"/>
    <mergeCell ref="D21:W22"/>
    <mergeCell ref="AB21:AQ22"/>
    <mergeCell ref="D23:W23"/>
    <mergeCell ref="AB23:AQ23"/>
    <mergeCell ref="D24:W24"/>
    <mergeCell ref="AB24:AQ24"/>
    <mergeCell ref="D25:W25"/>
    <mergeCell ref="AB25:AQ25"/>
    <mergeCell ref="D26:W26"/>
    <mergeCell ref="AB26:AQ26"/>
    <mergeCell ref="D33:W34"/>
    <mergeCell ref="AB33:AQ34"/>
    <mergeCell ref="D35:W35"/>
    <mergeCell ref="AB35:AQ35"/>
    <mergeCell ref="D36:W36"/>
    <mergeCell ref="AB36:AQ36"/>
    <mergeCell ref="BA241:BB241"/>
    <mergeCell ref="BC227:BR227"/>
    <mergeCell ref="BS227:BZ227"/>
    <mergeCell ref="CA227:CH227"/>
    <mergeCell ref="CI227:CT227"/>
    <mergeCell ref="BA226:BA229"/>
    <mergeCell ref="BB226:BB229"/>
    <mergeCell ref="CQ228:CT228"/>
    <mergeCell ref="BW228:BZ228"/>
    <mergeCell ref="CA228:CD228"/>
    <mergeCell ref="CE228:CH228"/>
    <mergeCell ref="CI228:CL228"/>
    <mergeCell ref="CM228:CP228"/>
    <mergeCell ref="BC237:BV238"/>
    <mergeCell ref="BW237:BZ237"/>
    <mergeCell ref="CA237:CP238"/>
    <mergeCell ref="CQ237:CT237"/>
    <mergeCell ref="BC239:BV239"/>
    <mergeCell ref="CA239:CP239"/>
    <mergeCell ref="W3:AF3"/>
    <mergeCell ref="AG3:AQ3"/>
    <mergeCell ref="D5:AA5"/>
    <mergeCell ref="AB5:AU5"/>
    <mergeCell ref="D6:AA6"/>
    <mergeCell ref="D7:G7"/>
    <mergeCell ref="H7:K7"/>
    <mergeCell ref="X7:AA7"/>
    <mergeCell ref="BA242:BB242"/>
    <mergeCell ref="BA231:CT231"/>
    <mergeCell ref="BA237:BB238"/>
    <mergeCell ref="BA239:BB239"/>
    <mergeCell ref="BA240:BB240"/>
    <mergeCell ref="AR3:AU3"/>
    <mergeCell ref="L7:O7"/>
    <mergeCell ref="CI205:CT205"/>
    <mergeCell ref="BG206:BJ206"/>
    <mergeCell ref="BC206:BF206"/>
    <mergeCell ref="CA206:CD206"/>
    <mergeCell ref="BW206:BZ206"/>
    <mergeCell ref="BS206:BV206"/>
    <mergeCell ref="BO206:BR206"/>
    <mergeCell ref="BK206:BN206"/>
    <mergeCell ref="BA220:BB221"/>
    <mergeCell ref="AR21:AU21"/>
    <mergeCell ref="X33:AA33"/>
    <mergeCell ref="AB7:AE7"/>
    <mergeCell ref="AF7:AI7"/>
    <mergeCell ref="AJ7:AM7"/>
    <mergeCell ref="AN7:AQ7"/>
    <mergeCell ref="A25:C25"/>
    <mergeCell ref="A24:C24"/>
    <mergeCell ref="X21:AA21"/>
    <mergeCell ref="AR33:AU33"/>
    <mergeCell ref="B5:B8"/>
    <mergeCell ref="C5:C8"/>
    <mergeCell ref="P7:S7"/>
    <mergeCell ref="T7:W7"/>
    <mergeCell ref="AB6:AU6"/>
    <mergeCell ref="AR7:AU7"/>
    <mergeCell ref="A5:A8"/>
    <mergeCell ref="A33:C34"/>
    <mergeCell ref="A19:C19"/>
    <mergeCell ref="A20:C20"/>
    <mergeCell ref="A26:C26"/>
    <mergeCell ref="A27:AU27"/>
    <mergeCell ref="A21:C22"/>
    <mergeCell ref="A23:C23"/>
    <mergeCell ref="A38:C38"/>
    <mergeCell ref="BA224:BB224"/>
    <mergeCell ref="BA225:BB225"/>
    <mergeCell ref="BC204:BR204"/>
    <mergeCell ref="BC205:BR205"/>
    <mergeCell ref="BA222:BB222"/>
    <mergeCell ref="BA204:BA207"/>
    <mergeCell ref="BB204:BB207"/>
    <mergeCell ref="BA209:CT209"/>
    <mergeCell ref="BA223:BB223"/>
    <mergeCell ref="CQ206:CT206"/>
    <mergeCell ref="CM206:CP206"/>
    <mergeCell ref="CI206:CL206"/>
    <mergeCell ref="CE206:CH206"/>
    <mergeCell ref="BS204:CH204"/>
    <mergeCell ref="BS205:BZ205"/>
    <mergeCell ref="CA205:CH205"/>
    <mergeCell ref="CI204:CT204"/>
    <mergeCell ref="BW220:BZ220"/>
    <mergeCell ref="CQ220:CT220"/>
    <mergeCell ref="BC220:BV221"/>
    <mergeCell ref="BA218:BB218"/>
    <mergeCell ref="BA219:BB219"/>
    <mergeCell ref="CA220:CP221"/>
    <mergeCell ref="BC242:BV242"/>
    <mergeCell ref="CA242:CP242"/>
    <mergeCell ref="BC222:BV222"/>
    <mergeCell ref="BC223:BV223"/>
    <mergeCell ref="BC224:BV224"/>
    <mergeCell ref="BC225:BV225"/>
    <mergeCell ref="BC228:BF228"/>
    <mergeCell ref="BG228:BJ228"/>
    <mergeCell ref="BK228:BN228"/>
    <mergeCell ref="BO228:BR228"/>
    <mergeCell ref="BS228:BV228"/>
    <mergeCell ref="BC226:BR226"/>
    <mergeCell ref="BS226:CH226"/>
    <mergeCell ref="CI226:CT226"/>
    <mergeCell ref="BC240:BV240"/>
    <mergeCell ref="CA240:CP240"/>
    <mergeCell ref="BC241:BV241"/>
    <mergeCell ref="CA241:CP241"/>
    <mergeCell ref="CA222:CP222"/>
    <mergeCell ref="CA223:CP223"/>
    <mergeCell ref="CA224:CP224"/>
    <mergeCell ref="CA225:CP225"/>
  </mergeCells>
  <conditionalFormatting sqref="X24:AA24">
    <cfRule type="cellIs" dxfId="49" priority="16" operator="equal">
      <formula>FALSE</formula>
    </cfRule>
  </conditionalFormatting>
  <conditionalFormatting sqref="X26:AA26">
    <cfRule type="cellIs" dxfId="48" priority="15" operator="equal">
      <formula>FALSE</formula>
    </cfRule>
  </conditionalFormatting>
  <conditionalFormatting sqref="AR24:AU24">
    <cfRule type="cellIs" dxfId="47" priority="14" operator="equal">
      <formula>FALSE</formula>
    </cfRule>
  </conditionalFormatting>
  <conditionalFormatting sqref="AR26:AU26">
    <cfRule type="cellIs" dxfId="46" priority="13" operator="equal">
      <formula>FALSE</formula>
    </cfRule>
  </conditionalFormatting>
  <conditionalFormatting sqref="X36:AA36">
    <cfRule type="cellIs" dxfId="45" priority="6" operator="equal">
      <formula>FALSE</formula>
    </cfRule>
  </conditionalFormatting>
  <conditionalFormatting sqref="X38:AA38">
    <cfRule type="cellIs" dxfId="44" priority="5" operator="equal">
      <formula>FALSE</formula>
    </cfRule>
  </conditionalFormatting>
  <conditionalFormatting sqref="AR36:AU36">
    <cfRule type="cellIs" dxfId="43" priority="8" operator="equal">
      <formula>FALSE</formula>
    </cfRule>
  </conditionalFormatting>
  <conditionalFormatting sqref="AR38:AU38">
    <cfRule type="cellIs" dxfId="42" priority="7" operator="equal">
      <formula>FALSE</formula>
    </cfRule>
  </conditionalFormatting>
  <conditionalFormatting sqref="D19:AU20">
    <cfRule type="cellIs" dxfId="41" priority="3" operator="equal">
      <formula>"ABVAR"</formula>
    </cfRule>
    <cfRule type="cellIs" dxfId="40" priority="4" operator="equal">
      <formula>FALSE</formula>
    </cfRule>
  </conditionalFormatting>
  <conditionalFormatting sqref="AV11:AY32">
    <cfRule type="cellIs" dxfId="39" priority="2" operator="equal">
      <formula>FALSE</formula>
    </cfRule>
  </conditionalFormatting>
  <conditionalFormatting sqref="AV9:AY10">
    <cfRule type="cellIs" dxfId="38" priority="1" operator="equal">
      <formula>FALSE</formula>
    </cfRule>
  </conditionalFormatting>
  <dataValidations count="1">
    <dataValidation type="whole" allowBlank="1" showInputMessage="1" showErrorMessage="1" sqref="H28:J31 H11:J17 L11:N17 P11:R17 T11:V17 AB11:AD17 AF11:AH17 AJ11:AL17 D11:F17 D28:F31 L28:N31 P28:R31 T28:V31 AB28:AD31 AF28:AH31 AJ28:AL31 AN28:AP31 AN11:AP17">
      <formula1>0</formula1>
      <formula2>999999999</formula2>
    </dataValidation>
  </dataValidations>
  <pageMargins left="0.39370078740157483" right="0.19685039370078741" top="0.59055118110236227" bottom="0.74803149606299213" header="0.31496062992125984" footer="0.19685039370078741"/>
  <pageSetup paperSize="5" orientation="landscape" r:id="rId1"/>
  <headerFooter>
    <oddFooter>&amp;L&amp;9ADSI - &amp;A&amp;C&amp;9&amp;D &amp;T&amp;R&amp;9Page &amp;P of &amp;N</oddFooter>
  </headerFooter>
  <rowBreaks count="1" manualBreakCount="1">
    <brk id="225" max="16383" man="1"/>
  </rowBreak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X535"/>
  <sheetViews>
    <sheetView showGridLines="0" workbookViewId="0">
      <pane xSplit="3" ySplit="9" topLeftCell="D10" activePane="bottomRight" state="frozen"/>
      <selection activeCell="D9" sqref="D9"/>
      <selection pane="topRight" activeCell="D9" sqref="D9"/>
      <selection pane="bottomLeft" activeCell="D9" sqref="D9"/>
      <selection pane="bottomRight" activeCell="D10" sqref="D10"/>
    </sheetView>
  </sheetViews>
  <sheetFormatPr defaultRowHeight="15" x14ac:dyDescent="0.25"/>
  <cols>
    <col min="1" max="2" width="6.7109375" style="2" customWidth="1"/>
    <col min="3" max="3" width="24" style="2" bestFit="1" customWidth="1"/>
    <col min="4" max="6" width="11.7109375" style="2" customWidth="1"/>
    <col min="7" max="7" width="12.7109375" style="2" customWidth="1"/>
    <col min="8" max="10" width="11.7109375" style="2" customWidth="1"/>
    <col min="11" max="11" width="12.7109375" style="2" customWidth="1"/>
    <col min="12" max="14" width="11.7109375" style="2" customWidth="1"/>
    <col min="15" max="15" width="12.7109375" style="2" customWidth="1"/>
    <col min="16" max="18" width="11.7109375" style="2" customWidth="1"/>
    <col min="19" max="19" width="12.7109375" style="2" customWidth="1"/>
    <col min="20" max="22" width="11.7109375" style="2" customWidth="1"/>
    <col min="23" max="26" width="12.7109375" style="2" customWidth="1"/>
    <col min="27" max="27" width="15.7109375" style="2" customWidth="1"/>
    <col min="28" max="30" width="11.7109375" style="2" customWidth="1"/>
    <col min="31" max="31" width="12.7109375" style="2" customWidth="1"/>
    <col min="32" max="34" width="11.7109375" style="2" customWidth="1"/>
    <col min="35" max="35" width="12.7109375" style="2" customWidth="1"/>
    <col min="36" max="38" width="11.7109375" style="2" customWidth="1"/>
    <col min="39" max="39" width="12.7109375" style="2" customWidth="1"/>
    <col min="40" max="42" width="11.7109375" style="2" customWidth="1"/>
    <col min="43" max="46" width="12.7109375" style="2" customWidth="1"/>
    <col min="47" max="47" width="15.7109375" style="2" customWidth="1"/>
    <col min="48" max="51" width="13.7109375" style="2" customWidth="1"/>
    <col min="52" max="52" width="9.140625" style="2"/>
    <col min="53" max="53" width="5.5703125" style="2" customWidth="1"/>
    <col min="54" max="54" width="15.5703125" style="2" customWidth="1"/>
    <col min="55" max="98" width="9" style="2" customWidth="1"/>
    <col min="99" max="16384" width="9.140625" style="2"/>
  </cols>
  <sheetData>
    <row r="1" spans="1:51" ht="15.75" x14ac:dyDescent="0.25">
      <c r="A1" s="285" t="str">
        <f>ADSI!$B$1</f>
        <v>Goa, , ADSI-2021</v>
      </c>
    </row>
    <row r="2" spans="1:51" ht="15.75" x14ac:dyDescent="0.25">
      <c r="A2" s="286" t="s">
        <v>657</v>
      </c>
      <c r="C2" s="287">
        <f>COUNTIF(D22:AU22,FALSE)+COUNTIF(X26:AA26,FALSE)+COUNTIF(X28:AA28,FALSE)+COUNTIF(AR26:AU26,FALSE)+COUNTIF(AR28:AU28,FALSE)+COUNTIF(AV10:AY19,FALSE)</f>
        <v>0</v>
      </c>
      <c r="E2" s="465" t="s">
        <v>1570</v>
      </c>
      <c r="F2" s="464">
        <f>COUNTIF(D20:AU20,"ABVAR")</f>
        <v>2</v>
      </c>
    </row>
    <row r="3" spans="1:51" ht="15.75" x14ac:dyDescent="0.25">
      <c r="A3" s="296" t="s">
        <v>134</v>
      </c>
      <c r="C3" s="60"/>
      <c r="D3" s="60"/>
      <c r="E3" s="60"/>
      <c r="F3" s="60"/>
      <c r="G3" s="60"/>
      <c r="H3" s="60"/>
      <c r="I3" s="60"/>
      <c r="J3" s="60"/>
      <c r="K3" s="60"/>
      <c r="L3" s="172"/>
      <c r="M3" s="35"/>
      <c r="O3" s="172"/>
      <c r="P3" s="172"/>
      <c r="Q3" s="172"/>
      <c r="R3" s="172"/>
      <c r="S3" s="172"/>
      <c r="T3" s="172"/>
      <c r="U3" s="172"/>
      <c r="V3" s="115"/>
      <c r="W3" s="777"/>
      <c r="X3" s="777"/>
      <c r="Y3" s="777"/>
      <c r="Z3" s="777"/>
      <c r="AA3" s="777"/>
      <c r="AB3" s="777"/>
      <c r="AC3" s="777"/>
      <c r="AD3" s="777"/>
      <c r="AE3" s="777"/>
      <c r="AF3" s="777"/>
      <c r="AG3" s="777"/>
      <c r="AH3" s="777"/>
      <c r="AI3" s="777"/>
      <c r="AJ3" s="777"/>
      <c r="AK3" s="777"/>
      <c r="AL3" s="777"/>
      <c r="AM3" s="777"/>
      <c r="AN3" s="777"/>
      <c r="AO3" s="777"/>
      <c r="AP3" s="777"/>
      <c r="AQ3" s="777"/>
      <c r="AR3" s="777"/>
      <c r="AS3" s="777"/>
      <c r="AT3" s="777"/>
      <c r="AU3" s="777"/>
    </row>
    <row r="4" spans="1:51" x14ac:dyDescent="0.25">
      <c r="A4" s="296" t="s">
        <v>157</v>
      </c>
      <c r="C4" s="60"/>
      <c r="D4" s="60"/>
      <c r="E4" s="60"/>
      <c r="F4" s="60"/>
      <c r="G4" s="60"/>
      <c r="H4" s="60"/>
      <c r="I4" s="60"/>
      <c r="J4" s="60"/>
      <c r="K4" s="60"/>
      <c r="L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c r="AS4" s="80"/>
      <c r="AT4" s="80"/>
      <c r="AU4" s="80"/>
    </row>
    <row r="5" spans="1:51" ht="20.100000000000001" customHeight="1" x14ac:dyDescent="0.25">
      <c r="A5" s="636" t="s">
        <v>249</v>
      </c>
      <c r="B5" s="636" t="s">
        <v>0</v>
      </c>
      <c r="C5" s="634" t="s">
        <v>132</v>
      </c>
      <c r="D5" s="830" t="s">
        <v>139</v>
      </c>
      <c r="E5" s="830"/>
      <c r="F5" s="830"/>
      <c r="G5" s="830"/>
      <c r="H5" s="830"/>
      <c r="I5" s="830"/>
      <c r="J5" s="830"/>
      <c r="K5" s="830"/>
      <c r="L5" s="830"/>
      <c r="M5" s="830"/>
      <c r="N5" s="830"/>
      <c r="O5" s="830"/>
      <c r="P5" s="830"/>
      <c r="Q5" s="830"/>
      <c r="R5" s="830"/>
      <c r="S5" s="830"/>
      <c r="T5" s="830"/>
      <c r="U5" s="830"/>
      <c r="V5" s="830"/>
      <c r="W5" s="830"/>
      <c r="X5" s="830"/>
      <c r="Y5" s="830"/>
      <c r="Z5" s="830"/>
      <c r="AA5" s="830"/>
      <c r="AB5" s="830"/>
      <c r="AC5" s="830"/>
      <c r="AD5" s="830"/>
      <c r="AE5" s="830"/>
      <c r="AF5" s="830"/>
      <c r="AG5" s="830"/>
      <c r="AH5" s="830"/>
      <c r="AI5" s="830"/>
      <c r="AJ5" s="830"/>
      <c r="AK5" s="830"/>
      <c r="AL5" s="830"/>
      <c r="AM5" s="830"/>
      <c r="AN5" s="830"/>
      <c r="AO5" s="830"/>
      <c r="AP5" s="830"/>
      <c r="AQ5" s="830"/>
      <c r="AR5" s="830"/>
      <c r="AS5" s="830"/>
      <c r="AT5" s="830"/>
      <c r="AU5" s="830"/>
      <c r="AV5" s="695" t="s">
        <v>1671</v>
      </c>
      <c r="AW5" s="695"/>
      <c r="AX5" s="695"/>
      <c r="AY5" s="695"/>
    </row>
    <row r="6" spans="1:51" ht="20.100000000000001" customHeight="1" x14ac:dyDescent="0.25">
      <c r="A6" s="644"/>
      <c r="B6" s="644"/>
      <c r="C6" s="645"/>
      <c r="D6" s="840" t="s">
        <v>140</v>
      </c>
      <c r="E6" s="840"/>
      <c r="F6" s="840"/>
      <c r="G6" s="840"/>
      <c r="H6" s="840"/>
      <c r="I6" s="840"/>
      <c r="J6" s="840"/>
      <c r="K6" s="840"/>
      <c r="L6" s="840"/>
      <c r="M6" s="840"/>
      <c r="N6" s="840"/>
      <c r="O6" s="840"/>
      <c r="P6" s="840"/>
      <c r="Q6" s="840"/>
      <c r="R6" s="840"/>
      <c r="S6" s="840"/>
      <c r="T6" s="840"/>
      <c r="U6" s="840"/>
      <c r="V6" s="840"/>
      <c r="W6" s="840"/>
      <c r="X6" s="840"/>
      <c r="Y6" s="840"/>
      <c r="Z6" s="840"/>
      <c r="AA6" s="840"/>
      <c r="AB6" s="769" t="s">
        <v>145</v>
      </c>
      <c r="AC6" s="769"/>
      <c r="AD6" s="769"/>
      <c r="AE6" s="769"/>
      <c r="AF6" s="769"/>
      <c r="AG6" s="769"/>
      <c r="AH6" s="769"/>
      <c r="AI6" s="769"/>
      <c r="AJ6" s="769"/>
      <c r="AK6" s="769"/>
      <c r="AL6" s="769"/>
      <c r="AM6" s="769"/>
      <c r="AN6" s="769"/>
      <c r="AO6" s="769"/>
      <c r="AP6" s="769"/>
      <c r="AQ6" s="769"/>
      <c r="AR6" s="769"/>
      <c r="AS6" s="769"/>
      <c r="AT6" s="769"/>
      <c r="AU6" s="769"/>
      <c r="AV6" s="695"/>
      <c r="AW6" s="695"/>
      <c r="AX6" s="695"/>
      <c r="AY6" s="695"/>
    </row>
    <row r="7" spans="1:51" ht="20.100000000000001" customHeight="1" x14ac:dyDescent="0.25">
      <c r="A7" s="644"/>
      <c r="B7" s="644"/>
      <c r="C7" s="645"/>
      <c r="D7" s="646" t="s">
        <v>141</v>
      </c>
      <c r="E7" s="646"/>
      <c r="F7" s="646"/>
      <c r="G7" s="646"/>
      <c r="H7" s="698" t="s">
        <v>142</v>
      </c>
      <c r="I7" s="698"/>
      <c r="J7" s="698"/>
      <c r="K7" s="698"/>
      <c r="L7" s="646" t="s">
        <v>143</v>
      </c>
      <c r="M7" s="646"/>
      <c r="N7" s="646"/>
      <c r="O7" s="646"/>
      <c r="P7" s="698" t="s">
        <v>144</v>
      </c>
      <c r="Q7" s="698"/>
      <c r="R7" s="698"/>
      <c r="S7" s="698"/>
      <c r="T7" s="646" t="s">
        <v>9</v>
      </c>
      <c r="U7" s="646"/>
      <c r="V7" s="646"/>
      <c r="W7" s="646"/>
      <c r="X7" s="831" t="s">
        <v>17</v>
      </c>
      <c r="Y7" s="831"/>
      <c r="Z7" s="831"/>
      <c r="AA7" s="831"/>
      <c r="AB7" s="646" t="s">
        <v>146</v>
      </c>
      <c r="AC7" s="646"/>
      <c r="AD7" s="646"/>
      <c r="AE7" s="646"/>
      <c r="AF7" s="698" t="s">
        <v>147</v>
      </c>
      <c r="AG7" s="698"/>
      <c r="AH7" s="698"/>
      <c r="AI7" s="698"/>
      <c r="AJ7" s="646" t="s">
        <v>148</v>
      </c>
      <c r="AK7" s="646"/>
      <c r="AL7" s="646"/>
      <c r="AM7" s="646"/>
      <c r="AN7" s="698" t="s">
        <v>149</v>
      </c>
      <c r="AO7" s="698"/>
      <c r="AP7" s="698"/>
      <c r="AQ7" s="698"/>
      <c r="AR7" s="830" t="s">
        <v>17</v>
      </c>
      <c r="AS7" s="830"/>
      <c r="AT7" s="830"/>
      <c r="AU7" s="830"/>
      <c r="AV7" s="695"/>
      <c r="AW7" s="695"/>
      <c r="AX7" s="695"/>
      <c r="AY7" s="695"/>
    </row>
    <row r="8" spans="1:51" ht="20.100000000000001" customHeight="1" x14ac:dyDescent="0.25">
      <c r="A8" s="637"/>
      <c r="B8" s="637"/>
      <c r="C8" s="635"/>
      <c r="D8" s="114" t="s">
        <v>38</v>
      </c>
      <c r="E8" s="114" t="s">
        <v>39</v>
      </c>
      <c r="F8" s="114" t="s">
        <v>240</v>
      </c>
      <c r="G8" s="114" t="s">
        <v>17</v>
      </c>
      <c r="H8" s="227" t="s">
        <v>38</v>
      </c>
      <c r="I8" s="227" t="s">
        <v>39</v>
      </c>
      <c r="J8" s="227" t="s">
        <v>240</v>
      </c>
      <c r="K8" s="227" t="s">
        <v>17</v>
      </c>
      <c r="L8" s="114" t="s">
        <v>38</v>
      </c>
      <c r="M8" s="114" t="s">
        <v>39</v>
      </c>
      <c r="N8" s="114" t="s">
        <v>240</v>
      </c>
      <c r="O8" s="114" t="s">
        <v>17</v>
      </c>
      <c r="P8" s="227" t="s">
        <v>38</v>
      </c>
      <c r="Q8" s="227" t="s">
        <v>39</v>
      </c>
      <c r="R8" s="227" t="s">
        <v>240</v>
      </c>
      <c r="S8" s="227" t="s">
        <v>17</v>
      </c>
      <c r="T8" s="114" t="s">
        <v>38</v>
      </c>
      <c r="U8" s="114" t="s">
        <v>39</v>
      </c>
      <c r="V8" s="114" t="s">
        <v>240</v>
      </c>
      <c r="W8" s="114" t="s">
        <v>17</v>
      </c>
      <c r="X8" s="227" t="s">
        <v>38</v>
      </c>
      <c r="Y8" s="227" t="s">
        <v>39</v>
      </c>
      <c r="Z8" s="227" t="s">
        <v>240</v>
      </c>
      <c r="AA8" s="227" t="s">
        <v>17</v>
      </c>
      <c r="AB8" s="114" t="s">
        <v>38</v>
      </c>
      <c r="AC8" s="114" t="s">
        <v>39</v>
      </c>
      <c r="AD8" s="114" t="s">
        <v>240</v>
      </c>
      <c r="AE8" s="114" t="s">
        <v>17</v>
      </c>
      <c r="AF8" s="227" t="s">
        <v>38</v>
      </c>
      <c r="AG8" s="227" t="s">
        <v>39</v>
      </c>
      <c r="AH8" s="227" t="s">
        <v>240</v>
      </c>
      <c r="AI8" s="227" t="s">
        <v>17</v>
      </c>
      <c r="AJ8" s="114" t="s">
        <v>38</v>
      </c>
      <c r="AK8" s="114" t="s">
        <v>39</v>
      </c>
      <c r="AL8" s="114" t="s">
        <v>240</v>
      </c>
      <c r="AM8" s="114" t="s">
        <v>17</v>
      </c>
      <c r="AN8" s="227" t="s">
        <v>38</v>
      </c>
      <c r="AO8" s="227" t="s">
        <v>39</v>
      </c>
      <c r="AP8" s="227" t="s">
        <v>240</v>
      </c>
      <c r="AQ8" s="227" t="s">
        <v>17</v>
      </c>
      <c r="AR8" s="114" t="s">
        <v>38</v>
      </c>
      <c r="AS8" s="114" t="s">
        <v>39</v>
      </c>
      <c r="AT8" s="114" t="s">
        <v>240</v>
      </c>
      <c r="AU8" s="114" t="s">
        <v>17</v>
      </c>
      <c r="AV8" s="539" t="s">
        <v>38</v>
      </c>
      <c r="AW8" s="539" t="s">
        <v>39</v>
      </c>
      <c r="AX8" s="539" t="s">
        <v>240</v>
      </c>
      <c r="AY8" s="539" t="s">
        <v>17</v>
      </c>
    </row>
    <row r="9" spans="1:51" ht="20.100000000000001" customHeight="1" x14ac:dyDescent="0.25">
      <c r="A9" s="8"/>
      <c r="B9" s="8" t="s">
        <v>181</v>
      </c>
      <c r="C9" s="219" t="s">
        <v>182</v>
      </c>
      <c r="D9" s="8" t="s">
        <v>183</v>
      </c>
      <c r="E9" s="9" t="s">
        <v>184</v>
      </c>
      <c r="F9" s="9" t="s">
        <v>185</v>
      </c>
      <c r="G9" s="9" t="s">
        <v>186</v>
      </c>
      <c r="H9" s="219" t="s">
        <v>187</v>
      </c>
      <c r="I9" s="219" t="s">
        <v>188</v>
      </c>
      <c r="J9" s="219" t="s">
        <v>189</v>
      </c>
      <c r="K9" s="219" t="s">
        <v>190</v>
      </c>
      <c r="L9" s="8" t="s">
        <v>191</v>
      </c>
      <c r="M9" s="8" t="s">
        <v>192</v>
      </c>
      <c r="N9" s="8" t="s">
        <v>193</v>
      </c>
      <c r="O9" s="8" t="s">
        <v>194</v>
      </c>
      <c r="P9" s="218" t="s">
        <v>195</v>
      </c>
      <c r="Q9" s="218" t="s">
        <v>196</v>
      </c>
      <c r="R9" s="218" t="s">
        <v>197</v>
      </c>
      <c r="S9" s="219" t="s">
        <v>204</v>
      </c>
      <c r="T9" s="8" t="s">
        <v>205</v>
      </c>
      <c r="U9" s="8" t="s">
        <v>206</v>
      </c>
      <c r="V9" s="8" t="s">
        <v>207</v>
      </c>
      <c r="W9" s="8" t="s">
        <v>208</v>
      </c>
      <c r="X9" s="219" t="s">
        <v>209</v>
      </c>
      <c r="Y9" s="219" t="s">
        <v>210</v>
      </c>
      <c r="Z9" s="219" t="s">
        <v>211</v>
      </c>
      <c r="AA9" s="218" t="s">
        <v>212</v>
      </c>
      <c r="AB9" s="9" t="s">
        <v>213</v>
      </c>
      <c r="AC9" s="9" t="s">
        <v>214</v>
      </c>
      <c r="AD9" s="8" t="s">
        <v>215</v>
      </c>
      <c r="AE9" s="8" t="s">
        <v>216</v>
      </c>
      <c r="AF9" s="219" t="s">
        <v>217</v>
      </c>
      <c r="AG9" s="219" t="s">
        <v>218</v>
      </c>
      <c r="AH9" s="219" t="s">
        <v>219</v>
      </c>
      <c r="AI9" s="219" t="s">
        <v>220</v>
      </c>
      <c r="AJ9" s="8" t="s">
        <v>221</v>
      </c>
      <c r="AK9" s="8" t="s">
        <v>222</v>
      </c>
      <c r="AL9" s="8" t="s">
        <v>223</v>
      </c>
      <c r="AM9" s="8" t="s">
        <v>224</v>
      </c>
      <c r="AN9" s="219" t="s">
        <v>225</v>
      </c>
      <c r="AO9" s="219" t="s">
        <v>226</v>
      </c>
      <c r="AP9" s="219" t="s">
        <v>227</v>
      </c>
      <c r="AQ9" s="219" t="s">
        <v>228</v>
      </c>
      <c r="AR9" s="8" t="s">
        <v>229</v>
      </c>
      <c r="AS9" s="8" t="s">
        <v>230</v>
      </c>
      <c r="AT9" s="8" t="s">
        <v>231</v>
      </c>
      <c r="AU9" s="8" t="s">
        <v>232</v>
      </c>
      <c r="AV9" s="408"/>
      <c r="AW9" s="408"/>
      <c r="AX9" s="408"/>
      <c r="AY9" s="408"/>
    </row>
    <row r="10" spans="1:51" ht="20.100000000000001" customHeight="1" x14ac:dyDescent="0.25">
      <c r="A10" s="116">
        <v>900</v>
      </c>
      <c r="B10" s="116">
        <v>1</v>
      </c>
      <c r="C10" s="12" t="s">
        <v>130</v>
      </c>
      <c r="D10" s="265">
        <v>13</v>
      </c>
      <c r="E10" s="265">
        <v>7</v>
      </c>
      <c r="F10" s="265">
        <v>0</v>
      </c>
      <c r="G10" s="438">
        <f>SUM(D10:F10)</f>
        <v>20</v>
      </c>
      <c r="H10" s="265">
        <v>1</v>
      </c>
      <c r="I10" s="265">
        <v>0</v>
      </c>
      <c r="J10" s="265">
        <v>0</v>
      </c>
      <c r="K10" s="438">
        <f>SUM(H10:J10)</f>
        <v>1</v>
      </c>
      <c r="L10" s="265">
        <v>2</v>
      </c>
      <c r="M10" s="265">
        <v>2</v>
      </c>
      <c r="N10" s="265">
        <v>0</v>
      </c>
      <c r="O10" s="438">
        <f>SUM(L10:N10)</f>
        <v>4</v>
      </c>
      <c r="P10" s="265">
        <v>0</v>
      </c>
      <c r="Q10" s="265">
        <v>0</v>
      </c>
      <c r="R10" s="265">
        <v>0</v>
      </c>
      <c r="S10" s="438">
        <f>SUM(P10:R10)</f>
        <v>0</v>
      </c>
      <c r="T10" s="265">
        <v>0</v>
      </c>
      <c r="U10" s="265">
        <v>0</v>
      </c>
      <c r="V10" s="265">
        <v>0</v>
      </c>
      <c r="W10" s="438">
        <f>SUM(T10:V10)</f>
        <v>0</v>
      </c>
      <c r="X10" s="438">
        <f>D10+H10+L10+P10+T10</f>
        <v>16</v>
      </c>
      <c r="Y10" s="438">
        <f>E10+I10+M10+Q10+U10</f>
        <v>9</v>
      </c>
      <c r="Z10" s="438">
        <f>F10+J10+N10+R10+V10</f>
        <v>0</v>
      </c>
      <c r="AA10" s="438">
        <f>SUM(X10:Z10)</f>
        <v>25</v>
      </c>
      <c r="AB10" s="265">
        <v>14</v>
      </c>
      <c r="AC10" s="265">
        <v>7</v>
      </c>
      <c r="AD10" s="265">
        <v>0</v>
      </c>
      <c r="AE10" s="438">
        <f>SUM(AB10:AD10)</f>
        <v>21</v>
      </c>
      <c r="AF10" s="265">
        <v>1</v>
      </c>
      <c r="AG10" s="265">
        <v>1</v>
      </c>
      <c r="AH10" s="265">
        <v>0</v>
      </c>
      <c r="AI10" s="438">
        <f>SUM(AF10:AH10)</f>
        <v>2</v>
      </c>
      <c r="AJ10" s="265">
        <v>0</v>
      </c>
      <c r="AK10" s="265">
        <v>1</v>
      </c>
      <c r="AL10" s="265">
        <v>0</v>
      </c>
      <c r="AM10" s="438">
        <f>SUM(AJ10:AL10)</f>
        <v>1</v>
      </c>
      <c r="AN10" s="265">
        <v>1</v>
      </c>
      <c r="AO10" s="265">
        <v>0</v>
      </c>
      <c r="AP10" s="265">
        <v>0</v>
      </c>
      <c r="AQ10" s="438">
        <f>SUM(AN10:AP10)</f>
        <v>1</v>
      </c>
      <c r="AR10" s="438">
        <f>AB10+AF10+AJ10+AN10</f>
        <v>16</v>
      </c>
      <c r="AS10" s="438">
        <f>AC10+AG10+AK10+AO10</f>
        <v>9</v>
      </c>
      <c r="AT10" s="438">
        <f>AD10+AH10+AL10+AP10</f>
        <v>0</v>
      </c>
      <c r="AU10" s="438">
        <f>SUM(AR10:AT10)</f>
        <v>25</v>
      </c>
      <c r="AV10" s="408" t="str">
        <f>IF(AR10=X10,"",FALSE)</f>
        <v/>
      </c>
      <c r="AW10" s="408" t="str">
        <f t="shared" ref="AW10:AY10" si="0">IF(AS10=Y10,"",FALSE)</f>
        <v/>
      </c>
      <c r="AX10" s="408" t="str">
        <f t="shared" si="0"/>
        <v/>
      </c>
      <c r="AY10" s="408" t="str">
        <f t="shared" si="0"/>
        <v/>
      </c>
    </row>
    <row r="11" spans="1:51" ht="20.100000000000001" customHeight="1" x14ac:dyDescent="0.25">
      <c r="A11" s="116">
        <v>901</v>
      </c>
      <c r="B11" s="116">
        <v>2</v>
      </c>
      <c r="C11" s="12" t="s">
        <v>635</v>
      </c>
      <c r="D11" s="265">
        <v>19</v>
      </c>
      <c r="E11" s="265">
        <v>8</v>
      </c>
      <c r="F11" s="265">
        <v>0</v>
      </c>
      <c r="G11" s="438">
        <f t="shared" ref="G11:G18" si="1">SUM(D11:F11)</f>
        <v>27</v>
      </c>
      <c r="H11" s="265">
        <v>2</v>
      </c>
      <c r="I11" s="265">
        <v>0</v>
      </c>
      <c r="J11" s="265">
        <v>0</v>
      </c>
      <c r="K11" s="438">
        <f t="shared" ref="K11:K18" si="2">SUM(H11:J11)</f>
        <v>2</v>
      </c>
      <c r="L11" s="265">
        <v>2</v>
      </c>
      <c r="M11" s="265">
        <v>1</v>
      </c>
      <c r="N11" s="265">
        <v>0</v>
      </c>
      <c r="O11" s="438">
        <f t="shared" ref="O11:O18" si="3">SUM(L11:N11)</f>
        <v>3</v>
      </c>
      <c r="P11" s="265">
        <v>0</v>
      </c>
      <c r="Q11" s="265">
        <v>0</v>
      </c>
      <c r="R11" s="265">
        <v>0</v>
      </c>
      <c r="S11" s="438">
        <f t="shared" ref="S11:S18" si="4">SUM(P11:R11)</f>
        <v>0</v>
      </c>
      <c r="T11" s="265">
        <v>0</v>
      </c>
      <c r="U11" s="265">
        <v>0</v>
      </c>
      <c r="V11" s="265">
        <v>0</v>
      </c>
      <c r="W11" s="438">
        <f t="shared" ref="W11:W18" si="5">SUM(T11:V11)</f>
        <v>0</v>
      </c>
      <c r="X11" s="438">
        <f t="shared" ref="X11:X18" si="6">D11+H11+L11+P11+T11</f>
        <v>23</v>
      </c>
      <c r="Y11" s="438">
        <f t="shared" ref="Y11:Y18" si="7">E11+I11+M11+Q11+U11</f>
        <v>9</v>
      </c>
      <c r="Z11" s="438">
        <f t="shared" ref="Z11:Z18" si="8">F11+J11+N11+R11+V11</f>
        <v>0</v>
      </c>
      <c r="AA11" s="438">
        <f t="shared" ref="AA11:AA18" si="9">SUM(X11:Z11)</f>
        <v>32</v>
      </c>
      <c r="AB11" s="265">
        <v>20</v>
      </c>
      <c r="AC11" s="265">
        <v>9</v>
      </c>
      <c r="AD11" s="265">
        <v>0</v>
      </c>
      <c r="AE11" s="438">
        <f t="shared" ref="AE11:AE18" si="10">SUM(AB11:AD11)</f>
        <v>29</v>
      </c>
      <c r="AF11" s="265">
        <v>2</v>
      </c>
      <c r="AG11" s="265">
        <v>0</v>
      </c>
      <c r="AH11" s="265">
        <v>0</v>
      </c>
      <c r="AI11" s="438">
        <f t="shared" ref="AI11:AI18" si="11">SUM(AF11:AH11)</f>
        <v>2</v>
      </c>
      <c r="AJ11" s="265">
        <v>0</v>
      </c>
      <c r="AK11" s="265">
        <v>0</v>
      </c>
      <c r="AL11" s="265">
        <v>0</v>
      </c>
      <c r="AM11" s="438">
        <f t="shared" ref="AM11:AM18" si="12">SUM(AJ11:AL11)</f>
        <v>0</v>
      </c>
      <c r="AN11" s="265">
        <v>1</v>
      </c>
      <c r="AO11" s="265">
        <v>0</v>
      </c>
      <c r="AP11" s="265">
        <v>0</v>
      </c>
      <c r="AQ11" s="438">
        <f t="shared" ref="AQ11:AQ18" si="13">SUM(AN11:AP11)</f>
        <v>1</v>
      </c>
      <c r="AR11" s="438">
        <f t="shared" ref="AR11:AR18" si="14">AB11+AF11+AJ11+AN11</f>
        <v>23</v>
      </c>
      <c r="AS11" s="438">
        <f t="shared" ref="AS11:AS18" si="15">AC11+AG11+AK11+AO11</f>
        <v>9</v>
      </c>
      <c r="AT11" s="438">
        <f t="shared" ref="AT11:AT18" si="16">AD11+AH11+AL11+AP11</f>
        <v>0</v>
      </c>
      <c r="AU11" s="438">
        <f t="shared" ref="AU11:AU18" si="17">SUM(AR11:AT11)</f>
        <v>32</v>
      </c>
      <c r="AV11" s="408" t="str">
        <f t="shared" ref="AV11:AV19" si="18">IF(AR11=X11,"",FALSE)</f>
        <v/>
      </c>
      <c r="AW11" s="408" t="str">
        <f t="shared" ref="AW11:AW19" si="19">IF(AS11=Y11,"",FALSE)</f>
        <v/>
      </c>
      <c r="AX11" s="408" t="str">
        <f t="shared" ref="AX11:AX19" si="20">IF(AT11=Z11,"",FALSE)</f>
        <v/>
      </c>
      <c r="AY11" s="408" t="str">
        <f t="shared" ref="AY11:AY19" si="21">IF(AU11=AA11,"",FALSE)</f>
        <v/>
      </c>
    </row>
    <row r="12" spans="1:51" ht="20.100000000000001" customHeight="1" x14ac:dyDescent="0.25">
      <c r="A12" s="116">
        <v>902</v>
      </c>
      <c r="B12" s="116">
        <v>3</v>
      </c>
      <c r="C12" s="12" t="s">
        <v>636</v>
      </c>
      <c r="D12" s="265">
        <v>32</v>
      </c>
      <c r="E12" s="265">
        <v>12</v>
      </c>
      <c r="F12" s="265">
        <v>0</v>
      </c>
      <c r="G12" s="438">
        <f t="shared" si="1"/>
        <v>44</v>
      </c>
      <c r="H12" s="265">
        <v>7</v>
      </c>
      <c r="I12" s="265">
        <v>1</v>
      </c>
      <c r="J12" s="265">
        <v>0</v>
      </c>
      <c r="K12" s="438">
        <f t="shared" si="2"/>
        <v>8</v>
      </c>
      <c r="L12" s="265">
        <v>7</v>
      </c>
      <c r="M12" s="265">
        <v>3</v>
      </c>
      <c r="N12" s="265">
        <v>0</v>
      </c>
      <c r="O12" s="438">
        <f t="shared" si="3"/>
        <v>10</v>
      </c>
      <c r="P12" s="265">
        <v>0</v>
      </c>
      <c r="Q12" s="265">
        <v>0</v>
      </c>
      <c r="R12" s="265">
        <v>0</v>
      </c>
      <c r="S12" s="438">
        <f t="shared" si="4"/>
        <v>0</v>
      </c>
      <c r="T12" s="265">
        <v>0</v>
      </c>
      <c r="U12" s="265">
        <v>0</v>
      </c>
      <c r="V12" s="265">
        <v>0</v>
      </c>
      <c r="W12" s="438">
        <f t="shared" si="5"/>
        <v>0</v>
      </c>
      <c r="X12" s="438">
        <f t="shared" si="6"/>
        <v>46</v>
      </c>
      <c r="Y12" s="438">
        <f t="shared" si="7"/>
        <v>16</v>
      </c>
      <c r="Z12" s="438">
        <f t="shared" si="8"/>
        <v>0</v>
      </c>
      <c r="AA12" s="438">
        <f t="shared" si="9"/>
        <v>62</v>
      </c>
      <c r="AB12" s="265">
        <v>45</v>
      </c>
      <c r="AC12" s="265">
        <v>14</v>
      </c>
      <c r="AD12" s="265">
        <v>0</v>
      </c>
      <c r="AE12" s="438">
        <f t="shared" si="10"/>
        <v>59</v>
      </c>
      <c r="AF12" s="265">
        <v>1</v>
      </c>
      <c r="AG12" s="265">
        <v>2</v>
      </c>
      <c r="AH12" s="265">
        <v>0</v>
      </c>
      <c r="AI12" s="438">
        <f t="shared" si="11"/>
        <v>3</v>
      </c>
      <c r="AJ12" s="265">
        <v>0</v>
      </c>
      <c r="AK12" s="265">
        <v>0</v>
      </c>
      <c r="AL12" s="265">
        <v>0</v>
      </c>
      <c r="AM12" s="438">
        <f t="shared" si="12"/>
        <v>0</v>
      </c>
      <c r="AN12" s="265">
        <v>0</v>
      </c>
      <c r="AO12" s="265">
        <v>0</v>
      </c>
      <c r="AP12" s="265">
        <v>0</v>
      </c>
      <c r="AQ12" s="438">
        <f t="shared" si="13"/>
        <v>0</v>
      </c>
      <c r="AR12" s="438">
        <f t="shared" si="14"/>
        <v>46</v>
      </c>
      <c r="AS12" s="438">
        <f t="shared" si="15"/>
        <v>16</v>
      </c>
      <c r="AT12" s="438">
        <f t="shared" si="16"/>
        <v>0</v>
      </c>
      <c r="AU12" s="438">
        <f t="shared" si="17"/>
        <v>62</v>
      </c>
      <c r="AV12" s="408" t="str">
        <f t="shared" si="18"/>
        <v/>
      </c>
      <c r="AW12" s="408" t="str">
        <f t="shared" si="19"/>
        <v/>
      </c>
      <c r="AX12" s="408" t="str">
        <f t="shared" si="20"/>
        <v/>
      </c>
      <c r="AY12" s="408" t="str">
        <f t="shared" si="21"/>
        <v/>
      </c>
    </row>
    <row r="13" spans="1:51" ht="30" x14ac:dyDescent="0.25">
      <c r="A13" s="116">
        <v>903</v>
      </c>
      <c r="B13" s="116">
        <v>4</v>
      </c>
      <c r="C13" s="12" t="s">
        <v>640</v>
      </c>
      <c r="D13" s="265">
        <v>74</v>
      </c>
      <c r="E13" s="265">
        <v>11</v>
      </c>
      <c r="F13" s="265">
        <v>0</v>
      </c>
      <c r="G13" s="438">
        <f t="shared" si="1"/>
        <v>85</v>
      </c>
      <c r="H13" s="265">
        <v>7</v>
      </c>
      <c r="I13" s="265">
        <v>3</v>
      </c>
      <c r="J13" s="265">
        <v>0</v>
      </c>
      <c r="K13" s="438">
        <f t="shared" si="2"/>
        <v>10</v>
      </c>
      <c r="L13" s="265">
        <v>18</v>
      </c>
      <c r="M13" s="265">
        <v>5</v>
      </c>
      <c r="N13" s="265">
        <v>0</v>
      </c>
      <c r="O13" s="438">
        <f t="shared" si="3"/>
        <v>23</v>
      </c>
      <c r="P13" s="265">
        <v>0</v>
      </c>
      <c r="Q13" s="265">
        <v>0</v>
      </c>
      <c r="R13" s="265">
        <v>0</v>
      </c>
      <c r="S13" s="438">
        <f t="shared" si="4"/>
        <v>0</v>
      </c>
      <c r="T13" s="265">
        <v>0</v>
      </c>
      <c r="U13" s="265">
        <v>0</v>
      </c>
      <c r="V13" s="265">
        <v>0</v>
      </c>
      <c r="W13" s="438">
        <f t="shared" si="5"/>
        <v>0</v>
      </c>
      <c r="X13" s="438">
        <f t="shared" si="6"/>
        <v>99</v>
      </c>
      <c r="Y13" s="438">
        <f t="shared" si="7"/>
        <v>19</v>
      </c>
      <c r="Z13" s="438">
        <f t="shared" si="8"/>
        <v>0</v>
      </c>
      <c r="AA13" s="438">
        <f t="shared" si="9"/>
        <v>118</v>
      </c>
      <c r="AB13" s="265">
        <v>87</v>
      </c>
      <c r="AC13" s="265">
        <v>16</v>
      </c>
      <c r="AD13" s="265">
        <v>0</v>
      </c>
      <c r="AE13" s="438">
        <f t="shared" si="10"/>
        <v>103</v>
      </c>
      <c r="AF13" s="265">
        <v>8</v>
      </c>
      <c r="AG13" s="265">
        <v>2</v>
      </c>
      <c r="AH13" s="265">
        <v>0</v>
      </c>
      <c r="AI13" s="438">
        <f t="shared" si="11"/>
        <v>10</v>
      </c>
      <c r="AJ13" s="265">
        <v>0</v>
      </c>
      <c r="AK13" s="265">
        <v>0</v>
      </c>
      <c r="AL13" s="265">
        <v>0</v>
      </c>
      <c r="AM13" s="438">
        <f t="shared" si="12"/>
        <v>0</v>
      </c>
      <c r="AN13" s="265">
        <v>4</v>
      </c>
      <c r="AO13" s="265">
        <v>1</v>
      </c>
      <c r="AP13" s="265">
        <v>0</v>
      </c>
      <c r="AQ13" s="438">
        <f t="shared" si="13"/>
        <v>5</v>
      </c>
      <c r="AR13" s="438">
        <f t="shared" si="14"/>
        <v>99</v>
      </c>
      <c r="AS13" s="438">
        <f t="shared" si="15"/>
        <v>19</v>
      </c>
      <c r="AT13" s="438">
        <f t="shared" si="16"/>
        <v>0</v>
      </c>
      <c r="AU13" s="438">
        <f t="shared" si="17"/>
        <v>118</v>
      </c>
      <c r="AV13" s="408" t="str">
        <f t="shared" si="18"/>
        <v/>
      </c>
      <c r="AW13" s="408" t="str">
        <f t="shared" si="19"/>
        <v/>
      </c>
      <c r="AX13" s="408" t="str">
        <f t="shared" si="20"/>
        <v/>
      </c>
      <c r="AY13" s="408" t="str">
        <f t="shared" si="21"/>
        <v/>
      </c>
    </row>
    <row r="14" spans="1:51" ht="45" x14ac:dyDescent="0.25">
      <c r="A14" s="116">
        <v>904</v>
      </c>
      <c r="B14" s="116">
        <v>5</v>
      </c>
      <c r="C14" s="12" t="s">
        <v>637</v>
      </c>
      <c r="D14" s="265">
        <v>31</v>
      </c>
      <c r="E14" s="265">
        <v>8</v>
      </c>
      <c r="F14" s="265">
        <v>0</v>
      </c>
      <c r="G14" s="438">
        <f t="shared" si="1"/>
        <v>39</v>
      </c>
      <c r="H14" s="265">
        <v>0</v>
      </c>
      <c r="I14" s="265">
        <v>2</v>
      </c>
      <c r="J14" s="265">
        <v>0</v>
      </c>
      <c r="K14" s="438">
        <f t="shared" si="2"/>
        <v>2</v>
      </c>
      <c r="L14" s="265">
        <v>11</v>
      </c>
      <c r="M14" s="265">
        <v>4</v>
      </c>
      <c r="N14" s="265">
        <v>0</v>
      </c>
      <c r="O14" s="438">
        <f t="shared" si="3"/>
        <v>15</v>
      </c>
      <c r="P14" s="265">
        <v>0</v>
      </c>
      <c r="Q14" s="265">
        <v>0</v>
      </c>
      <c r="R14" s="265">
        <v>0</v>
      </c>
      <c r="S14" s="438">
        <f t="shared" si="4"/>
        <v>0</v>
      </c>
      <c r="T14" s="265">
        <v>0</v>
      </c>
      <c r="U14" s="265">
        <v>0</v>
      </c>
      <c r="V14" s="265">
        <v>0</v>
      </c>
      <c r="W14" s="438">
        <f t="shared" si="5"/>
        <v>0</v>
      </c>
      <c r="X14" s="438">
        <f t="shared" si="6"/>
        <v>42</v>
      </c>
      <c r="Y14" s="438">
        <f t="shared" si="7"/>
        <v>14</v>
      </c>
      <c r="Z14" s="438">
        <f t="shared" si="8"/>
        <v>0</v>
      </c>
      <c r="AA14" s="438">
        <f t="shared" si="9"/>
        <v>56</v>
      </c>
      <c r="AB14" s="265">
        <v>36</v>
      </c>
      <c r="AC14" s="265">
        <v>14</v>
      </c>
      <c r="AD14" s="265">
        <v>0</v>
      </c>
      <c r="AE14" s="438">
        <f t="shared" si="10"/>
        <v>50</v>
      </c>
      <c r="AF14" s="265">
        <v>3</v>
      </c>
      <c r="AG14" s="265">
        <v>0</v>
      </c>
      <c r="AH14" s="265">
        <v>0</v>
      </c>
      <c r="AI14" s="438">
        <f t="shared" si="11"/>
        <v>3</v>
      </c>
      <c r="AJ14" s="265">
        <v>0</v>
      </c>
      <c r="AK14" s="265">
        <v>0</v>
      </c>
      <c r="AL14" s="265">
        <v>0</v>
      </c>
      <c r="AM14" s="438">
        <f t="shared" si="12"/>
        <v>0</v>
      </c>
      <c r="AN14" s="265">
        <v>3</v>
      </c>
      <c r="AO14" s="265">
        <v>0</v>
      </c>
      <c r="AP14" s="265">
        <v>0</v>
      </c>
      <c r="AQ14" s="438">
        <f t="shared" si="13"/>
        <v>3</v>
      </c>
      <c r="AR14" s="438">
        <f t="shared" si="14"/>
        <v>42</v>
      </c>
      <c r="AS14" s="438">
        <f t="shared" si="15"/>
        <v>14</v>
      </c>
      <c r="AT14" s="438">
        <f t="shared" si="16"/>
        <v>0</v>
      </c>
      <c r="AU14" s="438">
        <f t="shared" si="17"/>
        <v>56</v>
      </c>
      <c r="AV14" s="408" t="str">
        <f t="shared" si="18"/>
        <v/>
      </c>
      <c r="AW14" s="408" t="str">
        <f t="shared" si="19"/>
        <v/>
      </c>
      <c r="AX14" s="408" t="str">
        <f t="shared" si="20"/>
        <v/>
      </c>
      <c r="AY14" s="408" t="str">
        <f t="shared" si="21"/>
        <v/>
      </c>
    </row>
    <row r="15" spans="1:51" ht="20.100000000000001" customHeight="1" x14ac:dyDescent="0.25">
      <c r="A15" s="116">
        <v>905</v>
      </c>
      <c r="B15" s="116">
        <v>6</v>
      </c>
      <c r="C15" s="12" t="s">
        <v>638</v>
      </c>
      <c r="D15" s="265">
        <v>0</v>
      </c>
      <c r="E15" s="265">
        <v>0</v>
      </c>
      <c r="F15" s="265">
        <v>0</v>
      </c>
      <c r="G15" s="438">
        <f t="shared" si="1"/>
        <v>0</v>
      </c>
      <c r="H15" s="265">
        <v>0</v>
      </c>
      <c r="I15" s="265">
        <v>0</v>
      </c>
      <c r="J15" s="265">
        <v>0</v>
      </c>
      <c r="K15" s="438">
        <f t="shared" si="2"/>
        <v>0</v>
      </c>
      <c r="L15" s="265">
        <v>1</v>
      </c>
      <c r="M15" s="265">
        <v>0</v>
      </c>
      <c r="N15" s="265">
        <v>0</v>
      </c>
      <c r="O15" s="438">
        <f t="shared" si="3"/>
        <v>1</v>
      </c>
      <c r="P15" s="265">
        <v>0</v>
      </c>
      <c r="Q15" s="265">
        <v>0</v>
      </c>
      <c r="R15" s="265">
        <v>0</v>
      </c>
      <c r="S15" s="438">
        <f t="shared" si="4"/>
        <v>0</v>
      </c>
      <c r="T15" s="265">
        <v>0</v>
      </c>
      <c r="U15" s="265">
        <v>0</v>
      </c>
      <c r="V15" s="265">
        <v>0</v>
      </c>
      <c r="W15" s="438">
        <f t="shared" si="5"/>
        <v>0</v>
      </c>
      <c r="X15" s="438">
        <f t="shared" si="6"/>
        <v>1</v>
      </c>
      <c r="Y15" s="438">
        <f t="shared" si="7"/>
        <v>0</v>
      </c>
      <c r="Z15" s="438">
        <f t="shared" si="8"/>
        <v>0</v>
      </c>
      <c r="AA15" s="438">
        <f t="shared" si="9"/>
        <v>1</v>
      </c>
      <c r="AB15" s="265">
        <v>1</v>
      </c>
      <c r="AC15" s="265">
        <v>0</v>
      </c>
      <c r="AD15" s="265">
        <v>0</v>
      </c>
      <c r="AE15" s="438">
        <f t="shared" si="10"/>
        <v>1</v>
      </c>
      <c r="AF15" s="265">
        <v>0</v>
      </c>
      <c r="AG15" s="265">
        <v>0</v>
      </c>
      <c r="AH15" s="265">
        <v>0</v>
      </c>
      <c r="AI15" s="438">
        <f t="shared" si="11"/>
        <v>0</v>
      </c>
      <c r="AJ15" s="265">
        <v>0</v>
      </c>
      <c r="AK15" s="265">
        <v>0</v>
      </c>
      <c r="AL15" s="265">
        <v>0</v>
      </c>
      <c r="AM15" s="438">
        <f t="shared" si="12"/>
        <v>0</v>
      </c>
      <c r="AN15" s="265">
        <v>0</v>
      </c>
      <c r="AO15" s="265">
        <v>0</v>
      </c>
      <c r="AP15" s="265">
        <v>0</v>
      </c>
      <c r="AQ15" s="438">
        <f t="shared" si="13"/>
        <v>0</v>
      </c>
      <c r="AR15" s="438">
        <f t="shared" si="14"/>
        <v>1</v>
      </c>
      <c r="AS15" s="438">
        <f t="shared" si="15"/>
        <v>0</v>
      </c>
      <c r="AT15" s="438">
        <f t="shared" si="16"/>
        <v>0</v>
      </c>
      <c r="AU15" s="438">
        <f t="shared" si="17"/>
        <v>1</v>
      </c>
      <c r="AV15" s="408" t="str">
        <f t="shared" si="18"/>
        <v/>
      </c>
      <c r="AW15" s="408" t="str">
        <f t="shared" si="19"/>
        <v/>
      </c>
      <c r="AX15" s="408" t="str">
        <f t="shared" si="20"/>
        <v/>
      </c>
      <c r="AY15" s="408" t="str">
        <f t="shared" si="21"/>
        <v/>
      </c>
    </row>
    <row r="16" spans="1:51" ht="20.100000000000001" customHeight="1" x14ac:dyDescent="0.25">
      <c r="A16" s="116">
        <v>906</v>
      </c>
      <c r="B16" s="116">
        <v>7</v>
      </c>
      <c r="C16" s="13" t="s">
        <v>131</v>
      </c>
      <c r="D16" s="265">
        <v>13</v>
      </c>
      <c r="E16" s="265">
        <v>3</v>
      </c>
      <c r="F16" s="265">
        <v>0</v>
      </c>
      <c r="G16" s="438">
        <f t="shared" si="1"/>
        <v>16</v>
      </c>
      <c r="H16" s="265">
        <v>0</v>
      </c>
      <c r="I16" s="265">
        <v>0</v>
      </c>
      <c r="J16" s="265">
        <v>0</v>
      </c>
      <c r="K16" s="438">
        <f t="shared" si="2"/>
        <v>0</v>
      </c>
      <c r="L16" s="265">
        <v>3</v>
      </c>
      <c r="M16" s="265">
        <v>1</v>
      </c>
      <c r="N16" s="265">
        <v>0</v>
      </c>
      <c r="O16" s="438">
        <f t="shared" si="3"/>
        <v>4</v>
      </c>
      <c r="P16" s="265">
        <v>0</v>
      </c>
      <c r="Q16" s="265">
        <v>0</v>
      </c>
      <c r="R16" s="265">
        <v>0</v>
      </c>
      <c r="S16" s="438">
        <f t="shared" si="4"/>
        <v>0</v>
      </c>
      <c r="T16" s="265">
        <v>0</v>
      </c>
      <c r="U16" s="265">
        <v>0</v>
      </c>
      <c r="V16" s="265">
        <v>0</v>
      </c>
      <c r="W16" s="438">
        <f t="shared" si="5"/>
        <v>0</v>
      </c>
      <c r="X16" s="438">
        <f t="shared" si="6"/>
        <v>16</v>
      </c>
      <c r="Y16" s="438">
        <f t="shared" si="7"/>
        <v>4</v>
      </c>
      <c r="Z16" s="438">
        <f t="shared" si="8"/>
        <v>0</v>
      </c>
      <c r="AA16" s="438">
        <f t="shared" si="9"/>
        <v>20</v>
      </c>
      <c r="AB16" s="265">
        <v>13</v>
      </c>
      <c r="AC16" s="265">
        <v>4</v>
      </c>
      <c r="AD16" s="265">
        <v>0</v>
      </c>
      <c r="AE16" s="438">
        <f t="shared" si="10"/>
        <v>17</v>
      </c>
      <c r="AF16" s="265">
        <v>2</v>
      </c>
      <c r="AG16" s="265">
        <v>0</v>
      </c>
      <c r="AH16" s="265">
        <v>0</v>
      </c>
      <c r="AI16" s="438">
        <f t="shared" si="11"/>
        <v>2</v>
      </c>
      <c r="AJ16" s="265">
        <v>1</v>
      </c>
      <c r="AK16" s="265">
        <v>0</v>
      </c>
      <c r="AL16" s="265">
        <v>0</v>
      </c>
      <c r="AM16" s="438">
        <f t="shared" si="12"/>
        <v>1</v>
      </c>
      <c r="AN16" s="265">
        <v>0</v>
      </c>
      <c r="AO16" s="265">
        <v>0</v>
      </c>
      <c r="AP16" s="265">
        <v>0</v>
      </c>
      <c r="AQ16" s="438">
        <f t="shared" si="13"/>
        <v>0</v>
      </c>
      <c r="AR16" s="438">
        <f t="shared" si="14"/>
        <v>16</v>
      </c>
      <c r="AS16" s="438">
        <f t="shared" si="15"/>
        <v>4</v>
      </c>
      <c r="AT16" s="438">
        <f t="shared" si="16"/>
        <v>0</v>
      </c>
      <c r="AU16" s="438">
        <f t="shared" si="17"/>
        <v>20</v>
      </c>
      <c r="AV16" s="408" t="str">
        <f t="shared" si="18"/>
        <v/>
      </c>
      <c r="AW16" s="408" t="str">
        <f t="shared" si="19"/>
        <v/>
      </c>
      <c r="AX16" s="408" t="str">
        <f t="shared" si="20"/>
        <v/>
      </c>
      <c r="AY16" s="408" t="str">
        <f t="shared" si="21"/>
        <v/>
      </c>
    </row>
    <row r="17" spans="1:51" ht="20.100000000000001" customHeight="1" x14ac:dyDescent="0.25">
      <c r="A17" s="116">
        <v>907</v>
      </c>
      <c r="B17" s="116">
        <v>8</v>
      </c>
      <c r="C17" s="12" t="s">
        <v>285</v>
      </c>
      <c r="D17" s="265">
        <v>0</v>
      </c>
      <c r="E17" s="265">
        <v>1</v>
      </c>
      <c r="F17" s="265">
        <v>0</v>
      </c>
      <c r="G17" s="438">
        <f t="shared" si="1"/>
        <v>1</v>
      </c>
      <c r="H17" s="265">
        <v>0</v>
      </c>
      <c r="I17" s="265">
        <v>0</v>
      </c>
      <c r="J17" s="265">
        <v>0</v>
      </c>
      <c r="K17" s="438">
        <f t="shared" si="2"/>
        <v>0</v>
      </c>
      <c r="L17" s="265">
        <v>0</v>
      </c>
      <c r="M17" s="265">
        <v>0</v>
      </c>
      <c r="N17" s="265">
        <v>0</v>
      </c>
      <c r="O17" s="438">
        <f t="shared" si="3"/>
        <v>0</v>
      </c>
      <c r="P17" s="265">
        <v>0</v>
      </c>
      <c r="Q17" s="265">
        <v>0</v>
      </c>
      <c r="R17" s="265">
        <v>0</v>
      </c>
      <c r="S17" s="438">
        <f t="shared" si="4"/>
        <v>0</v>
      </c>
      <c r="T17" s="265">
        <v>0</v>
      </c>
      <c r="U17" s="265">
        <v>0</v>
      </c>
      <c r="V17" s="265">
        <v>0</v>
      </c>
      <c r="W17" s="438">
        <f t="shared" si="5"/>
        <v>0</v>
      </c>
      <c r="X17" s="438">
        <f t="shared" si="6"/>
        <v>0</v>
      </c>
      <c r="Y17" s="438">
        <f t="shared" si="7"/>
        <v>1</v>
      </c>
      <c r="Z17" s="438">
        <f t="shared" si="8"/>
        <v>0</v>
      </c>
      <c r="AA17" s="438">
        <f t="shared" si="9"/>
        <v>1</v>
      </c>
      <c r="AB17" s="265">
        <v>0</v>
      </c>
      <c r="AC17" s="265">
        <v>1</v>
      </c>
      <c r="AD17" s="265">
        <v>0</v>
      </c>
      <c r="AE17" s="438">
        <f t="shared" si="10"/>
        <v>1</v>
      </c>
      <c r="AF17" s="265">
        <v>0</v>
      </c>
      <c r="AG17" s="265">
        <v>0</v>
      </c>
      <c r="AH17" s="265">
        <v>0</v>
      </c>
      <c r="AI17" s="438">
        <f t="shared" si="11"/>
        <v>0</v>
      </c>
      <c r="AJ17" s="265">
        <v>0</v>
      </c>
      <c r="AK17" s="265">
        <v>0</v>
      </c>
      <c r="AL17" s="265">
        <v>0</v>
      </c>
      <c r="AM17" s="438">
        <f t="shared" si="12"/>
        <v>0</v>
      </c>
      <c r="AN17" s="265">
        <v>0</v>
      </c>
      <c r="AO17" s="265">
        <v>0</v>
      </c>
      <c r="AP17" s="265">
        <v>0</v>
      </c>
      <c r="AQ17" s="438">
        <f t="shared" si="13"/>
        <v>0</v>
      </c>
      <c r="AR17" s="438">
        <f t="shared" si="14"/>
        <v>0</v>
      </c>
      <c r="AS17" s="438">
        <f t="shared" si="15"/>
        <v>1</v>
      </c>
      <c r="AT17" s="438">
        <f t="shared" si="16"/>
        <v>0</v>
      </c>
      <c r="AU17" s="438">
        <f t="shared" si="17"/>
        <v>1</v>
      </c>
      <c r="AV17" s="408" t="str">
        <f t="shared" si="18"/>
        <v/>
      </c>
      <c r="AW17" s="408" t="str">
        <f t="shared" si="19"/>
        <v/>
      </c>
      <c r="AX17" s="408" t="str">
        <f t="shared" si="20"/>
        <v/>
      </c>
      <c r="AY17" s="408" t="str">
        <f t="shared" si="21"/>
        <v/>
      </c>
    </row>
    <row r="18" spans="1:51" ht="20.100000000000001" customHeight="1" x14ac:dyDescent="0.25">
      <c r="A18" s="116">
        <v>908</v>
      </c>
      <c r="B18" s="116">
        <v>9</v>
      </c>
      <c r="C18" s="12" t="s">
        <v>151</v>
      </c>
      <c r="D18" s="265">
        <v>0</v>
      </c>
      <c r="E18" s="265">
        <v>0</v>
      </c>
      <c r="F18" s="265">
        <v>0</v>
      </c>
      <c r="G18" s="438">
        <f t="shared" si="1"/>
        <v>0</v>
      </c>
      <c r="H18" s="265">
        <v>0</v>
      </c>
      <c r="I18" s="265">
        <v>0</v>
      </c>
      <c r="J18" s="265">
        <v>0</v>
      </c>
      <c r="K18" s="438">
        <f t="shared" si="2"/>
        <v>0</v>
      </c>
      <c r="L18" s="265">
        <v>1</v>
      </c>
      <c r="M18" s="265">
        <v>0</v>
      </c>
      <c r="N18" s="265">
        <v>0</v>
      </c>
      <c r="O18" s="438">
        <f t="shared" si="3"/>
        <v>1</v>
      </c>
      <c r="P18" s="265">
        <v>0</v>
      </c>
      <c r="Q18" s="265">
        <v>0</v>
      </c>
      <c r="R18" s="265">
        <v>0</v>
      </c>
      <c r="S18" s="438">
        <f t="shared" si="4"/>
        <v>0</v>
      </c>
      <c r="T18" s="265">
        <v>5</v>
      </c>
      <c r="U18" s="265">
        <v>0</v>
      </c>
      <c r="V18" s="265">
        <v>0</v>
      </c>
      <c r="W18" s="438">
        <f t="shared" si="5"/>
        <v>5</v>
      </c>
      <c r="X18" s="438">
        <f t="shared" si="6"/>
        <v>6</v>
      </c>
      <c r="Y18" s="438">
        <f t="shared" si="7"/>
        <v>0</v>
      </c>
      <c r="Z18" s="438">
        <f t="shared" si="8"/>
        <v>0</v>
      </c>
      <c r="AA18" s="438">
        <f t="shared" si="9"/>
        <v>6</v>
      </c>
      <c r="AB18" s="265">
        <v>6</v>
      </c>
      <c r="AC18" s="265">
        <v>0</v>
      </c>
      <c r="AD18" s="265">
        <v>0</v>
      </c>
      <c r="AE18" s="438">
        <f t="shared" si="10"/>
        <v>6</v>
      </c>
      <c r="AF18" s="265">
        <v>0</v>
      </c>
      <c r="AG18" s="265">
        <v>0</v>
      </c>
      <c r="AH18" s="265">
        <v>0</v>
      </c>
      <c r="AI18" s="438">
        <f t="shared" si="11"/>
        <v>0</v>
      </c>
      <c r="AJ18" s="265">
        <v>0</v>
      </c>
      <c r="AK18" s="265">
        <v>0</v>
      </c>
      <c r="AL18" s="265">
        <v>0</v>
      </c>
      <c r="AM18" s="438">
        <f t="shared" si="12"/>
        <v>0</v>
      </c>
      <c r="AN18" s="265">
        <v>0</v>
      </c>
      <c r="AO18" s="265">
        <v>0</v>
      </c>
      <c r="AP18" s="265">
        <v>0</v>
      </c>
      <c r="AQ18" s="438">
        <f t="shared" si="13"/>
        <v>0</v>
      </c>
      <c r="AR18" s="438">
        <f t="shared" si="14"/>
        <v>6</v>
      </c>
      <c r="AS18" s="438">
        <f t="shared" si="15"/>
        <v>0</v>
      </c>
      <c r="AT18" s="438">
        <f t="shared" si="16"/>
        <v>0</v>
      </c>
      <c r="AU18" s="438">
        <f t="shared" si="17"/>
        <v>6</v>
      </c>
      <c r="AV18" s="408" t="str">
        <f t="shared" si="18"/>
        <v/>
      </c>
      <c r="AW18" s="408" t="str">
        <f t="shared" si="19"/>
        <v/>
      </c>
      <c r="AX18" s="408" t="str">
        <f t="shared" si="20"/>
        <v/>
      </c>
      <c r="AY18" s="408" t="str">
        <f t="shared" si="21"/>
        <v/>
      </c>
    </row>
    <row r="19" spans="1:51" ht="20.100000000000001" customHeight="1" x14ac:dyDescent="0.25">
      <c r="A19" s="116">
        <v>915</v>
      </c>
      <c r="B19" s="272">
        <v>10</v>
      </c>
      <c r="C19" s="16" t="s">
        <v>639</v>
      </c>
      <c r="D19" s="441">
        <f>SUM(D10:D18)</f>
        <v>182</v>
      </c>
      <c r="E19" s="441">
        <f t="shared" ref="E19:M19" si="22">SUM(E10:E18)</f>
        <v>50</v>
      </c>
      <c r="F19" s="441">
        <f t="shared" si="22"/>
        <v>0</v>
      </c>
      <c r="G19" s="441">
        <f t="shared" si="22"/>
        <v>232</v>
      </c>
      <c r="H19" s="441">
        <f t="shared" si="22"/>
        <v>17</v>
      </c>
      <c r="I19" s="441">
        <f t="shared" si="22"/>
        <v>6</v>
      </c>
      <c r="J19" s="441">
        <f t="shared" si="22"/>
        <v>0</v>
      </c>
      <c r="K19" s="441">
        <f t="shared" si="22"/>
        <v>23</v>
      </c>
      <c r="L19" s="441">
        <f t="shared" si="22"/>
        <v>45</v>
      </c>
      <c r="M19" s="441">
        <f t="shared" si="22"/>
        <v>16</v>
      </c>
      <c r="N19" s="441">
        <f>SUM(N10:N18)</f>
        <v>0</v>
      </c>
      <c r="O19" s="441">
        <f t="shared" ref="O19" si="23">SUM(O10:O18)</f>
        <v>61</v>
      </c>
      <c r="P19" s="441">
        <f t="shared" ref="P19" si="24">SUM(P10:P18)</f>
        <v>0</v>
      </c>
      <c r="Q19" s="441">
        <f t="shared" ref="Q19" si="25">SUM(Q10:Q18)</f>
        <v>0</v>
      </c>
      <c r="R19" s="441">
        <f t="shared" ref="R19" si="26">SUM(R10:R18)</f>
        <v>0</v>
      </c>
      <c r="S19" s="441">
        <f t="shared" ref="S19" si="27">SUM(S10:S18)</f>
        <v>0</v>
      </c>
      <c r="T19" s="441">
        <f t="shared" ref="T19" si="28">SUM(T10:T18)</f>
        <v>5</v>
      </c>
      <c r="U19" s="441">
        <f t="shared" ref="U19" si="29">SUM(U10:U18)</f>
        <v>0</v>
      </c>
      <c r="V19" s="441">
        <f t="shared" ref="V19" si="30">SUM(V10:V18)</f>
        <v>0</v>
      </c>
      <c r="W19" s="441">
        <f t="shared" ref="W19" si="31">SUM(W10:W18)</f>
        <v>5</v>
      </c>
      <c r="X19" s="441">
        <f t="shared" ref="X19" si="32">SUM(X10:X18)</f>
        <v>249</v>
      </c>
      <c r="Y19" s="441">
        <f t="shared" ref="Y19" si="33">SUM(Y10:Y18)</f>
        <v>72</v>
      </c>
      <c r="Z19" s="441">
        <f t="shared" ref="Z19" si="34">SUM(Z10:Z18)</f>
        <v>0</v>
      </c>
      <c r="AA19" s="441">
        <f t="shared" ref="AA19" si="35">SUM(AA10:AA18)</f>
        <v>321</v>
      </c>
      <c r="AB19" s="441">
        <f t="shared" ref="AB19" si="36">SUM(AB10:AB18)</f>
        <v>222</v>
      </c>
      <c r="AC19" s="441">
        <f t="shared" ref="AC19" si="37">SUM(AC10:AC18)</f>
        <v>65</v>
      </c>
      <c r="AD19" s="441">
        <f t="shared" ref="AD19" si="38">SUM(AD10:AD18)</f>
        <v>0</v>
      </c>
      <c r="AE19" s="441">
        <f t="shared" ref="AE19" si="39">SUM(AE10:AE18)</f>
        <v>287</v>
      </c>
      <c r="AF19" s="441">
        <f t="shared" ref="AF19" si="40">SUM(AF10:AF18)</f>
        <v>17</v>
      </c>
      <c r="AG19" s="441">
        <f t="shared" ref="AG19" si="41">SUM(AG10:AG18)</f>
        <v>5</v>
      </c>
      <c r="AH19" s="441">
        <f t="shared" ref="AH19" si="42">SUM(AH10:AH18)</f>
        <v>0</v>
      </c>
      <c r="AI19" s="441">
        <f t="shared" ref="AI19" si="43">SUM(AI10:AI18)</f>
        <v>22</v>
      </c>
      <c r="AJ19" s="441">
        <f t="shared" ref="AJ19" si="44">SUM(AJ10:AJ18)</f>
        <v>1</v>
      </c>
      <c r="AK19" s="441">
        <f t="shared" ref="AK19" si="45">SUM(AK10:AK18)</f>
        <v>1</v>
      </c>
      <c r="AL19" s="441">
        <f t="shared" ref="AL19" si="46">SUM(AL10:AL18)</f>
        <v>0</v>
      </c>
      <c r="AM19" s="441">
        <f t="shared" ref="AM19" si="47">SUM(AM10:AM18)</f>
        <v>2</v>
      </c>
      <c r="AN19" s="441">
        <f t="shared" ref="AN19" si="48">SUM(AN10:AN18)</f>
        <v>9</v>
      </c>
      <c r="AO19" s="441">
        <f t="shared" ref="AO19" si="49">SUM(AO10:AO18)</f>
        <v>1</v>
      </c>
      <c r="AP19" s="441">
        <f t="shared" ref="AP19" si="50">SUM(AP10:AP18)</f>
        <v>0</v>
      </c>
      <c r="AQ19" s="441">
        <f t="shared" ref="AQ19" si="51">SUM(AQ10:AQ18)</f>
        <v>10</v>
      </c>
      <c r="AR19" s="441">
        <f t="shared" ref="AR19" si="52">SUM(AR10:AR18)</f>
        <v>249</v>
      </c>
      <c r="AS19" s="441">
        <f t="shared" ref="AS19" si="53">SUM(AS10:AS18)</f>
        <v>72</v>
      </c>
      <c r="AT19" s="441">
        <f t="shared" ref="AT19" si="54">SUM(AT10:AT18)</f>
        <v>0</v>
      </c>
      <c r="AU19" s="441">
        <f>SUM(AR19:AT19)</f>
        <v>321</v>
      </c>
      <c r="AV19" s="408" t="str">
        <f t="shared" si="18"/>
        <v/>
      </c>
      <c r="AW19" s="408" t="str">
        <f t="shared" si="19"/>
        <v/>
      </c>
      <c r="AX19" s="408" t="str">
        <f t="shared" si="20"/>
        <v/>
      </c>
      <c r="AY19" s="408" t="str">
        <f t="shared" si="21"/>
        <v/>
      </c>
    </row>
    <row r="20" spans="1:51" s="124" customFormat="1" ht="30" customHeight="1" x14ac:dyDescent="0.25">
      <c r="A20" s="595" t="s">
        <v>1593</v>
      </c>
      <c r="B20" s="596"/>
      <c r="C20" s="597"/>
      <c r="D20" s="463" t="str">
        <f>IF(D19&gt;0,IF((D18/D19*100)&gt;10,"ABVAR",""),"")</f>
        <v/>
      </c>
      <c r="E20" s="463" t="str">
        <f t="shared" ref="E20:AU20" si="55">IF(E19&gt;0,IF((E18/E19*100)&gt;10,"ABVAR",""),"")</f>
        <v/>
      </c>
      <c r="F20" s="463" t="str">
        <f t="shared" si="55"/>
        <v/>
      </c>
      <c r="G20" s="463" t="str">
        <f t="shared" si="55"/>
        <v/>
      </c>
      <c r="H20" s="463" t="str">
        <f t="shared" si="55"/>
        <v/>
      </c>
      <c r="I20" s="463" t="str">
        <f t="shared" si="55"/>
        <v/>
      </c>
      <c r="J20" s="463" t="str">
        <f t="shared" si="55"/>
        <v/>
      </c>
      <c r="K20" s="463" t="str">
        <f t="shared" si="55"/>
        <v/>
      </c>
      <c r="L20" s="463" t="str">
        <f t="shared" si="55"/>
        <v/>
      </c>
      <c r="M20" s="463" t="str">
        <f t="shared" si="55"/>
        <v/>
      </c>
      <c r="N20" s="463" t="str">
        <f t="shared" si="55"/>
        <v/>
      </c>
      <c r="O20" s="463" t="str">
        <f t="shared" si="55"/>
        <v/>
      </c>
      <c r="P20" s="463" t="str">
        <f t="shared" si="55"/>
        <v/>
      </c>
      <c r="Q20" s="463" t="str">
        <f t="shared" si="55"/>
        <v/>
      </c>
      <c r="R20" s="463" t="str">
        <f t="shared" si="55"/>
        <v/>
      </c>
      <c r="S20" s="463" t="str">
        <f t="shared" si="55"/>
        <v/>
      </c>
      <c r="T20" s="463" t="str">
        <f t="shared" si="55"/>
        <v>ABVAR</v>
      </c>
      <c r="U20" s="463" t="str">
        <f t="shared" si="55"/>
        <v/>
      </c>
      <c r="V20" s="463" t="str">
        <f t="shared" si="55"/>
        <v/>
      </c>
      <c r="W20" s="463" t="str">
        <f t="shared" si="55"/>
        <v>ABVAR</v>
      </c>
      <c r="X20" s="463" t="str">
        <f t="shared" si="55"/>
        <v/>
      </c>
      <c r="Y20" s="463" t="str">
        <f t="shared" si="55"/>
        <v/>
      </c>
      <c r="Z20" s="463" t="str">
        <f t="shared" si="55"/>
        <v/>
      </c>
      <c r="AA20" s="463" t="str">
        <f t="shared" si="55"/>
        <v/>
      </c>
      <c r="AB20" s="463" t="str">
        <f t="shared" si="55"/>
        <v/>
      </c>
      <c r="AC20" s="463" t="str">
        <f t="shared" si="55"/>
        <v/>
      </c>
      <c r="AD20" s="463" t="str">
        <f t="shared" si="55"/>
        <v/>
      </c>
      <c r="AE20" s="463" t="str">
        <f t="shared" si="55"/>
        <v/>
      </c>
      <c r="AF20" s="463" t="str">
        <f t="shared" si="55"/>
        <v/>
      </c>
      <c r="AG20" s="463" t="str">
        <f t="shared" si="55"/>
        <v/>
      </c>
      <c r="AH20" s="463" t="str">
        <f t="shared" si="55"/>
        <v/>
      </c>
      <c r="AI20" s="463" t="str">
        <f t="shared" si="55"/>
        <v/>
      </c>
      <c r="AJ20" s="463" t="str">
        <f t="shared" si="55"/>
        <v/>
      </c>
      <c r="AK20" s="463" t="str">
        <f t="shared" si="55"/>
        <v/>
      </c>
      <c r="AL20" s="463" t="str">
        <f t="shared" si="55"/>
        <v/>
      </c>
      <c r="AM20" s="463" t="str">
        <f t="shared" si="55"/>
        <v/>
      </c>
      <c r="AN20" s="463" t="str">
        <f t="shared" si="55"/>
        <v/>
      </c>
      <c r="AO20" s="463" t="str">
        <f t="shared" si="55"/>
        <v/>
      </c>
      <c r="AP20" s="463" t="str">
        <f t="shared" si="55"/>
        <v/>
      </c>
      <c r="AQ20" s="463" t="str">
        <f t="shared" si="55"/>
        <v/>
      </c>
      <c r="AR20" s="463" t="str">
        <f t="shared" si="55"/>
        <v/>
      </c>
      <c r="AS20" s="463" t="str">
        <f t="shared" si="55"/>
        <v/>
      </c>
      <c r="AT20" s="463" t="str">
        <f t="shared" si="55"/>
        <v/>
      </c>
      <c r="AU20" s="463" t="str">
        <f t="shared" si="55"/>
        <v/>
      </c>
      <c r="AV20" s="408"/>
      <c r="AW20" s="408"/>
      <c r="AX20" s="408"/>
      <c r="AY20" s="408"/>
    </row>
    <row r="21" spans="1:51" ht="32.1" customHeight="1" x14ac:dyDescent="0.25">
      <c r="A21" s="625" t="s">
        <v>667</v>
      </c>
      <c r="B21" s="625"/>
      <c r="C21" s="626"/>
      <c r="D21" s="304">
        <f>'P-XVI'!D18</f>
        <v>182</v>
      </c>
      <c r="E21" s="304">
        <f>'P-XVI'!E18</f>
        <v>50</v>
      </c>
      <c r="F21" s="304">
        <f>'P-XVI'!F18</f>
        <v>0</v>
      </c>
      <c r="G21" s="304">
        <f>'P-XVI'!G18</f>
        <v>232</v>
      </c>
      <c r="H21" s="304">
        <f>'P-XVI'!H18</f>
        <v>17</v>
      </c>
      <c r="I21" s="304">
        <f>'P-XVI'!I18</f>
        <v>6</v>
      </c>
      <c r="J21" s="304">
        <f>'P-XVI'!J18</f>
        <v>0</v>
      </c>
      <c r="K21" s="304">
        <f>'P-XVI'!K18</f>
        <v>23</v>
      </c>
      <c r="L21" s="304">
        <f>'P-XVI'!L18</f>
        <v>45</v>
      </c>
      <c r="M21" s="304">
        <f>'P-XVI'!M18</f>
        <v>16</v>
      </c>
      <c r="N21" s="304">
        <f>'P-XVI'!N18</f>
        <v>0</v>
      </c>
      <c r="O21" s="304">
        <f>'P-XVI'!O18</f>
        <v>61</v>
      </c>
      <c r="P21" s="304">
        <f>'P-XVI'!P18</f>
        <v>0</v>
      </c>
      <c r="Q21" s="304">
        <f>'P-XVI'!Q18</f>
        <v>0</v>
      </c>
      <c r="R21" s="304">
        <f>'P-XVI'!R18</f>
        <v>0</v>
      </c>
      <c r="S21" s="304">
        <f>'P-XVI'!S18</f>
        <v>0</v>
      </c>
      <c r="T21" s="304">
        <f>'P-XVI'!T18</f>
        <v>5</v>
      </c>
      <c r="U21" s="304">
        <f>'P-XVI'!U18</f>
        <v>0</v>
      </c>
      <c r="V21" s="304">
        <f>'P-XVI'!V18</f>
        <v>0</v>
      </c>
      <c r="W21" s="304">
        <f>'P-XVI'!W18</f>
        <v>5</v>
      </c>
      <c r="X21" s="304">
        <f>'P-XVI'!X18</f>
        <v>249</v>
      </c>
      <c r="Y21" s="304">
        <f>'P-XVI'!Y18</f>
        <v>72</v>
      </c>
      <c r="Z21" s="304">
        <f>'P-XVI'!Z18</f>
        <v>0</v>
      </c>
      <c r="AA21" s="304">
        <f>'P-XVI'!AA18</f>
        <v>321</v>
      </c>
      <c r="AB21" s="304">
        <f>'P-XVI'!AB18</f>
        <v>222</v>
      </c>
      <c r="AC21" s="304">
        <f>'P-XVI'!AC18</f>
        <v>65</v>
      </c>
      <c r="AD21" s="304">
        <f>'P-XVI'!AD18</f>
        <v>0</v>
      </c>
      <c r="AE21" s="304">
        <f>'P-XVI'!AE18</f>
        <v>287</v>
      </c>
      <c r="AF21" s="304">
        <f>'P-XVI'!AF18</f>
        <v>17</v>
      </c>
      <c r="AG21" s="304">
        <f>'P-XVI'!AG18</f>
        <v>5</v>
      </c>
      <c r="AH21" s="304">
        <f>'P-XVI'!AH18</f>
        <v>0</v>
      </c>
      <c r="AI21" s="304">
        <f>'P-XVI'!AI18</f>
        <v>22</v>
      </c>
      <c r="AJ21" s="304">
        <f>'P-XVI'!AJ18</f>
        <v>1</v>
      </c>
      <c r="AK21" s="304">
        <f>'P-XVI'!AK18</f>
        <v>1</v>
      </c>
      <c r="AL21" s="304">
        <f>'P-XVI'!AL18</f>
        <v>0</v>
      </c>
      <c r="AM21" s="304">
        <f>'P-XVI'!AM18</f>
        <v>2</v>
      </c>
      <c r="AN21" s="304">
        <f>'P-XVI'!AN18</f>
        <v>9</v>
      </c>
      <c r="AO21" s="304">
        <f>'P-XVI'!AO18</f>
        <v>1</v>
      </c>
      <c r="AP21" s="304">
        <f>'P-XVI'!AP18</f>
        <v>0</v>
      </c>
      <c r="AQ21" s="304">
        <f>'P-XVI'!AQ18</f>
        <v>10</v>
      </c>
      <c r="AR21" s="304">
        <f>'P-XVI'!AR18</f>
        <v>249</v>
      </c>
      <c r="AS21" s="304">
        <f>'P-XVI'!AS18</f>
        <v>72</v>
      </c>
      <c r="AT21" s="304">
        <f>'P-XVI'!AT18</f>
        <v>0</v>
      </c>
      <c r="AU21" s="304">
        <f>'P-XVI'!AU18</f>
        <v>321</v>
      </c>
      <c r="AV21" s="408"/>
      <c r="AW21" s="408"/>
      <c r="AX21" s="408"/>
      <c r="AY21" s="408"/>
    </row>
    <row r="22" spans="1:51" ht="32.1" customHeight="1" x14ac:dyDescent="0.25">
      <c r="A22" s="627" t="s">
        <v>668</v>
      </c>
      <c r="B22" s="627"/>
      <c r="C22" s="628"/>
      <c r="D22" s="399" t="str">
        <f>IF(D19='P-XVI'!D18,"",FALSE)</f>
        <v/>
      </c>
      <c r="E22" s="399" t="str">
        <f>IF(E19='P-XVI'!E18,"",FALSE)</f>
        <v/>
      </c>
      <c r="F22" s="399" t="str">
        <f>IF(F19='P-XVI'!F18,"",FALSE)</f>
        <v/>
      </c>
      <c r="G22" s="399" t="str">
        <f>IF(G19='P-XVI'!G18,"",FALSE)</f>
        <v/>
      </c>
      <c r="H22" s="399" t="str">
        <f>IF(H19='P-XVI'!H18,"",FALSE)</f>
        <v/>
      </c>
      <c r="I22" s="399" t="str">
        <f>IF(I19='P-XVI'!I18,"",FALSE)</f>
        <v/>
      </c>
      <c r="J22" s="399" t="str">
        <f>IF(J19='P-XVI'!J18,"",FALSE)</f>
        <v/>
      </c>
      <c r="K22" s="399" t="str">
        <f>IF(K19='P-XVI'!K18,"",FALSE)</f>
        <v/>
      </c>
      <c r="L22" s="399" t="str">
        <f>IF(L19='P-XVI'!L18,"",FALSE)</f>
        <v/>
      </c>
      <c r="M22" s="399" t="str">
        <f>IF(M19='P-XVI'!M18,"",FALSE)</f>
        <v/>
      </c>
      <c r="N22" s="399" t="str">
        <f>IF(N19='P-XVI'!N18,"",FALSE)</f>
        <v/>
      </c>
      <c r="O22" s="399" t="str">
        <f>IF(O19='P-XVI'!O18,"",FALSE)</f>
        <v/>
      </c>
      <c r="P22" s="399" t="str">
        <f>IF(P19='P-XVI'!P18,"",FALSE)</f>
        <v/>
      </c>
      <c r="Q22" s="399" t="str">
        <f>IF(Q19='P-XVI'!Q18,"",FALSE)</f>
        <v/>
      </c>
      <c r="R22" s="399" t="str">
        <f>IF(R19='P-XVI'!R18,"",FALSE)</f>
        <v/>
      </c>
      <c r="S22" s="399" t="str">
        <f>IF(S19='P-XVI'!S18,"",FALSE)</f>
        <v/>
      </c>
      <c r="T22" s="399" t="str">
        <f>IF(T19='P-XVI'!T18,"",FALSE)</f>
        <v/>
      </c>
      <c r="U22" s="399" t="str">
        <f>IF(U19='P-XVI'!U18,"",FALSE)</f>
        <v/>
      </c>
      <c r="V22" s="399" t="str">
        <f>IF(V19='P-XVI'!V18,"",FALSE)</f>
        <v/>
      </c>
      <c r="W22" s="399" t="str">
        <f>IF(W19='P-XVI'!W18,"",FALSE)</f>
        <v/>
      </c>
      <c r="X22" s="399" t="str">
        <f>IF(X19='P-XVI'!X18,"",FALSE)</f>
        <v/>
      </c>
      <c r="Y22" s="399" t="str">
        <f>IF(Y19='P-XVI'!Y18,"",FALSE)</f>
        <v/>
      </c>
      <c r="Z22" s="399" t="str">
        <f>IF(Z19='P-XVI'!Z18,"",FALSE)</f>
        <v/>
      </c>
      <c r="AA22" s="399" t="str">
        <f>IF(AA19='P-XVI'!AA18,"",FALSE)</f>
        <v/>
      </c>
      <c r="AB22" s="399" t="str">
        <f>IF(AB19='P-XVI'!AB18,"",FALSE)</f>
        <v/>
      </c>
      <c r="AC22" s="399" t="str">
        <f>IF(AC19='P-XVI'!AC18,"",FALSE)</f>
        <v/>
      </c>
      <c r="AD22" s="399" t="str">
        <f>IF(AD19='P-XVI'!AD18,"",FALSE)</f>
        <v/>
      </c>
      <c r="AE22" s="399" t="str">
        <f>IF(AE19='P-XVI'!AE18,"",FALSE)</f>
        <v/>
      </c>
      <c r="AF22" s="399" t="str">
        <f>IF(AF19='P-XVI'!AF18,"",FALSE)</f>
        <v/>
      </c>
      <c r="AG22" s="399" t="str">
        <f>IF(AG19='P-XVI'!AG18,"",FALSE)</f>
        <v/>
      </c>
      <c r="AH22" s="399" t="str">
        <f>IF(AH19='P-XVI'!AH18,"",FALSE)</f>
        <v/>
      </c>
      <c r="AI22" s="399" t="str">
        <f>IF(AI19='P-XVI'!AI18,"",FALSE)</f>
        <v/>
      </c>
      <c r="AJ22" s="399" t="str">
        <f>IF(AJ19='P-XVI'!AJ18,"",FALSE)</f>
        <v/>
      </c>
      <c r="AK22" s="399" t="str">
        <f>IF(AK19='P-XVI'!AK18,"",FALSE)</f>
        <v/>
      </c>
      <c r="AL22" s="399" t="str">
        <f>IF(AL19='P-XVI'!AL18,"",FALSE)</f>
        <v/>
      </c>
      <c r="AM22" s="399" t="str">
        <f>IF(AM19='P-XVI'!AM18,"",FALSE)</f>
        <v/>
      </c>
      <c r="AN22" s="399" t="str">
        <f>IF(AN19='P-XVI'!AN18,"",FALSE)</f>
        <v/>
      </c>
      <c r="AO22" s="399" t="str">
        <f>IF(AO19='P-XVI'!AO18,"",FALSE)</f>
        <v/>
      </c>
      <c r="AP22" s="399" t="str">
        <f>IF(AP19='P-XVI'!AP18,"",FALSE)</f>
        <v/>
      </c>
      <c r="AQ22" s="399" t="str">
        <f>IF(AQ19='P-XVI'!AQ18,"",FALSE)</f>
        <v/>
      </c>
      <c r="AR22" s="399" t="str">
        <f>IF(AR19='P-XVI'!AR18,"",FALSE)</f>
        <v/>
      </c>
      <c r="AS22" s="399" t="str">
        <f>IF(AS19='P-XVI'!AS18,"",FALSE)</f>
        <v/>
      </c>
      <c r="AT22" s="399" t="str">
        <f>IF(AT19='P-XVI'!AT18,"",FALSE)</f>
        <v/>
      </c>
      <c r="AU22" s="399" t="str">
        <f>IF(AU19='P-XVI'!AU18,"",FALSE)</f>
        <v/>
      </c>
      <c r="AV22" s="408"/>
      <c r="AW22" s="408"/>
      <c r="AX22" s="408"/>
      <c r="AY22" s="408"/>
    </row>
    <row r="23" spans="1:51" ht="20.100000000000001" customHeight="1" x14ac:dyDescent="0.25">
      <c r="A23" s="826" t="s">
        <v>669</v>
      </c>
      <c r="B23" s="826"/>
      <c r="C23" s="827"/>
      <c r="D23" s="838"/>
      <c r="E23" s="838"/>
      <c r="F23" s="838"/>
      <c r="G23" s="838"/>
      <c r="H23" s="838"/>
      <c r="I23" s="838"/>
      <c r="J23" s="838"/>
      <c r="K23" s="838"/>
      <c r="L23" s="838"/>
      <c r="M23" s="838"/>
      <c r="N23" s="838"/>
      <c r="O23" s="838"/>
      <c r="P23" s="838"/>
      <c r="Q23" s="838"/>
      <c r="R23" s="838"/>
      <c r="S23" s="838"/>
      <c r="T23" s="838"/>
      <c r="U23" s="838"/>
      <c r="V23" s="838"/>
      <c r="W23" s="838"/>
      <c r="X23" s="839" t="s">
        <v>670</v>
      </c>
      <c r="Y23" s="839"/>
      <c r="Z23" s="839"/>
      <c r="AA23" s="839"/>
      <c r="AB23" s="832"/>
      <c r="AC23" s="833"/>
      <c r="AD23" s="833"/>
      <c r="AE23" s="833"/>
      <c r="AF23" s="833"/>
      <c r="AG23" s="833"/>
      <c r="AH23" s="833"/>
      <c r="AI23" s="833"/>
      <c r="AJ23" s="833"/>
      <c r="AK23" s="833"/>
      <c r="AL23" s="833"/>
      <c r="AM23" s="833"/>
      <c r="AN23" s="833"/>
      <c r="AO23" s="833"/>
      <c r="AP23" s="833"/>
      <c r="AQ23" s="834"/>
      <c r="AR23" s="815" t="s">
        <v>448</v>
      </c>
      <c r="AS23" s="816"/>
      <c r="AT23" s="816"/>
      <c r="AU23" s="817"/>
      <c r="AV23" s="408"/>
      <c r="AW23" s="408"/>
      <c r="AX23" s="408"/>
      <c r="AY23" s="408"/>
    </row>
    <row r="24" spans="1:51" ht="20.100000000000001" customHeight="1" x14ac:dyDescent="0.25">
      <c r="A24" s="828"/>
      <c r="B24" s="828"/>
      <c r="C24" s="829"/>
      <c r="D24" s="838"/>
      <c r="E24" s="838"/>
      <c r="F24" s="838"/>
      <c r="G24" s="838"/>
      <c r="H24" s="838"/>
      <c r="I24" s="838"/>
      <c r="J24" s="838"/>
      <c r="K24" s="838"/>
      <c r="L24" s="838"/>
      <c r="M24" s="838"/>
      <c r="N24" s="838"/>
      <c r="O24" s="838"/>
      <c r="P24" s="838"/>
      <c r="Q24" s="838"/>
      <c r="R24" s="838"/>
      <c r="S24" s="838"/>
      <c r="T24" s="838"/>
      <c r="U24" s="838"/>
      <c r="V24" s="838"/>
      <c r="W24" s="838"/>
      <c r="X24" s="306" t="s">
        <v>38</v>
      </c>
      <c r="Y24" s="306" t="s">
        <v>39</v>
      </c>
      <c r="Z24" s="306" t="s">
        <v>240</v>
      </c>
      <c r="AA24" s="306" t="s">
        <v>17</v>
      </c>
      <c r="AB24" s="835"/>
      <c r="AC24" s="836"/>
      <c r="AD24" s="836"/>
      <c r="AE24" s="836"/>
      <c r="AF24" s="836"/>
      <c r="AG24" s="836"/>
      <c r="AH24" s="836"/>
      <c r="AI24" s="836"/>
      <c r="AJ24" s="836"/>
      <c r="AK24" s="836"/>
      <c r="AL24" s="836"/>
      <c r="AM24" s="836"/>
      <c r="AN24" s="836"/>
      <c r="AO24" s="836"/>
      <c r="AP24" s="836"/>
      <c r="AQ24" s="837"/>
      <c r="AR24" s="306" t="s">
        <v>38</v>
      </c>
      <c r="AS24" s="306" t="s">
        <v>39</v>
      </c>
      <c r="AT24" s="306" t="s">
        <v>240</v>
      </c>
      <c r="AU24" s="306" t="s">
        <v>17</v>
      </c>
      <c r="AV24" s="408"/>
      <c r="AW24" s="408"/>
      <c r="AX24" s="408"/>
      <c r="AY24" s="408"/>
    </row>
    <row r="25" spans="1:51" ht="32.1" customHeight="1" x14ac:dyDescent="0.25">
      <c r="A25" s="625" t="s">
        <v>665</v>
      </c>
      <c r="B25" s="625"/>
      <c r="C25" s="626"/>
      <c r="D25" s="801"/>
      <c r="E25" s="802"/>
      <c r="F25" s="802"/>
      <c r="G25" s="802"/>
      <c r="H25" s="802"/>
      <c r="I25" s="802"/>
      <c r="J25" s="802"/>
      <c r="K25" s="802"/>
      <c r="L25" s="802"/>
      <c r="M25" s="802"/>
      <c r="N25" s="802"/>
      <c r="O25" s="802"/>
      <c r="P25" s="802"/>
      <c r="Q25" s="802"/>
      <c r="R25" s="802"/>
      <c r="S25" s="802"/>
      <c r="T25" s="802"/>
      <c r="U25" s="802"/>
      <c r="V25" s="802"/>
      <c r="W25" s="803"/>
      <c r="X25" s="305">
        <f>X19</f>
        <v>249</v>
      </c>
      <c r="Y25" s="305">
        <f t="shared" ref="Y25:AA25" si="56">Y19</f>
        <v>72</v>
      </c>
      <c r="Z25" s="305">
        <f t="shared" si="56"/>
        <v>0</v>
      </c>
      <c r="AA25" s="305">
        <f t="shared" si="56"/>
        <v>321</v>
      </c>
      <c r="AB25" s="804"/>
      <c r="AC25" s="804"/>
      <c r="AD25" s="804"/>
      <c r="AE25" s="804"/>
      <c r="AF25" s="804"/>
      <c r="AG25" s="804"/>
      <c r="AH25" s="804"/>
      <c r="AI25" s="804"/>
      <c r="AJ25" s="804"/>
      <c r="AK25" s="804"/>
      <c r="AL25" s="804"/>
      <c r="AM25" s="804"/>
      <c r="AN25" s="804"/>
      <c r="AO25" s="804"/>
      <c r="AP25" s="804"/>
      <c r="AQ25" s="804"/>
      <c r="AR25" s="304">
        <f>AR19</f>
        <v>249</v>
      </c>
      <c r="AS25" s="304">
        <f t="shared" ref="AS25:AU25" si="57">AS19</f>
        <v>72</v>
      </c>
      <c r="AT25" s="304">
        <f t="shared" si="57"/>
        <v>0</v>
      </c>
      <c r="AU25" s="304">
        <f t="shared" si="57"/>
        <v>321</v>
      </c>
      <c r="AV25" s="408"/>
      <c r="AW25" s="408"/>
      <c r="AX25" s="408"/>
      <c r="AY25" s="408"/>
    </row>
    <row r="26" spans="1:51" ht="32.1" customHeight="1" x14ac:dyDescent="0.25">
      <c r="A26" s="627" t="s">
        <v>666</v>
      </c>
      <c r="B26" s="627"/>
      <c r="C26" s="628"/>
      <c r="D26" s="781"/>
      <c r="E26" s="781"/>
      <c r="F26" s="781"/>
      <c r="G26" s="781"/>
      <c r="H26" s="781"/>
      <c r="I26" s="781"/>
      <c r="J26" s="781"/>
      <c r="K26" s="781"/>
      <c r="L26" s="781"/>
      <c r="M26" s="781"/>
      <c r="N26" s="781"/>
      <c r="O26" s="781"/>
      <c r="P26" s="781"/>
      <c r="Q26" s="781"/>
      <c r="R26" s="781"/>
      <c r="S26" s="781"/>
      <c r="T26" s="781"/>
      <c r="U26" s="781"/>
      <c r="V26" s="781"/>
      <c r="W26" s="781"/>
      <c r="X26" s="408" t="str">
        <f>IF(X19=AR19,"",FALSE)</f>
        <v/>
      </c>
      <c r="Y26" s="408" t="str">
        <f t="shared" ref="Y26:AA26" si="58">IF(Y19=AS19,"",FALSE)</f>
        <v/>
      </c>
      <c r="Z26" s="408" t="str">
        <f t="shared" si="58"/>
        <v/>
      </c>
      <c r="AA26" s="408" t="str">
        <f t="shared" si="58"/>
        <v/>
      </c>
      <c r="AB26" s="793"/>
      <c r="AC26" s="793"/>
      <c r="AD26" s="793"/>
      <c r="AE26" s="793"/>
      <c r="AF26" s="793"/>
      <c r="AG26" s="793"/>
      <c r="AH26" s="793"/>
      <c r="AI26" s="793"/>
      <c r="AJ26" s="793"/>
      <c r="AK26" s="793"/>
      <c r="AL26" s="793"/>
      <c r="AM26" s="793"/>
      <c r="AN26" s="793"/>
      <c r="AO26" s="793"/>
      <c r="AP26" s="793"/>
      <c r="AQ26" s="793"/>
      <c r="AR26" s="408" t="str">
        <f>IF(AR19=X19,"",FALSE)</f>
        <v/>
      </c>
      <c r="AS26" s="408" t="str">
        <f t="shared" ref="AS26:AU26" si="59">IF(AS19=Y19,"",FALSE)</f>
        <v/>
      </c>
      <c r="AT26" s="408" t="str">
        <f t="shared" si="59"/>
        <v/>
      </c>
      <c r="AU26" s="408" t="str">
        <f t="shared" si="59"/>
        <v/>
      </c>
      <c r="AV26" s="408"/>
      <c r="AW26" s="408"/>
      <c r="AX26" s="408"/>
      <c r="AY26" s="408"/>
    </row>
    <row r="27" spans="1:51" ht="32.1" customHeight="1" x14ac:dyDescent="0.25">
      <c r="A27" s="625" t="s">
        <v>652</v>
      </c>
      <c r="B27" s="625"/>
      <c r="C27" s="626"/>
      <c r="D27" s="791"/>
      <c r="E27" s="791"/>
      <c r="F27" s="791"/>
      <c r="G27" s="791"/>
      <c r="H27" s="791"/>
      <c r="I27" s="791"/>
      <c r="J27" s="791"/>
      <c r="K27" s="791"/>
      <c r="L27" s="791"/>
      <c r="M27" s="791"/>
      <c r="N27" s="791"/>
      <c r="O27" s="791"/>
      <c r="P27" s="791"/>
      <c r="Q27" s="791"/>
      <c r="R27" s="791"/>
      <c r="S27" s="791"/>
      <c r="T27" s="791"/>
      <c r="U27" s="791"/>
      <c r="V27" s="791"/>
      <c r="W27" s="791"/>
      <c r="X27" s="305">
        <f>'P-XIV'!J38</f>
        <v>249</v>
      </c>
      <c r="Y27" s="305">
        <f>'P-XIV'!Q38</f>
        <v>72</v>
      </c>
      <c r="Z27" s="305">
        <f>'P-XIV'!X38</f>
        <v>0</v>
      </c>
      <c r="AA27" s="305">
        <f>'P-XIV'!Y38</f>
        <v>321</v>
      </c>
      <c r="AB27" s="791"/>
      <c r="AC27" s="791"/>
      <c r="AD27" s="791"/>
      <c r="AE27" s="791"/>
      <c r="AF27" s="791"/>
      <c r="AG27" s="791"/>
      <c r="AH27" s="791"/>
      <c r="AI27" s="791"/>
      <c r="AJ27" s="791"/>
      <c r="AK27" s="791"/>
      <c r="AL27" s="791"/>
      <c r="AM27" s="791"/>
      <c r="AN27" s="791"/>
      <c r="AO27" s="791"/>
      <c r="AP27" s="791"/>
      <c r="AQ27" s="791"/>
      <c r="AR27" s="305">
        <f>'P-XIV'!J38</f>
        <v>249</v>
      </c>
      <c r="AS27" s="305">
        <f>'P-XIV'!Q38</f>
        <v>72</v>
      </c>
      <c r="AT27" s="305">
        <f>'P-XIV'!X38</f>
        <v>0</v>
      </c>
      <c r="AU27" s="305">
        <f>'P-XIV'!Y38</f>
        <v>321</v>
      </c>
      <c r="AV27" s="408"/>
      <c r="AW27" s="408"/>
      <c r="AX27" s="408"/>
      <c r="AY27" s="408"/>
    </row>
    <row r="28" spans="1:51" ht="32.1" customHeight="1" x14ac:dyDescent="0.25">
      <c r="A28" s="627" t="s">
        <v>632</v>
      </c>
      <c r="B28" s="627"/>
      <c r="C28" s="628"/>
      <c r="D28" s="793"/>
      <c r="E28" s="793"/>
      <c r="F28" s="793"/>
      <c r="G28" s="793"/>
      <c r="H28" s="793"/>
      <c r="I28" s="793"/>
      <c r="J28" s="793"/>
      <c r="K28" s="793"/>
      <c r="L28" s="793"/>
      <c r="M28" s="793"/>
      <c r="N28" s="793"/>
      <c r="O28" s="793"/>
      <c r="P28" s="793"/>
      <c r="Q28" s="793"/>
      <c r="R28" s="793"/>
      <c r="S28" s="793"/>
      <c r="T28" s="793"/>
      <c r="U28" s="793"/>
      <c r="V28" s="793"/>
      <c r="W28" s="793"/>
      <c r="X28" s="408" t="str">
        <f>IF(X19='P-XIV'!J38,"",FALSE)</f>
        <v/>
      </c>
      <c r="Y28" s="408" t="str">
        <f>IF(Y19='P-XIV'!Q38,"",FALSE)</f>
        <v/>
      </c>
      <c r="Z28" s="408" t="str">
        <f>IF(Z19='P-XIV'!X38,"",FALSE)</f>
        <v/>
      </c>
      <c r="AA28" s="408" t="str">
        <f>IF(AA19='P-XIV'!Y38,"",FALSE)</f>
        <v/>
      </c>
      <c r="AB28" s="793"/>
      <c r="AC28" s="793"/>
      <c r="AD28" s="793"/>
      <c r="AE28" s="793"/>
      <c r="AF28" s="793"/>
      <c r="AG28" s="793"/>
      <c r="AH28" s="793"/>
      <c r="AI28" s="793"/>
      <c r="AJ28" s="793"/>
      <c r="AK28" s="793"/>
      <c r="AL28" s="793"/>
      <c r="AM28" s="793"/>
      <c r="AN28" s="793"/>
      <c r="AO28" s="793"/>
      <c r="AP28" s="793"/>
      <c r="AQ28" s="793"/>
      <c r="AR28" s="408" t="str">
        <f>IF(AR19='P-XIV'!J38,"",FALSE)</f>
        <v/>
      </c>
      <c r="AS28" s="408" t="str">
        <f>IF(AS19='P-XIV'!Q38,"",FALSE)</f>
        <v/>
      </c>
      <c r="AT28" s="408" t="str">
        <f>IF(AT19='P-XIV'!X38,"",FALSE)</f>
        <v/>
      </c>
      <c r="AU28" s="408" t="str">
        <f>IF(AU19='P-XIV'!Y38,"",FALSE)</f>
        <v/>
      </c>
      <c r="AV28" s="408"/>
      <c r="AW28" s="408"/>
      <c r="AX28" s="408"/>
      <c r="AY28" s="408"/>
    </row>
    <row r="200" spans="53:102" x14ac:dyDescent="0.25">
      <c r="BA200" s="141" t="str">
        <f>A1</f>
        <v>Goa, , ADSI-2021</v>
      </c>
      <c r="BB200" s="141"/>
    </row>
    <row r="201" spans="53:102" x14ac:dyDescent="0.25">
      <c r="BA201" s="141" t="str">
        <f>A2</f>
        <v>Errors</v>
      </c>
      <c r="BB201" s="309">
        <f>C2</f>
        <v>0</v>
      </c>
      <c r="BD201" s="472" t="str">
        <f>E2</f>
        <v>Abnormal Variations</v>
      </c>
      <c r="BE201" s="141">
        <f>F2</f>
        <v>2</v>
      </c>
    </row>
    <row r="202" spans="53:102" x14ac:dyDescent="0.25">
      <c r="BA202" s="141" t="str">
        <f>A3</f>
        <v>Proforma–XVII</v>
      </c>
      <c r="BB202" s="132"/>
      <c r="BC202" s="132"/>
      <c r="BD202" s="132"/>
      <c r="BE202" s="132"/>
      <c r="BF202" s="132"/>
      <c r="BG202" s="132"/>
      <c r="BH202" s="132"/>
      <c r="BI202" s="132"/>
      <c r="BJ202" s="132"/>
      <c r="BK202" s="132"/>
      <c r="BL202" s="171"/>
      <c r="BN202" s="132"/>
      <c r="BO202" s="132"/>
      <c r="BP202" s="132"/>
      <c r="BQ202" s="132"/>
      <c r="BR202" s="132"/>
      <c r="BS202" s="132"/>
      <c r="BT202" s="132"/>
      <c r="BU202" s="132"/>
      <c r="BV202" s="132"/>
      <c r="BW202" s="132"/>
      <c r="BX202" s="132"/>
      <c r="BY202" s="132"/>
      <c r="BZ202" s="132"/>
      <c r="CA202" s="132"/>
      <c r="CB202" s="132"/>
      <c r="CC202" s="132"/>
      <c r="CD202" s="132"/>
      <c r="CE202" s="132"/>
      <c r="CF202" s="132"/>
      <c r="CG202" s="132"/>
      <c r="CH202" s="132"/>
      <c r="CI202" s="132"/>
      <c r="CJ202" s="132"/>
      <c r="CK202" s="132"/>
      <c r="CL202" s="132"/>
      <c r="CM202" s="132"/>
      <c r="CN202" s="132"/>
      <c r="CO202" s="132"/>
      <c r="CP202" s="132"/>
      <c r="CQ202" s="132"/>
      <c r="CR202" s="132"/>
      <c r="CS202" s="132"/>
      <c r="CT202" s="132"/>
    </row>
    <row r="203" spans="53:102" x14ac:dyDescent="0.25">
      <c r="BA203" s="141" t="str">
        <f>A4</f>
        <v>Educational Status of Suicide Victims</v>
      </c>
      <c r="BB203" s="132"/>
      <c r="BC203" s="132"/>
      <c r="BD203" s="132"/>
      <c r="BE203" s="132"/>
      <c r="BF203" s="132"/>
      <c r="BG203" s="132"/>
      <c r="BH203" s="132"/>
      <c r="BI203" s="132"/>
      <c r="BJ203" s="132"/>
      <c r="BK203" s="132"/>
      <c r="BN203" s="132"/>
      <c r="BO203" s="132"/>
      <c r="BP203" s="132"/>
      <c r="BQ203" s="132"/>
      <c r="BR203" s="132"/>
      <c r="BS203" s="132"/>
      <c r="BT203" s="132"/>
      <c r="BU203" s="132"/>
      <c r="BV203" s="132"/>
      <c r="BW203" s="132"/>
      <c r="BX203" s="132"/>
      <c r="BY203" s="132"/>
      <c r="BZ203" s="132"/>
      <c r="CA203" s="132"/>
      <c r="CB203" s="132"/>
      <c r="CC203" s="132"/>
      <c r="CD203" s="132"/>
      <c r="CE203" s="132"/>
      <c r="CF203" s="132"/>
      <c r="CG203" s="132"/>
      <c r="CH203" s="132"/>
      <c r="CI203" s="132"/>
      <c r="CJ203" s="132"/>
      <c r="CK203" s="132"/>
      <c r="CL203" s="132"/>
      <c r="CM203" s="132"/>
      <c r="CN203" s="132"/>
      <c r="CO203" s="132"/>
      <c r="CP203" s="132"/>
      <c r="CQ203" s="132"/>
      <c r="CR203" s="132"/>
      <c r="CS203" s="132"/>
      <c r="CT203" s="132"/>
    </row>
    <row r="204" spans="53:102" x14ac:dyDescent="0.25">
      <c r="BA204" s="647" t="str">
        <f>B5</f>
        <v>Sl. No.</v>
      </c>
      <c r="BB204" s="647" t="str">
        <f>C5</f>
        <v>Educational Status</v>
      </c>
      <c r="BC204" s="647" t="str">
        <f>D5</f>
        <v>Number of Suicidal Deaths</v>
      </c>
      <c r="BD204" s="647"/>
      <c r="BE204" s="647"/>
      <c r="BF204" s="647"/>
      <c r="BG204" s="647"/>
      <c r="BH204" s="647"/>
      <c r="BI204" s="647"/>
      <c r="BJ204" s="647"/>
      <c r="BK204" s="647"/>
      <c r="BL204" s="647"/>
      <c r="BM204" s="647"/>
      <c r="BN204" s="647"/>
      <c r="BO204" s="647"/>
      <c r="BP204" s="647"/>
      <c r="BQ204" s="647"/>
      <c r="BR204" s="647"/>
      <c r="BS204" s="647" t="s">
        <v>139</v>
      </c>
      <c r="BT204" s="647"/>
      <c r="BU204" s="647"/>
      <c r="BV204" s="647"/>
      <c r="BW204" s="647"/>
      <c r="BX204" s="647"/>
      <c r="BY204" s="647"/>
      <c r="BZ204" s="647"/>
      <c r="CA204" s="647"/>
      <c r="CB204" s="647"/>
      <c r="CC204" s="647"/>
      <c r="CD204" s="647"/>
      <c r="CE204" s="647"/>
      <c r="CF204" s="647"/>
      <c r="CG204" s="647"/>
      <c r="CH204" s="647"/>
      <c r="CI204" s="647" t="s">
        <v>139</v>
      </c>
      <c r="CJ204" s="647"/>
      <c r="CK204" s="647"/>
      <c r="CL204" s="647"/>
      <c r="CM204" s="647"/>
      <c r="CN204" s="647"/>
      <c r="CO204" s="647"/>
      <c r="CP204" s="647"/>
      <c r="CQ204" s="647"/>
      <c r="CR204" s="647"/>
      <c r="CS204" s="647"/>
      <c r="CT204" s="647"/>
      <c r="CU204" s="647" t="str">
        <f>AV5</f>
        <v>VALIDATION WITHIN PROFORMA–XVII (Educational Status with Religion &amp; Caste) [Column (23), (24), (25), (26) with Column (43), (44), (45), (46)]</v>
      </c>
      <c r="CV204" s="647"/>
      <c r="CW204" s="647"/>
      <c r="CX204" s="647"/>
    </row>
    <row r="205" spans="53:102" x14ac:dyDescent="0.25">
      <c r="BA205" s="647"/>
      <c r="BB205" s="647"/>
      <c r="BC205" s="647" t="str">
        <f t="shared" ref="BC205:BC218" si="60">D6</f>
        <v>Religion of Victims</v>
      </c>
      <c r="BD205" s="647"/>
      <c r="BE205" s="647"/>
      <c r="BF205" s="647"/>
      <c r="BG205" s="647"/>
      <c r="BH205" s="647"/>
      <c r="BI205" s="647"/>
      <c r="BJ205" s="647"/>
      <c r="BK205" s="647"/>
      <c r="BL205" s="647"/>
      <c r="BM205" s="647"/>
      <c r="BN205" s="647"/>
      <c r="BO205" s="647"/>
      <c r="BP205" s="647"/>
      <c r="BQ205" s="647"/>
      <c r="BR205" s="647"/>
      <c r="BS205" s="647" t="s">
        <v>140</v>
      </c>
      <c r="BT205" s="647"/>
      <c r="BU205" s="647"/>
      <c r="BV205" s="647"/>
      <c r="BW205" s="647"/>
      <c r="BX205" s="647"/>
      <c r="BY205" s="647"/>
      <c r="BZ205" s="647"/>
      <c r="CA205" s="647" t="str">
        <f t="shared" ref="CA205:CA219" si="61">AB6</f>
        <v>Caste of Victims</v>
      </c>
      <c r="CB205" s="647"/>
      <c r="CC205" s="647"/>
      <c r="CD205" s="647"/>
      <c r="CE205" s="647"/>
      <c r="CF205" s="647"/>
      <c r="CG205" s="647"/>
      <c r="CH205" s="647"/>
      <c r="CI205" s="647" t="s">
        <v>145</v>
      </c>
      <c r="CJ205" s="647"/>
      <c r="CK205" s="647"/>
      <c r="CL205" s="647"/>
      <c r="CM205" s="647"/>
      <c r="CN205" s="647"/>
      <c r="CO205" s="647"/>
      <c r="CP205" s="647"/>
      <c r="CQ205" s="647"/>
      <c r="CR205" s="647"/>
      <c r="CS205" s="647"/>
      <c r="CT205" s="647"/>
      <c r="CU205" s="647"/>
      <c r="CV205" s="647"/>
      <c r="CW205" s="647"/>
      <c r="CX205" s="647"/>
    </row>
    <row r="206" spans="53:102" x14ac:dyDescent="0.25">
      <c r="BA206" s="647"/>
      <c r="BB206" s="647"/>
      <c r="BC206" s="647" t="str">
        <f t="shared" si="60"/>
        <v>Hindu</v>
      </c>
      <c r="BD206" s="647"/>
      <c r="BE206" s="647"/>
      <c r="BF206" s="647"/>
      <c r="BG206" s="647" t="str">
        <f t="shared" ref="BG206:BG219" si="62">H7</f>
        <v>Muslim</v>
      </c>
      <c r="BH206" s="647"/>
      <c r="BI206" s="647"/>
      <c r="BJ206" s="647"/>
      <c r="BK206" s="647" t="str">
        <f t="shared" ref="BK206:BK219" si="63">L7</f>
        <v>Christian</v>
      </c>
      <c r="BL206" s="647"/>
      <c r="BM206" s="647"/>
      <c r="BN206" s="647"/>
      <c r="BO206" s="647" t="str">
        <f t="shared" ref="BO206:BO219" si="64">P7</f>
        <v>Sikh</v>
      </c>
      <c r="BP206" s="647"/>
      <c r="BQ206" s="647"/>
      <c r="BR206" s="647"/>
      <c r="BS206" s="647" t="str">
        <f t="shared" ref="BS206:BS219" si="65">T7</f>
        <v>Others</v>
      </c>
      <c r="BT206" s="647"/>
      <c r="BU206" s="647"/>
      <c r="BV206" s="647"/>
      <c r="BW206" s="647" t="str">
        <f t="shared" ref="BW206:BW219" si="66">X7</f>
        <v>Total</v>
      </c>
      <c r="BX206" s="647"/>
      <c r="BY206" s="647"/>
      <c r="BZ206" s="647"/>
      <c r="CA206" s="647" t="str">
        <f t="shared" si="61"/>
        <v>General</v>
      </c>
      <c r="CB206" s="647"/>
      <c r="CC206" s="647"/>
      <c r="CD206" s="647"/>
      <c r="CE206" s="647" t="str">
        <f t="shared" ref="CE206:CE219" si="67">AF7</f>
        <v>OBC</v>
      </c>
      <c r="CF206" s="647"/>
      <c r="CG206" s="647"/>
      <c r="CH206" s="647"/>
      <c r="CI206" s="647" t="str">
        <f t="shared" ref="CI206:CI219" si="68">AJ7</f>
        <v>SC</v>
      </c>
      <c r="CJ206" s="647"/>
      <c r="CK206" s="647"/>
      <c r="CL206" s="647"/>
      <c r="CM206" s="647" t="str">
        <f t="shared" ref="CM206:CM219" si="69">AN7</f>
        <v>ST</v>
      </c>
      <c r="CN206" s="647"/>
      <c r="CO206" s="647"/>
      <c r="CP206" s="647"/>
      <c r="CQ206" s="647" t="str">
        <f t="shared" ref="CQ206:CQ219" si="70">AR7</f>
        <v>Total</v>
      </c>
      <c r="CR206" s="647"/>
      <c r="CS206" s="647"/>
      <c r="CT206" s="647"/>
      <c r="CU206" s="647"/>
      <c r="CV206" s="647"/>
      <c r="CW206" s="647"/>
      <c r="CX206" s="647"/>
    </row>
    <row r="207" spans="53:102" ht="25.5" x14ac:dyDescent="0.25">
      <c r="BA207" s="647"/>
      <c r="BB207" s="647"/>
      <c r="BC207" s="169" t="str">
        <f t="shared" si="60"/>
        <v>Male</v>
      </c>
      <c r="BD207" s="169" t="str">
        <f t="shared" ref="BD207:BD219" si="71">E8</f>
        <v>Female</v>
      </c>
      <c r="BE207" s="169" t="str">
        <f t="shared" ref="BE207:BE219" si="72">F8</f>
        <v>Transgender</v>
      </c>
      <c r="BF207" s="169" t="str">
        <f t="shared" ref="BF207:BF219" si="73">G8</f>
        <v>Total</v>
      </c>
      <c r="BG207" s="169" t="str">
        <f t="shared" si="62"/>
        <v>Male</v>
      </c>
      <c r="BH207" s="169" t="str">
        <f t="shared" ref="BH207:BH219" si="74">I8</f>
        <v>Female</v>
      </c>
      <c r="BI207" s="169" t="str">
        <f t="shared" ref="BI207:BI219" si="75">J8</f>
        <v>Transgender</v>
      </c>
      <c r="BJ207" s="169" t="str">
        <f t="shared" ref="BJ207:BJ219" si="76">K8</f>
        <v>Total</v>
      </c>
      <c r="BK207" s="169" t="str">
        <f t="shared" si="63"/>
        <v>Male</v>
      </c>
      <c r="BL207" s="169" t="str">
        <f t="shared" ref="BL207:BL219" si="77">M8</f>
        <v>Female</v>
      </c>
      <c r="BM207" s="169" t="str">
        <f t="shared" ref="BM207:BM219" si="78">N8</f>
        <v>Transgender</v>
      </c>
      <c r="BN207" s="169" t="str">
        <f t="shared" ref="BN207:BN219" si="79">O8</f>
        <v>Total</v>
      </c>
      <c r="BO207" s="169" t="str">
        <f t="shared" si="64"/>
        <v>Male</v>
      </c>
      <c r="BP207" s="169" t="str">
        <f t="shared" ref="BP207:BP219" si="80">Q8</f>
        <v>Female</v>
      </c>
      <c r="BQ207" s="169" t="str">
        <f t="shared" ref="BQ207:BQ219" si="81">R8</f>
        <v>Transgender</v>
      </c>
      <c r="BR207" s="169" t="str">
        <f t="shared" ref="BR207:BR219" si="82">S8</f>
        <v>Total</v>
      </c>
      <c r="BS207" s="169" t="str">
        <f t="shared" si="65"/>
        <v>Male</v>
      </c>
      <c r="BT207" s="169" t="str">
        <f t="shared" ref="BT207:BT219" si="83">U8</f>
        <v>Female</v>
      </c>
      <c r="BU207" s="169" t="str">
        <f t="shared" ref="BU207:BU219" si="84">V8</f>
        <v>Transgender</v>
      </c>
      <c r="BV207" s="169" t="str">
        <f t="shared" ref="BV207:BV219" si="85">W8</f>
        <v>Total</v>
      </c>
      <c r="BW207" s="169" t="str">
        <f t="shared" si="66"/>
        <v>Male</v>
      </c>
      <c r="BX207" s="169" t="str">
        <f t="shared" ref="BX207:BX219" si="86">Y8</f>
        <v>Female</v>
      </c>
      <c r="BY207" s="169" t="str">
        <f t="shared" ref="BY207:BY219" si="87">Z8</f>
        <v>Transgender</v>
      </c>
      <c r="BZ207" s="169" t="str">
        <f t="shared" ref="BZ207:BZ219" si="88">AA8</f>
        <v>Total</v>
      </c>
      <c r="CA207" s="169" t="str">
        <f t="shared" si="61"/>
        <v>Male</v>
      </c>
      <c r="CB207" s="169" t="str">
        <f t="shared" ref="CB207:CB219" si="89">AC8</f>
        <v>Female</v>
      </c>
      <c r="CC207" s="169" t="str">
        <f t="shared" ref="CC207:CC219" si="90">AD8</f>
        <v>Transgender</v>
      </c>
      <c r="CD207" s="169" t="str">
        <f t="shared" ref="CD207:CD219" si="91">AE8</f>
        <v>Total</v>
      </c>
      <c r="CE207" s="169" t="str">
        <f t="shared" si="67"/>
        <v>Male</v>
      </c>
      <c r="CF207" s="169" t="str">
        <f t="shared" ref="CF207:CF219" si="92">AG8</f>
        <v>Female</v>
      </c>
      <c r="CG207" s="169" t="str">
        <f t="shared" ref="CG207:CG219" si="93">AH8</f>
        <v>Transgender</v>
      </c>
      <c r="CH207" s="169" t="str">
        <f t="shared" ref="CH207:CH219" si="94">AI8</f>
        <v>Total</v>
      </c>
      <c r="CI207" s="169" t="str">
        <f t="shared" si="68"/>
        <v>Male</v>
      </c>
      <c r="CJ207" s="169" t="str">
        <f t="shared" ref="CJ207:CJ219" si="95">AK8</f>
        <v>Female</v>
      </c>
      <c r="CK207" s="169" t="str">
        <f t="shared" ref="CK207:CK219" si="96">AL8</f>
        <v>Transgender</v>
      </c>
      <c r="CL207" s="169" t="str">
        <f t="shared" ref="CL207:CL219" si="97">AM8</f>
        <v>Total</v>
      </c>
      <c r="CM207" s="169" t="str">
        <f t="shared" si="69"/>
        <v>Male</v>
      </c>
      <c r="CN207" s="169" t="str">
        <f t="shared" ref="CN207:CN219" si="98">AO8</f>
        <v>Female</v>
      </c>
      <c r="CO207" s="169" t="str">
        <f t="shared" ref="CO207:CO219" si="99">AP8</f>
        <v>Transgender</v>
      </c>
      <c r="CP207" s="169" t="str">
        <f t="shared" ref="CP207:CP219" si="100">AQ8</f>
        <v>Total</v>
      </c>
      <c r="CQ207" s="169" t="str">
        <f t="shared" si="70"/>
        <v>Male</v>
      </c>
      <c r="CR207" s="169" t="str">
        <f t="shared" ref="CR207:CR219" si="101">AS8</f>
        <v>Female</v>
      </c>
      <c r="CS207" s="169" t="str">
        <f t="shared" ref="CS207:CS219" si="102">AT8</f>
        <v>Transgender</v>
      </c>
      <c r="CT207" s="169" t="str">
        <f t="shared" ref="CT207:CT219" si="103">AU8</f>
        <v>Total</v>
      </c>
      <c r="CU207" s="540" t="str">
        <f>AV8</f>
        <v>Male</v>
      </c>
      <c r="CV207" s="540" t="str">
        <f t="shared" ref="CV207:CX207" si="104">AW8</f>
        <v>Female</v>
      </c>
      <c r="CW207" s="540" t="str">
        <f t="shared" si="104"/>
        <v>Transgender</v>
      </c>
      <c r="CX207" s="540" t="str">
        <f t="shared" si="104"/>
        <v>Total</v>
      </c>
    </row>
    <row r="208" spans="53:102" x14ac:dyDescent="0.25">
      <c r="BA208" s="169" t="str">
        <f t="shared" ref="BA208:BA218" si="105">B9</f>
        <v>(1)</v>
      </c>
      <c r="BB208" s="169" t="str">
        <f t="shared" ref="BB208:BB218" si="106">C9</f>
        <v>(2)</v>
      </c>
      <c r="BC208" s="169" t="str">
        <f t="shared" si="60"/>
        <v>(3)</v>
      </c>
      <c r="BD208" s="169" t="str">
        <f t="shared" si="71"/>
        <v>(4)</v>
      </c>
      <c r="BE208" s="169" t="str">
        <f t="shared" si="72"/>
        <v>(5)</v>
      </c>
      <c r="BF208" s="169" t="str">
        <f t="shared" si="73"/>
        <v>(6)</v>
      </c>
      <c r="BG208" s="169" t="str">
        <f t="shared" si="62"/>
        <v>(7)</v>
      </c>
      <c r="BH208" s="169" t="str">
        <f t="shared" si="74"/>
        <v>(8)</v>
      </c>
      <c r="BI208" s="169" t="str">
        <f t="shared" si="75"/>
        <v>(9)</v>
      </c>
      <c r="BJ208" s="169" t="str">
        <f t="shared" si="76"/>
        <v>(10)</v>
      </c>
      <c r="BK208" s="169" t="str">
        <f t="shared" si="63"/>
        <v>(11)</v>
      </c>
      <c r="BL208" s="169" t="str">
        <f t="shared" si="77"/>
        <v>(12)</v>
      </c>
      <c r="BM208" s="169" t="str">
        <f t="shared" si="78"/>
        <v>(13)</v>
      </c>
      <c r="BN208" s="169" t="str">
        <f t="shared" si="79"/>
        <v>(14)</v>
      </c>
      <c r="BO208" s="169" t="str">
        <f t="shared" si="64"/>
        <v>(15)</v>
      </c>
      <c r="BP208" s="169" t="str">
        <f t="shared" si="80"/>
        <v>(16)</v>
      </c>
      <c r="BQ208" s="169" t="str">
        <f t="shared" si="81"/>
        <v>(17)</v>
      </c>
      <c r="BR208" s="169" t="str">
        <f t="shared" si="82"/>
        <v>(18)</v>
      </c>
      <c r="BS208" s="169" t="str">
        <f t="shared" si="65"/>
        <v>(19)</v>
      </c>
      <c r="BT208" s="169" t="str">
        <f t="shared" si="83"/>
        <v>(20)</v>
      </c>
      <c r="BU208" s="169" t="str">
        <f t="shared" si="84"/>
        <v>(21)</v>
      </c>
      <c r="BV208" s="169" t="str">
        <f t="shared" si="85"/>
        <v>(22)</v>
      </c>
      <c r="BW208" s="169" t="str">
        <f t="shared" si="66"/>
        <v>(23)</v>
      </c>
      <c r="BX208" s="169" t="str">
        <f t="shared" si="86"/>
        <v>(24)</v>
      </c>
      <c r="BY208" s="169" t="str">
        <f t="shared" si="87"/>
        <v>(25)</v>
      </c>
      <c r="BZ208" s="169" t="str">
        <f t="shared" si="88"/>
        <v>(26)</v>
      </c>
      <c r="CA208" s="169" t="str">
        <f t="shared" si="61"/>
        <v>(27)</v>
      </c>
      <c r="CB208" s="169" t="str">
        <f t="shared" si="89"/>
        <v>(28)</v>
      </c>
      <c r="CC208" s="169" t="str">
        <f t="shared" si="90"/>
        <v>(29)</v>
      </c>
      <c r="CD208" s="169" t="str">
        <f t="shared" si="91"/>
        <v>(30)</v>
      </c>
      <c r="CE208" s="169" t="str">
        <f t="shared" si="67"/>
        <v>(31)</v>
      </c>
      <c r="CF208" s="169" t="str">
        <f t="shared" si="92"/>
        <v>(32)</v>
      </c>
      <c r="CG208" s="169" t="str">
        <f t="shared" si="93"/>
        <v>(33)</v>
      </c>
      <c r="CH208" s="169" t="str">
        <f t="shared" si="94"/>
        <v>(34)</v>
      </c>
      <c r="CI208" s="169" t="str">
        <f t="shared" si="68"/>
        <v>(35)</v>
      </c>
      <c r="CJ208" s="169" t="str">
        <f t="shared" si="95"/>
        <v>(36)</v>
      </c>
      <c r="CK208" s="169" t="str">
        <f t="shared" si="96"/>
        <v>(37)</v>
      </c>
      <c r="CL208" s="169" t="str">
        <f t="shared" si="97"/>
        <v>(38)</v>
      </c>
      <c r="CM208" s="169" t="str">
        <f t="shared" si="69"/>
        <v>(39)</v>
      </c>
      <c r="CN208" s="169" t="str">
        <f t="shared" si="98"/>
        <v>(40)</v>
      </c>
      <c r="CO208" s="169" t="str">
        <f t="shared" si="99"/>
        <v>(41)</v>
      </c>
      <c r="CP208" s="169" t="str">
        <f t="shared" si="100"/>
        <v>(42)</v>
      </c>
      <c r="CQ208" s="169" t="str">
        <f t="shared" si="70"/>
        <v>(43)</v>
      </c>
      <c r="CR208" s="169" t="str">
        <f t="shared" si="101"/>
        <v>(44)</v>
      </c>
      <c r="CS208" s="169" t="str">
        <f t="shared" si="102"/>
        <v>(45)</v>
      </c>
      <c r="CT208" s="169" t="str">
        <f t="shared" si="103"/>
        <v>(46)</v>
      </c>
      <c r="CU208" s="136"/>
      <c r="CV208" s="136"/>
      <c r="CW208" s="136"/>
      <c r="CX208" s="136"/>
    </row>
    <row r="209" spans="53:102" x14ac:dyDescent="0.25">
      <c r="BA209" s="173">
        <f t="shared" si="105"/>
        <v>1</v>
      </c>
      <c r="BB209" s="150" t="str">
        <f t="shared" si="106"/>
        <v>No Education</v>
      </c>
      <c r="BC209" s="136">
        <f t="shared" si="60"/>
        <v>13</v>
      </c>
      <c r="BD209" s="136">
        <f t="shared" si="71"/>
        <v>7</v>
      </c>
      <c r="BE209" s="136">
        <f t="shared" si="72"/>
        <v>0</v>
      </c>
      <c r="BF209" s="136">
        <f t="shared" si="73"/>
        <v>20</v>
      </c>
      <c r="BG209" s="136">
        <f t="shared" si="62"/>
        <v>1</v>
      </c>
      <c r="BH209" s="136">
        <f t="shared" si="74"/>
        <v>0</v>
      </c>
      <c r="BI209" s="136">
        <f t="shared" si="75"/>
        <v>0</v>
      </c>
      <c r="BJ209" s="136">
        <f t="shared" si="76"/>
        <v>1</v>
      </c>
      <c r="BK209" s="136">
        <f t="shared" si="63"/>
        <v>2</v>
      </c>
      <c r="BL209" s="136">
        <f t="shared" si="77"/>
        <v>2</v>
      </c>
      <c r="BM209" s="136">
        <f t="shared" si="78"/>
        <v>0</v>
      </c>
      <c r="BN209" s="136">
        <f t="shared" si="79"/>
        <v>4</v>
      </c>
      <c r="BO209" s="136">
        <f t="shared" si="64"/>
        <v>0</v>
      </c>
      <c r="BP209" s="136">
        <f t="shared" si="80"/>
        <v>0</v>
      </c>
      <c r="BQ209" s="136">
        <f t="shared" si="81"/>
        <v>0</v>
      </c>
      <c r="BR209" s="136">
        <f t="shared" si="82"/>
        <v>0</v>
      </c>
      <c r="BS209" s="136">
        <f t="shared" si="65"/>
        <v>0</v>
      </c>
      <c r="BT209" s="136">
        <f t="shared" si="83"/>
        <v>0</v>
      </c>
      <c r="BU209" s="136">
        <f t="shared" si="84"/>
        <v>0</v>
      </c>
      <c r="BV209" s="136">
        <f t="shared" si="85"/>
        <v>0</v>
      </c>
      <c r="BW209" s="136">
        <f t="shared" si="66"/>
        <v>16</v>
      </c>
      <c r="BX209" s="136">
        <f t="shared" si="86"/>
        <v>9</v>
      </c>
      <c r="BY209" s="136">
        <f t="shared" si="87"/>
        <v>0</v>
      </c>
      <c r="BZ209" s="136">
        <f t="shared" si="88"/>
        <v>25</v>
      </c>
      <c r="CA209" s="136">
        <f t="shared" si="61"/>
        <v>14</v>
      </c>
      <c r="CB209" s="136">
        <f t="shared" si="89"/>
        <v>7</v>
      </c>
      <c r="CC209" s="136">
        <f t="shared" si="90"/>
        <v>0</v>
      </c>
      <c r="CD209" s="136">
        <f t="shared" si="91"/>
        <v>21</v>
      </c>
      <c r="CE209" s="136">
        <f t="shared" si="67"/>
        <v>1</v>
      </c>
      <c r="CF209" s="136">
        <f t="shared" si="92"/>
        <v>1</v>
      </c>
      <c r="CG209" s="136">
        <f t="shared" si="93"/>
        <v>0</v>
      </c>
      <c r="CH209" s="136">
        <f t="shared" si="94"/>
        <v>2</v>
      </c>
      <c r="CI209" s="136">
        <f t="shared" si="68"/>
        <v>0</v>
      </c>
      <c r="CJ209" s="136">
        <f t="shared" si="95"/>
        <v>1</v>
      </c>
      <c r="CK209" s="136">
        <f t="shared" si="96"/>
        <v>0</v>
      </c>
      <c r="CL209" s="136">
        <f t="shared" si="97"/>
        <v>1</v>
      </c>
      <c r="CM209" s="136">
        <f t="shared" si="69"/>
        <v>1</v>
      </c>
      <c r="CN209" s="136">
        <f t="shared" si="98"/>
        <v>0</v>
      </c>
      <c r="CO209" s="136">
        <f t="shared" si="99"/>
        <v>0</v>
      </c>
      <c r="CP209" s="136">
        <f t="shared" si="100"/>
        <v>1</v>
      </c>
      <c r="CQ209" s="136">
        <f t="shared" si="70"/>
        <v>16</v>
      </c>
      <c r="CR209" s="136">
        <f t="shared" si="101"/>
        <v>9</v>
      </c>
      <c r="CS209" s="136">
        <f t="shared" si="102"/>
        <v>0</v>
      </c>
      <c r="CT209" s="136">
        <f t="shared" si="103"/>
        <v>25</v>
      </c>
      <c r="CU209" s="136" t="str">
        <f t="shared" ref="CU209:CU218" si="107">AV10</f>
        <v/>
      </c>
      <c r="CV209" s="136" t="str">
        <f t="shared" ref="CV209:CV218" si="108">AW10</f>
        <v/>
      </c>
      <c r="CW209" s="136" t="str">
        <f t="shared" ref="CW209:CW218" si="109">AX10</f>
        <v/>
      </c>
      <c r="CX209" s="136" t="str">
        <f t="shared" ref="CX209:CX218" si="110">AY10</f>
        <v/>
      </c>
    </row>
    <row r="210" spans="53:102" x14ac:dyDescent="0.25">
      <c r="BA210" s="173">
        <f t="shared" si="105"/>
        <v>2</v>
      </c>
      <c r="BB210" s="150" t="str">
        <f t="shared" si="106"/>
        <v>Primary (upto class–5)</v>
      </c>
      <c r="BC210" s="136">
        <f t="shared" si="60"/>
        <v>19</v>
      </c>
      <c r="BD210" s="136">
        <f t="shared" si="71"/>
        <v>8</v>
      </c>
      <c r="BE210" s="136">
        <f t="shared" si="72"/>
        <v>0</v>
      </c>
      <c r="BF210" s="136">
        <f t="shared" si="73"/>
        <v>27</v>
      </c>
      <c r="BG210" s="136">
        <f t="shared" si="62"/>
        <v>2</v>
      </c>
      <c r="BH210" s="136">
        <f t="shared" si="74"/>
        <v>0</v>
      </c>
      <c r="BI210" s="136">
        <f t="shared" si="75"/>
        <v>0</v>
      </c>
      <c r="BJ210" s="136">
        <f t="shared" si="76"/>
        <v>2</v>
      </c>
      <c r="BK210" s="136">
        <f t="shared" si="63"/>
        <v>2</v>
      </c>
      <c r="BL210" s="136">
        <f t="shared" si="77"/>
        <v>1</v>
      </c>
      <c r="BM210" s="136">
        <f t="shared" si="78"/>
        <v>0</v>
      </c>
      <c r="BN210" s="136">
        <f t="shared" si="79"/>
        <v>3</v>
      </c>
      <c r="BO210" s="136">
        <f t="shared" si="64"/>
        <v>0</v>
      </c>
      <c r="BP210" s="136">
        <f t="shared" si="80"/>
        <v>0</v>
      </c>
      <c r="BQ210" s="136">
        <f t="shared" si="81"/>
        <v>0</v>
      </c>
      <c r="BR210" s="136">
        <f t="shared" si="82"/>
        <v>0</v>
      </c>
      <c r="BS210" s="136">
        <f t="shared" si="65"/>
        <v>0</v>
      </c>
      <c r="BT210" s="136">
        <f t="shared" si="83"/>
        <v>0</v>
      </c>
      <c r="BU210" s="136">
        <f t="shared" si="84"/>
        <v>0</v>
      </c>
      <c r="BV210" s="136">
        <f t="shared" si="85"/>
        <v>0</v>
      </c>
      <c r="BW210" s="136">
        <f t="shared" si="66"/>
        <v>23</v>
      </c>
      <c r="BX210" s="136">
        <f t="shared" si="86"/>
        <v>9</v>
      </c>
      <c r="BY210" s="136">
        <f t="shared" si="87"/>
        <v>0</v>
      </c>
      <c r="BZ210" s="136">
        <f t="shared" si="88"/>
        <v>32</v>
      </c>
      <c r="CA210" s="136">
        <f t="shared" si="61"/>
        <v>20</v>
      </c>
      <c r="CB210" s="136">
        <f t="shared" si="89"/>
        <v>9</v>
      </c>
      <c r="CC210" s="136">
        <f t="shared" si="90"/>
        <v>0</v>
      </c>
      <c r="CD210" s="136">
        <f t="shared" si="91"/>
        <v>29</v>
      </c>
      <c r="CE210" s="136">
        <f t="shared" si="67"/>
        <v>2</v>
      </c>
      <c r="CF210" s="136">
        <f t="shared" si="92"/>
        <v>0</v>
      </c>
      <c r="CG210" s="136">
        <f t="shared" si="93"/>
        <v>0</v>
      </c>
      <c r="CH210" s="136">
        <f t="shared" si="94"/>
        <v>2</v>
      </c>
      <c r="CI210" s="136">
        <f t="shared" si="68"/>
        <v>0</v>
      </c>
      <c r="CJ210" s="136">
        <f t="shared" si="95"/>
        <v>0</v>
      </c>
      <c r="CK210" s="136">
        <f t="shared" si="96"/>
        <v>0</v>
      </c>
      <c r="CL210" s="136">
        <f t="shared" si="97"/>
        <v>0</v>
      </c>
      <c r="CM210" s="136">
        <f t="shared" si="69"/>
        <v>1</v>
      </c>
      <c r="CN210" s="136">
        <f t="shared" si="98"/>
        <v>0</v>
      </c>
      <c r="CO210" s="136">
        <f t="shared" si="99"/>
        <v>0</v>
      </c>
      <c r="CP210" s="136">
        <f t="shared" si="100"/>
        <v>1</v>
      </c>
      <c r="CQ210" s="136">
        <f t="shared" si="70"/>
        <v>23</v>
      </c>
      <c r="CR210" s="136">
        <f t="shared" si="101"/>
        <v>9</v>
      </c>
      <c r="CS210" s="136">
        <f t="shared" si="102"/>
        <v>0</v>
      </c>
      <c r="CT210" s="136">
        <f t="shared" si="103"/>
        <v>32</v>
      </c>
      <c r="CU210" s="136" t="str">
        <f t="shared" si="107"/>
        <v/>
      </c>
      <c r="CV210" s="136" t="str">
        <f t="shared" si="108"/>
        <v/>
      </c>
      <c r="CW210" s="136" t="str">
        <f t="shared" si="109"/>
        <v/>
      </c>
      <c r="CX210" s="136" t="str">
        <f t="shared" si="110"/>
        <v/>
      </c>
    </row>
    <row r="211" spans="53:102" x14ac:dyDescent="0.25">
      <c r="BA211" s="173">
        <f t="shared" si="105"/>
        <v>3</v>
      </c>
      <c r="BB211" s="150" t="str">
        <f t="shared" si="106"/>
        <v>Middle (upto class–8)</v>
      </c>
      <c r="BC211" s="136">
        <f t="shared" si="60"/>
        <v>32</v>
      </c>
      <c r="BD211" s="136">
        <f t="shared" si="71"/>
        <v>12</v>
      </c>
      <c r="BE211" s="136">
        <f t="shared" si="72"/>
        <v>0</v>
      </c>
      <c r="BF211" s="136">
        <f t="shared" si="73"/>
        <v>44</v>
      </c>
      <c r="BG211" s="136">
        <f t="shared" si="62"/>
        <v>7</v>
      </c>
      <c r="BH211" s="136">
        <f t="shared" si="74"/>
        <v>1</v>
      </c>
      <c r="BI211" s="136">
        <f t="shared" si="75"/>
        <v>0</v>
      </c>
      <c r="BJ211" s="136">
        <f t="shared" si="76"/>
        <v>8</v>
      </c>
      <c r="BK211" s="136">
        <f t="shared" si="63"/>
        <v>7</v>
      </c>
      <c r="BL211" s="136">
        <f t="shared" si="77"/>
        <v>3</v>
      </c>
      <c r="BM211" s="136">
        <f t="shared" si="78"/>
        <v>0</v>
      </c>
      <c r="BN211" s="136">
        <f t="shared" si="79"/>
        <v>10</v>
      </c>
      <c r="BO211" s="136">
        <f t="shared" si="64"/>
        <v>0</v>
      </c>
      <c r="BP211" s="136">
        <f t="shared" si="80"/>
        <v>0</v>
      </c>
      <c r="BQ211" s="136">
        <f t="shared" si="81"/>
        <v>0</v>
      </c>
      <c r="BR211" s="136">
        <f t="shared" si="82"/>
        <v>0</v>
      </c>
      <c r="BS211" s="136">
        <f t="shared" si="65"/>
        <v>0</v>
      </c>
      <c r="BT211" s="136">
        <f t="shared" si="83"/>
        <v>0</v>
      </c>
      <c r="BU211" s="136">
        <f t="shared" si="84"/>
        <v>0</v>
      </c>
      <c r="BV211" s="136">
        <f t="shared" si="85"/>
        <v>0</v>
      </c>
      <c r="BW211" s="136">
        <f t="shared" si="66"/>
        <v>46</v>
      </c>
      <c r="BX211" s="136">
        <f t="shared" si="86"/>
        <v>16</v>
      </c>
      <c r="BY211" s="136">
        <f t="shared" si="87"/>
        <v>0</v>
      </c>
      <c r="BZ211" s="136">
        <f t="shared" si="88"/>
        <v>62</v>
      </c>
      <c r="CA211" s="136">
        <f t="shared" si="61"/>
        <v>45</v>
      </c>
      <c r="CB211" s="136">
        <f t="shared" si="89"/>
        <v>14</v>
      </c>
      <c r="CC211" s="136">
        <f t="shared" si="90"/>
        <v>0</v>
      </c>
      <c r="CD211" s="136">
        <f t="shared" si="91"/>
        <v>59</v>
      </c>
      <c r="CE211" s="136">
        <f t="shared" si="67"/>
        <v>1</v>
      </c>
      <c r="CF211" s="136">
        <f t="shared" si="92"/>
        <v>2</v>
      </c>
      <c r="CG211" s="136">
        <f t="shared" si="93"/>
        <v>0</v>
      </c>
      <c r="CH211" s="136">
        <f t="shared" si="94"/>
        <v>3</v>
      </c>
      <c r="CI211" s="136">
        <f t="shared" si="68"/>
        <v>0</v>
      </c>
      <c r="CJ211" s="136">
        <f t="shared" si="95"/>
        <v>0</v>
      </c>
      <c r="CK211" s="136">
        <f t="shared" si="96"/>
        <v>0</v>
      </c>
      <c r="CL211" s="136">
        <f t="shared" si="97"/>
        <v>0</v>
      </c>
      <c r="CM211" s="136">
        <f t="shared" si="69"/>
        <v>0</v>
      </c>
      <c r="CN211" s="136">
        <f t="shared" si="98"/>
        <v>0</v>
      </c>
      <c r="CO211" s="136">
        <f t="shared" si="99"/>
        <v>0</v>
      </c>
      <c r="CP211" s="136">
        <f t="shared" si="100"/>
        <v>0</v>
      </c>
      <c r="CQ211" s="136">
        <f t="shared" si="70"/>
        <v>46</v>
      </c>
      <c r="CR211" s="136">
        <f t="shared" si="101"/>
        <v>16</v>
      </c>
      <c r="CS211" s="136">
        <f t="shared" si="102"/>
        <v>0</v>
      </c>
      <c r="CT211" s="136">
        <f t="shared" si="103"/>
        <v>62</v>
      </c>
      <c r="CU211" s="136" t="str">
        <f t="shared" si="107"/>
        <v/>
      </c>
      <c r="CV211" s="136" t="str">
        <f t="shared" si="108"/>
        <v/>
      </c>
      <c r="CW211" s="136" t="str">
        <f t="shared" si="109"/>
        <v/>
      </c>
      <c r="CX211" s="136" t="str">
        <f t="shared" si="110"/>
        <v/>
      </c>
    </row>
    <row r="212" spans="53:102" ht="25.5" x14ac:dyDescent="0.25">
      <c r="BA212" s="173">
        <f t="shared" si="105"/>
        <v>4</v>
      </c>
      <c r="BB212" s="150" t="str">
        <f t="shared" si="106"/>
        <v>Matriculate/Secondary (upto class–10)</v>
      </c>
      <c r="BC212" s="136">
        <f t="shared" si="60"/>
        <v>74</v>
      </c>
      <c r="BD212" s="136">
        <f t="shared" si="71"/>
        <v>11</v>
      </c>
      <c r="BE212" s="136">
        <f t="shared" si="72"/>
        <v>0</v>
      </c>
      <c r="BF212" s="136">
        <f t="shared" si="73"/>
        <v>85</v>
      </c>
      <c r="BG212" s="136">
        <f t="shared" si="62"/>
        <v>7</v>
      </c>
      <c r="BH212" s="136">
        <f t="shared" si="74"/>
        <v>3</v>
      </c>
      <c r="BI212" s="136">
        <f t="shared" si="75"/>
        <v>0</v>
      </c>
      <c r="BJ212" s="136">
        <f t="shared" si="76"/>
        <v>10</v>
      </c>
      <c r="BK212" s="136">
        <f t="shared" si="63"/>
        <v>18</v>
      </c>
      <c r="BL212" s="136">
        <f t="shared" si="77"/>
        <v>5</v>
      </c>
      <c r="BM212" s="136">
        <f t="shared" si="78"/>
        <v>0</v>
      </c>
      <c r="BN212" s="136">
        <f t="shared" si="79"/>
        <v>23</v>
      </c>
      <c r="BO212" s="136">
        <f t="shared" si="64"/>
        <v>0</v>
      </c>
      <c r="BP212" s="136">
        <f t="shared" si="80"/>
        <v>0</v>
      </c>
      <c r="BQ212" s="136">
        <f t="shared" si="81"/>
        <v>0</v>
      </c>
      <c r="BR212" s="136">
        <f t="shared" si="82"/>
        <v>0</v>
      </c>
      <c r="BS212" s="136">
        <f t="shared" si="65"/>
        <v>0</v>
      </c>
      <c r="BT212" s="136">
        <f t="shared" si="83"/>
        <v>0</v>
      </c>
      <c r="BU212" s="136">
        <f t="shared" si="84"/>
        <v>0</v>
      </c>
      <c r="BV212" s="136">
        <f t="shared" si="85"/>
        <v>0</v>
      </c>
      <c r="BW212" s="136">
        <f t="shared" si="66"/>
        <v>99</v>
      </c>
      <c r="BX212" s="136">
        <f t="shared" si="86"/>
        <v>19</v>
      </c>
      <c r="BY212" s="136">
        <f t="shared" si="87"/>
        <v>0</v>
      </c>
      <c r="BZ212" s="136">
        <f t="shared" si="88"/>
        <v>118</v>
      </c>
      <c r="CA212" s="136">
        <f t="shared" si="61"/>
        <v>87</v>
      </c>
      <c r="CB212" s="136">
        <f t="shared" si="89"/>
        <v>16</v>
      </c>
      <c r="CC212" s="136">
        <f t="shared" si="90"/>
        <v>0</v>
      </c>
      <c r="CD212" s="136">
        <f t="shared" si="91"/>
        <v>103</v>
      </c>
      <c r="CE212" s="136">
        <f t="shared" si="67"/>
        <v>8</v>
      </c>
      <c r="CF212" s="136">
        <f t="shared" si="92"/>
        <v>2</v>
      </c>
      <c r="CG212" s="136">
        <f t="shared" si="93"/>
        <v>0</v>
      </c>
      <c r="CH212" s="136">
        <f t="shared" si="94"/>
        <v>10</v>
      </c>
      <c r="CI212" s="136">
        <f t="shared" si="68"/>
        <v>0</v>
      </c>
      <c r="CJ212" s="136">
        <f t="shared" si="95"/>
        <v>0</v>
      </c>
      <c r="CK212" s="136">
        <f t="shared" si="96"/>
        <v>0</v>
      </c>
      <c r="CL212" s="136">
        <f t="shared" si="97"/>
        <v>0</v>
      </c>
      <c r="CM212" s="136">
        <f t="shared" si="69"/>
        <v>4</v>
      </c>
      <c r="CN212" s="136">
        <f t="shared" si="98"/>
        <v>1</v>
      </c>
      <c r="CO212" s="136">
        <f t="shared" si="99"/>
        <v>0</v>
      </c>
      <c r="CP212" s="136">
        <f t="shared" si="100"/>
        <v>5</v>
      </c>
      <c r="CQ212" s="136">
        <f t="shared" si="70"/>
        <v>99</v>
      </c>
      <c r="CR212" s="136">
        <f t="shared" si="101"/>
        <v>19</v>
      </c>
      <c r="CS212" s="136">
        <f t="shared" si="102"/>
        <v>0</v>
      </c>
      <c r="CT212" s="136">
        <f t="shared" si="103"/>
        <v>118</v>
      </c>
      <c r="CU212" s="136" t="str">
        <f t="shared" si="107"/>
        <v/>
      </c>
      <c r="CV212" s="136" t="str">
        <f t="shared" si="108"/>
        <v/>
      </c>
      <c r="CW212" s="136" t="str">
        <f t="shared" si="109"/>
        <v/>
      </c>
      <c r="CX212" s="136" t="str">
        <f t="shared" si="110"/>
        <v/>
      </c>
    </row>
    <row r="213" spans="53:102" ht="51" x14ac:dyDescent="0.25">
      <c r="BA213" s="173">
        <f t="shared" si="105"/>
        <v>5</v>
      </c>
      <c r="BB213" s="150" t="str">
        <f t="shared" si="106"/>
        <v>Higher Secondary/ Intermediate/ Pre-University (upto class–12)</v>
      </c>
      <c r="BC213" s="136">
        <f t="shared" si="60"/>
        <v>31</v>
      </c>
      <c r="BD213" s="136">
        <f t="shared" si="71"/>
        <v>8</v>
      </c>
      <c r="BE213" s="136">
        <f t="shared" si="72"/>
        <v>0</v>
      </c>
      <c r="BF213" s="136">
        <f t="shared" si="73"/>
        <v>39</v>
      </c>
      <c r="BG213" s="136">
        <f t="shared" si="62"/>
        <v>0</v>
      </c>
      <c r="BH213" s="136">
        <f t="shared" si="74"/>
        <v>2</v>
      </c>
      <c r="BI213" s="136">
        <f t="shared" si="75"/>
        <v>0</v>
      </c>
      <c r="BJ213" s="136">
        <f t="shared" si="76"/>
        <v>2</v>
      </c>
      <c r="BK213" s="136">
        <f t="shared" si="63"/>
        <v>11</v>
      </c>
      <c r="BL213" s="136">
        <f t="shared" si="77"/>
        <v>4</v>
      </c>
      <c r="BM213" s="136">
        <f t="shared" si="78"/>
        <v>0</v>
      </c>
      <c r="BN213" s="136">
        <f t="shared" si="79"/>
        <v>15</v>
      </c>
      <c r="BO213" s="136">
        <f t="shared" si="64"/>
        <v>0</v>
      </c>
      <c r="BP213" s="136">
        <f t="shared" si="80"/>
        <v>0</v>
      </c>
      <c r="BQ213" s="136">
        <f t="shared" si="81"/>
        <v>0</v>
      </c>
      <c r="BR213" s="136">
        <f t="shared" si="82"/>
        <v>0</v>
      </c>
      <c r="BS213" s="136">
        <f t="shared" si="65"/>
        <v>0</v>
      </c>
      <c r="BT213" s="136">
        <f t="shared" si="83"/>
        <v>0</v>
      </c>
      <c r="BU213" s="136">
        <f t="shared" si="84"/>
        <v>0</v>
      </c>
      <c r="BV213" s="136">
        <f t="shared" si="85"/>
        <v>0</v>
      </c>
      <c r="BW213" s="136">
        <f t="shared" si="66"/>
        <v>42</v>
      </c>
      <c r="BX213" s="136">
        <f t="shared" si="86"/>
        <v>14</v>
      </c>
      <c r="BY213" s="136">
        <f t="shared" si="87"/>
        <v>0</v>
      </c>
      <c r="BZ213" s="136">
        <f t="shared" si="88"/>
        <v>56</v>
      </c>
      <c r="CA213" s="136">
        <f t="shared" si="61"/>
        <v>36</v>
      </c>
      <c r="CB213" s="136">
        <f t="shared" si="89"/>
        <v>14</v>
      </c>
      <c r="CC213" s="136">
        <f t="shared" si="90"/>
        <v>0</v>
      </c>
      <c r="CD213" s="136">
        <f t="shared" si="91"/>
        <v>50</v>
      </c>
      <c r="CE213" s="136">
        <f t="shared" si="67"/>
        <v>3</v>
      </c>
      <c r="CF213" s="136">
        <f t="shared" si="92"/>
        <v>0</v>
      </c>
      <c r="CG213" s="136">
        <f t="shared" si="93"/>
        <v>0</v>
      </c>
      <c r="CH213" s="136">
        <f t="shared" si="94"/>
        <v>3</v>
      </c>
      <c r="CI213" s="136">
        <f t="shared" si="68"/>
        <v>0</v>
      </c>
      <c r="CJ213" s="136">
        <f t="shared" si="95"/>
        <v>0</v>
      </c>
      <c r="CK213" s="136">
        <f t="shared" si="96"/>
        <v>0</v>
      </c>
      <c r="CL213" s="136">
        <f t="shared" si="97"/>
        <v>0</v>
      </c>
      <c r="CM213" s="136">
        <f t="shared" si="69"/>
        <v>3</v>
      </c>
      <c r="CN213" s="136">
        <f t="shared" si="98"/>
        <v>0</v>
      </c>
      <c r="CO213" s="136">
        <f t="shared" si="99"/>
        <v>0</v>
      </c>
      <c r="CP213" s="136">
        <f t="shared" si="100"/>
        <v>3</v>
      </c>
      <c r="CQ213" s="136">
        <f t="shared" si="70"/>
        <v>42</v>
      </c>
      <c r="CR213" s="136">
        <f t="shared" si="101"/>
        <v>14</v>
      </c>
      <c r="CS213" s="136">
        <f t="shared" si="102"/>
        <v>0</v>
      </c>
      <c r="CT213" s="136">
        <f t="shared" si="103"/>
        <v>56</v>
      </c>
      <c r="CU213" s="136" t="str">
        <f t="shared" si="107"/>
        <v/>
      </c>
      <c r="CV213" s="136" t="str">
        <f t="shared" si="108"/>
        <v/>
      </c>
      <c r="CW213" s="136" t="str">
        <f t="shared" si="109"/>
        <v/>
      </c>
      <c r="CX213" s="136" t="str">
        <f t="shared" si="110"/>
        <v/>
      </c>
    </row>
    <row r="214" spans="53:102" x14ac:dyDescent="0.25">
      <c r="BA214" s="173">
        <f t="shared" si="105"/>
        <v>6</v>
      </c>
      <c r="BB214" s="150" t="str">
        <f t="shared" si="106"/>
        <v>Diploma/ITI/Certificate</v>
      </c>
      <c r="BC214" s="136">
        <f t="shared" si="60"/>
        <v>0</v>
      </c>
      <c r="BD214" s="136">
        <f t="shared" si="71"/>
        <v>0</v>
      </c>
      <c r="BE214" s="136">
        <f t="shared" si="72"/>
        <v>0</v>
      </c>
      <c r="BF214" s="136">
        <f t="shared" si="73"/>
        <v>0</v>
      </c>
      <c r="BG214" s="136">
        <f t="shared" si="62"/>
        <v>0</v>
      </c>
      <c r="BH214" s="136">
        <f t="shared" si="74"/>
        <v>0</v>
      </c>
      <c r="BI214" s="136">
        <f t="shared" si="75"/>
        <v>0</v>
      </c>
      <c r="BJ214" s="136">
        <f t="shared" si="76"/>
        <v>0</v>
      </c>
      <c r="BK214" s="136">
        <f t="shared" si="63"/>
        <v>1</v>
      </c>
      <c r="BL214" s="136">
        <f t="shared" si="77"/>
        <v>0</v>
      </c>
      <c r="BM214" s="136">
        <f t="shared" si="78"/>
        <v>0</v>
      </c>
      <c r="BN214" s="136">
        <f t="shared" si="79"/>
        <v>1</v>
      </c>
      <c r="BO214" s="136">
        <f t="shared" si="64"/>
        <v>0</v>
      </c>
      <c r="BP214" s="136">
        <f t="shared" si="80"/>
        <v>0</v>
      </c>
      <c r="BQ214" s="136">
        <f t="shared" si="81"/>
        <v>0</v>
      </c>
      <c r="BR214" s="136">
        <f t="shared" si="82"/>
        <v>0</v>
      </c>
      <c r="BS214" s="136">
        <f t="shared" si="65"/>
        <v>0</v>
      </c>
      <c r="BT214" s="136">
        <f t="shared" si="83"/>
        <v>0</v>
      </c>
      <c r="BU214" s="136">
        <f t="shared" si="84"/>
        <v>0</v>
      </c>
      <c r="BV214" s="136">
        <f t="shared" si="85"/>
        <v>0</v>
      </c>
      <c r="BW214" s="136">
        <f t="shared" si="66"/>
        <v>1</v>
      </c>
      <c r="BX214" s="136">
        <f t="shared" si="86"/>
        <v>0</v>
      </c>
      <c r="BY214" s="136">
        <f t="shared" si="87"/>
        <v>0</v>
      </c>
      <c r="BZ214" s="136">
        <f t="shared" si="88"/>
        <v>1</v>
      </c>
      <c r="CA214" s="136">
        <f t="shared" si="61"/>
        <v>1</v>
      </c>
      <c r="CB214" s="136">
        <f t="shared" si="89"/>
        <v>0</v>
      </c>
      <c r="CC214" s="136">
        <f t="shared" si="90"/>
        <v>0</v>
      </c>
      <c r="CD214" s="136">
        <f t="shared" si="91"/>
        <v>1</v>
      </c>
      <c r="CE214" s="136">
        <f t="shared" si="67"/>
        <v>0</v>
      </c>
      <c r="CF214" s="136">
        <f t="shared" si="92"/>
        <v>0</v>
      </c>
      <c r="CG214" s="136">
        <f t="shared" si="93"/>
        <v>0</v>
      </c>
      <c r="CH214" s="136">
        <f t="shared" si="94"/>
        <v>0</v>
      </c>
      <c r="CI214" s="136">
        <f t="shared" si="68"/>
        <v>0</v>
      </c>
      <c r="CJ214" s="136">
        <f t="shared" si="95"/>
        <v>0</v>
      </c>
      <c r="CK214" s="136">
        <f t="shared" si="96"/>
        <v>0</v>
      </c>
      <c r="CL214" s="136">
        <f t="shared" si="97"/>
        <v>0</v>
      </c>
      <c r="CM214" s="136">
        <f t="shared" si="69"/>
        <v>0</v>
      </c>
      <c r="CN214" s="136">
        <f t="shared" si="98"/>
        <v>0</v>
      </c>
      <c r="CO214" s="136">
        <f t="shared" si="99"/>
        <v>0</v>
      </c>
      <c r="CP214" s="136">
        <f t="shared" si="100"/>
        <v>0</v>
      </c>
      <c r="CQ214" s="136">
        <f t="shared" si="70"/>
        <v>1</v>
      </c>
      <c r="CR214" s="136">
        <f t="shared" si="101"/>
        <v>0</v>
      </c>
      <c r="CS214" s="136">
        <f t="shared" si="102"/>
        <v>0</v>
      </c>
      <c r="CT214" s="136">
        <f t="shared" si="103"/>
        <v>1</v>
      </c>
      <c r="CU214" s="136" t="str">
        <f t="shared" si="107"/>
        <v/>
      </c>
      <c r="CV214" s="136" t="str">
        <f t="shared" si="108"/>
        <v/>
      </c>
      <c r="CW214" s="136" t="str">
        <f t="shared" si="109"/>
        <v/>
      </c>
      <c r="CX214" s="136" t="str">
        <f t="shared" si="110"/>
        <v/>
      </c>
    </row>
    <row r="215" spans="53:102" x14ac:dyDescent="0.25">
      <c r="BA215" s="173">
        <f t="shared" si="105"/>
        <v>7</v>
      </c>
      <c r="BB215" s="150" t="str">
        <f t="shared" si="106"/>
        <v>Graduate and above</v>
      </c>
      <c r="BC215" s="136">
        <f t="shared" si="60"/>
        <v>13</v>
      </c>
      <c r="BD215" s="136">
        <f t="shared" si="71"/>
        <v>3</v>
      </c>
      <c r="BE215" s="136">
        <f t="shared" si="72"/>
        <v>0</v>
      </c>
      <c r="BF215" s="136">
        <f t="shared" si="73"/>
        <v>16</v>
      </c>
      <c r="BG215" s="136">
        <f t="shared" si="62"/>
        <v>0</v>
      </c>
      <c r="BH215" s="136">
        <f t="shared" si="74"/>
        <v>0</v>
      </c>
      <c r="BI215" s="136">
        <f t="shared" si="75"/>
        <v>0</v>
      </c>
      <c r="BJ215" s="136">
        <f t="shared" si="76"/>
        <v>0</v>
      </c>
      <c r="BK215" s="136">
        <f t="shared" si="63"/>
        <v>3</v>
      </c>
      <c r="BL215" s="136">
        <f t="shared" si="77"/>
        <v>1</v>
      </c>
      <c r="BM215" s="136">
        <f t="shared" si="78"/>
        <v>0</v>
      </c>
      <c r="BN215" s="136">
        <f t="shared" si="79"/>
        <v>4</v>
      </c>
      <c r="BO215" s="136">
        <f t="shared" si="64"/>
        <v>0</v>
      </c>
      <c r="BP215" s="136">
        <f t="shared" si="80"/>
        <v>0</v>
      </c>
      <c r="BQ215" s="136">
        <f t="shared" si="81"/>
        <v>0</v>
      </c>
      <c r="BR215" s="136">
        <f t="shared" si="82"/>
        <v>0</v>
      </c>
      <c r="BS215" s="136">
        <f t="shared" si="65"/>
        <v>0</v>
      </c>
      <c r="BT215" s="136">
        <f t="shared" si="83"/>
        <v>0</v>
      </c>
      <c r="BU215" s="136">
        <f t="shared" si="84"/>
        <v>0</v>
      </c>
      <c r="BV215" s="136">
        <f t="shared" si="85"/>
        <v>0</v>
      </c>
      <c r="BW215" s="136">
        <f t="shared" si="66"/>
        <v>16</v>
      </c>
      <c r="BX215" s="136">
        <f t="shared" si="86"/>
        <v>4</v>
      </c>
      <c r="BY215" s="136">
        <f t="shared" si="87"/>
        <v>0</v>
      </c>
      <c r="BZ215" s="136">
        <f t="shared" si="88"/>
        <v>20</v>
      </c>
      <c r="CA215" s="136">
        <f t="shared" si="61"/>
        <v>13</v>
      </c>
      <c r="CB215" s="136">
        <f t="shared" si="89"/>
        <v>4</v>
      </c>
      <c r="CC215" s="136">
        <f t="shared" si="90"/>
        <v>0</v>
      </c>
      <c r="CD215" s="136">
        <f t="shared" si="91"/>
        <v>17</v>
      </c>
      <c r="CE215" s="136">
        <f t="shared" si="67"/>
        <v>2</v>
      </c>
      <c r="CF215" s="136">
        <f t="shared" si="92"/>
        <v>0</v>
      </c>
      <c r="CG215" s="136">
        <f t="shared" si="93"/>
        <v>0</v>
      </c>
      <c r="CH215" s="136">
        <f t="shared" si="94"/>
        <v>2</v>
      </c>
      <c r="CI215" s="136">
        <f t="shared" si="68"/>
        <v>1</v>
      </c>
      <c r="CJ215" s="136">
        <f t="shared" si="95"/>
        <v>0</v>
      </c>
      <c r="CK215" s="136">
        <f t="shared" si="96"/>
        <v>0</v>
      </c>
      <c r="CL215" s="136">
        <f t="shared" si="97"/>
        <v>1</v>
      </c>
      <c r="CM215" s="136">
        <f t="shared" si="69"/>
        <v>0</v>
      </c>
      <c r="CN215" s="136">
        <f t="shared" si="98"/>
        <v>0</v>
      </c>
      <c r="CO215" s="136">
        <f t="shared" si="99"/>
        <v>0</v>
      </c>
      <c r="CP215" s="136">
        <f t="shared" si="100"/>
        <v>0</v>
      </c>
      <c r="CQ215" s="136">
        <f t="shared" si="70"/>
        <v>16</v>
      </c>
      <c r="CR215" s="136">
        <f t="shared" si="101"/>
        <v>4</v>
      </c>
      <c r="CS215" s="136">
        <f t="shared" si="102"/>
        <v>0</v>
      </c>
      <c r="CT215" s="136">
        <f t="shared" si="103"/>
        <v>20</v>
      </c>
      <c r="CU215" s="136" t="str">
        <f t="shared" si="107"/>
        <v/>
      </c>
      <c r="CV215" s="136" t="str">
        <f t="shared" si="108"/>
        <v/>
      </c>
      <c r="CW215" s="136" t="str">
        <f t="shared" si="109"/>
        <v/>
      </c>
      <c r="CX215" s="136" t="str">
        <f t="shared" si="110"/>
        <v/>
      </c>
    </row>
    <row r="216" spans="53:102" ht="26.25" customHeight="1" x14ac:dyDescent="0.25">
      <c r="BA216" s="173">
        <f t="shared" si="105"/>
        <v>8</v>
      </c>
      <c r="BB216" s="150" t="str">
        <f t="shared" si="106"/>
        <v>Professionals (MBA, etc.)</v>
      </c>
      <c r="BC216" s="136">
        <f t="shared" si="60"/>
        <v>0</v>
      </c>
      <c r="BD216" s="136">
        <f t="shared" si="71"/>
        <v>1</v>
      </c>
      <c r="BE216" s="136">
        <f t="shared" si="72"/>
        <v>0</v>
      </c>
      <c r="BF216" s="136">
        <f t="shared" si="73"/>
        <v>1</v>
      </c>
      <c r="BG216" s="136">
        <f t="shared" si="62"/>
        <v>0</v>
      </c>
      <c r="BH216" s="136">
        <f t="shared" si="74"/>
        <v>0</v>
      </c>
      <c r="BI216" s="136">
        <f t="shared" si="75"/>
        <v>0</v>
      </c>
      <c r="BJ216" s="136">
        <f t="shared" si="76"/>
        <v>0</v>
      </c>
      <c r="BK216" s="136">
        <f t="shared" si="63"/>
        <v>0</v>
      </c>
      <c r="BL216" s="136">
        <f t="shared" si="77"/>
        <v>0</v>
      </c>
      <c r="BM216" s="136">
        <f t="shared" si="78"/>
        <v>0</v>
      </c>
      <c r="BN216" s="136">
        <f t="shared" si="79"/>
        <v>0</v>
      </c>
      <c r="BO216" s="136">
        <f t="shared" si="64"/>
        <v>0</v>
      </c>
      <c r="BP216" s="136">
        <f t="shared" si="80"/>
        <v>0</v>
      </c>
      <c r="BQ216" s="136">
        <f t="shared" si="81"/>
        <v>0</v>
      </c>
      <c r="BR216" s="136">
        <f t="shared" si="82"/>
        <v>0</v>
      </c>
      <c r="BS216" s="136">
        <f t="shared" si="65"/>
        <v>0</v>
      </c>
      <c r="BT216" s="136">
        <f t="shared" si="83"/>
        <v>0</v>
      </c>
      <c r="BU216" s="136">
        <f t="shared" si="84"/>
        <v>0</v>
      </c>
      <c r="BV216" s="136">
        <f t="shared" si="85"/>
        <v>0</v>
      </c>
      <c r="BW216" s="136">
        <f t="shared" si="66"/>
        <v>0</v>
      </c>
      <c r="BX216" s="136">
        <f t="shared" si="86"/>
        <v>1</v>
      </c>
      <c r="BY216" s="136">
        <f t="shared" si="87"/>
        <v>0</v>
      </c>
      <c r="BZ216" s="136">
        <f t="shared" si="88"/>
        <v>1</v>
      </c>
      <c r="CA216" s="136">
        <f t="shared" si="61"/>
        <v>0</v>
      </c>
      <c r="CB216" s="136">
        <f t="shared" si="89"/>
        <v>1</v>
      </c>
      <c r="CC216" s="136">
        <f t="shared" si="90"/>
        <v>0</v>
      </c>
      <c r="CD216" s="136">
        <f t="shared" si="91"/>
        <v>1</v>
      </c>
      <c r="CE216" s="136">
        <f t="shared" si="67"/>
        <v>0</v>
      </c>
      <c r="CF216" s="136">
        <f t="shared" si="92"/>
        <v>0</v>
      </c>
      <c r="CG216" s="136">
        <f t="shared" si="93"/>
        <v>0</v>
      </c>
      <c r="CH216" s="136">
        <f t="shared" si="94"/>
        <v>0</v>
      </c>
      <c r="CI216" s="136">
        <f t="shared" si="68"/>
        <v>0</v>
      </c>
      <c r="CJ216" s="136">
        <f t="shared" si="95"/>
        <v>0</v>
      </c>
      <c r="CK216" s="136">
        <f t="shared" si="96"/>
        <v>0</v>
      </c>
      <c r="CL216" s="136">
        <f t="shared" si="97"/>
        <v>0</v>
      </c>
      <c r="CM216" s="136">
        <f t="shared" si="69"/>
        <v>0</v>
      </c>
      <c r="CN216" s="136">
        <f t="shared" si="98"/>
        <v>0</v>
      </c>
      <c r="CO216" s="136">
        <f t="shared" si="99"/>
        <v>0</v>
      </c>
      <c r="CP216" s="136">
        <f t="shared" si="100"/>
        <v>0</v>
      </c>
      <c r="CQ216" s="136">
        <f t="shared" si="70"/>
        <v>0</v>
      </c>
      <c r="CR216" s="136">
        <f t="shared" si="101"/>
        <v>1</v>
      </c>
      <c r="CS216" s="136">
        <f t="shared" si="102"/>
        <v>0</v>
      </c>
      <c r="CT216" s="136">
        <f t="shared" si="103"/>
        <v>1</v>
      </c>
      <c r="CU216" s="136" t="str">
        <f t="shared" si="107"/>
        <v/>
      </c>
      <c r="CV216" s="136" t="str">
        <f t="shared" si="108"/>
        <v/>
      </c>
      <c r="CW216" s="136" t="str">
        <f t="shared" si="109"/>
        <v/>
      </c>
      <c r="CX216" s="136" t="str">
        <f t="shared" si="110"/>
        <v/>
      </c>
    </row>
    <row r="217" spans="53:102" x14ac:dyDescent="0.25">
      <c r="BA217" s="173">
        <f t="shared" si="105"/>
        <v>9</v>
      </c>
      <c r="BB217" s="150" t="str">
        <f t="shared" si="106"/>
        <v>Status not known</v>
      </c>
      <c r="BC217" s="136">
        <f t="shared" si="60"/>
        <v>0</v>
      </c>
      <c r="BD217" s="136">
        <f t="shared" si="71"/>
        <v>0</v>
      </c>
      <c r="BE217" s="136">
        <f t="shared" si="72"/>
        <v>0</v>
      </c>
      <c r="BF217" s="136">
        <f t="shared" si="73"/>
        <v>0</v>
      </c>
      <c r="BG217" s="136">
        <f t="shared" si="62"/>
        <v>0</v>
      </c>
      <c r="BH217" s="136">
        <f t="shared" si="74"/>
        <v>0</v>
      </c>
      <c r="BI217" s="136">
        <f t="shared" si="75"/>
        <v>0</v>
      </c>
      <c r="BJ217" s="136">
        <f t="shared" si="76"/>
        <v>0</v>
      </c>
      <c r="BK217" s="136">
        <f t="shared" si="63"/>
        <v>1</v>
      </c>
      <c r="BL217" s="136">
        <f t="shared" si="77"/>
        <v>0</v>
      </c>
      <c r="BM217" s="136">
        <f t="shared" si="78"/>
        <v>0</v>
      </c>
      <c r="BN217" s="136">
        <f t="shared" si="79"/>
        <v>1</v>
      </c>
      <c r="BO217" s="136">
        <f t="shared" si="64"/>
        <v>0</v>
      </c>
      <c r="BP217" s="136">
        <f t="shared" si="80"/>
        <v>0</v>
      </c>
      <c r="BQ217" s="136">
        <f t="shared" si="81"/>
        <v>0</v>
      </c>
      <c r="BR217" s="136">
        <f t="shared" si="82"/>
        <v>0</v>
      </c>
      <c r="BS217" s="136">
        <f t="shared" si="65"/>
        <v>5</v>
      </c>
      <c r="BT217" s="136">
        <f t="shared" si="83"/>
        <v>0</v>
      </c>
      <c r="BU217" s="136">
        <f t="shared" si="84"/>
        <v>0</v>
      </c>
      <c r="BV217" s="136">
        <f t="shared" si="85"/>
        <v>5</v>
      </c>
      <c r="BW217" s="136">
        <f t="shared" si="66"/>
        <v>6</v>
      </c>
      <c r="BX217" s="136">
        <f t="shared" si="86"/>
        <v>0</v>
      </c>
      <c r="BY217" s="136">
        <f t="shared" si="87"/>
        <v>0</v>
      </c>
      <c r="BZ217" s="136">
        <f t="shared" si="88"/>
        <v>6</v>
      </c>
      <c r="CA217" s="136">
        <f t="shared" si="61"/>
        <v>6</v>
      </c>
      <c r="CB217" s="136">
        <f t="shared" si="89"/>
        <v>0</v>
      </c>
      <c r="CC217" s="136">
        <f t="shared" si="90"/>
        <v>0</v>
      </c>
      <c r="CD217" s="136">
        <f t="shared" si="91"/>
        <v>6</v>
      </c>
      <c r="CE217" s="136">
        <f t="shared" si="67"/>
        <v>0</v>
      </c>
      <c r="CF217" s="136">
        <f t="shared" si="92"/>
        <v>0</v>
      </c>
      <c r="CG217" s="136">
        <f t="shared" si="93"/>
        <v>0</v>
      </c>
      <c r="CH217" s="136">
        <f t="shared" si="94"/>
        <v>0</v>
      </c>
      <c r="CI217" s="136">
        <f t="shared" si="68"/>
        <v>0</v>
      </c>
      <c r="CJ217" s="136">
        <f t="shared" si="95"/>
        <v>0</v>
      </c>
      <c r="CK217" s="136">
        <f t="shared" si="96"/>
        <v>0</v>
      </c>
      <c r="CL217" s="136">
        <f t="shared" si="97"/>
        <v>0</v>
      </c>
      <c r="CM217" s="136">
        <f t="shared" si="69"/>
        <v>0</v>
      </c>
      <c r="CN217" s="136">
        <f t="shared" si="98"/>
        <v>0</v>
      </c>
      <c r="CO217" s="136">
        <f t="shared" si="99"/>
        <v>0</v>
      </c>
      <c r="CP217" s="136">
        <f t="shared" si="100"/>
        <v>0</v>
      </c>
      <c r="CQ217" s="136">
        <f t="shared" si="70"/>
        <v>6</v>
      </c>
      <c r="CR217" s="136">
        <f t="shared" si="101"/>
        <v>0</v>
      </c>
      <c r="CS217" s="136">
        <f t="shared" si="102"/>
        <v>0</v>
      </c>
      <c r="CT217" s="136">
        <f t="shared" si="103"/>
        <v>6</v>
      </c>
      <c r="CU217" s="136" t="str">
        <f t="shared" si="107"/>
        <v/>
      </c>
      <c r="CV217" s="136" t="str">
        <f t="shared" si="108"/>
        <v/>
      </c>
      <c r="CW217" s="136" t="str">
        <f t="shared" si="109"/>
        <v/>
      </c>
      <c r="CX217" s="136" t="str">
        <f t="shared" si="110"/>
        <v/>
      </c>
    </row>
    <row r="218" spans="53:102" ht="19.5" customHeight="1" x14ac:dyDescent="0.25">
      <c r="BA218" s="173">
        <f t="shared" si="105"/>
        <v>10</v>
      </c>
      <c r="BB218" s="150" t="str">
        <f t="shared" si="106"/>
        <v>Total (sum of Sl. 1 to 9 )</v>
      </c>
      <c r="BC218" s="136">
        <f t="shared" si="60"/>
        <v>182</v>
      </c>
      <c r="BD218" s="136">
        <f t="shared" si="71"/>
        <v>50</v>
      </c>
      <c r="BE218" s="136">
        <f t="shared" si="72"/>
        <v>0</v>
      </c>
      <c r="BF218" s="136">
        <f t="shared" si="73"/>
        <v>232</v>
      </c>
      <c r="BG218" s="136">
        <f t="shared" si="62"/>
        <v>17</v>
      </c>
      <c r="BH218" s="136">
        <f t="shared" si="74"/>
        <v>6</v>
      </c>
      <c r="BI218" s="136">
        <f t="shared" si="75"/>
        <v>0</v>
      </c>
      <c r="BJ218" s="136">
        <f t="shared" si="76"/>
        <v>23</v>
      </c>
      <c r="BK218" s="136">
        <f t="shared" si="63"/>
        <v>45</v>
      </c>
      <c r="BL218" s="136">
        <f t="shared" si="77"/>
        <v>16</v>
      </c>
      <c r="BM218" s="136">
        <f t="shared" si="78"/>
        <v>0</v>
      </c>
      <c r="BN218" s="136">
        <f t="shared" si="79"/>
        <v>61</v>
      </c>
      <c r="BO218" s="136">
        <f t="shared" si="64"/>
        <v>0</v>
      </c>
      <c r="BP218" s="136">
        <f t="shared" si="80"/>
        <v>0</v>
      </c>
      <c r="BQ218" s="136">
        <f t="shared" si="81"/>
        <v>0</v>
      </c>
      <c r="BR218" s="136">
        <f t="shared" si="82"/>
        <v>0</v>
      </c>
      <c r="BS218" s="136">
        <f t="shared" si="65"/>
        <v>5</v>
      </c>
      <c r="BT218" s="136">
        <f t="shared" si="83"/>
        <v>0</v>
      </c>
      <c r="BU218" s="136">
        <f t="shared" si="84"/>
        <v>0</v>
      </c>
      <c r="BV218" s="136">
        <f t="shared" si="85"/>
        <v>5</v>
      </c>
      <c r="BW218" s="136">
        <f t="shared" si="66"/>
        <v>249</v>
      </c>
      <c r="BX218" s="136">
        <f t="shared" si="86"/>
        <v>72</v>
      </c>
      <c r="BY218" s="136">
        <f t="shared" si="87"/>
        <v>0</v>
      </c>
      <c r="BZ218" s="136">
        <f t="shared" si="88"/>
        <v>321</v>
      </c>
      <c r="CA218" s="136">
        <f t="shared" si="61"/>
        <v>222</v>
      </c>
      <c r="CB218" s="136">
        <f t="shared" si="89"/>
        <v>65</v>
      </c>
      <c r="CC218" s="136">
        <f t="shared" si="90"/>
        <v>0</v>
      </c>
      <c r="CD218" s="136">
        <f t="shared" si="91"/>
        <v>287</v>
      </c>
      <c r="CE218" s="136">
        <f t="shared" si="67"/>
        <v>17</v>
      </c>
      <c r="CF218" s="136">
        <f t="shared" si="92"/>
        <v>5</v>
      </c>
      <c r="CG218" s="136">
        <f t="shared" si="93"/>
        <v>0</v>
      </c>
      <c r="CH218" s="136">
        <f t="shared" si="94"/>
        <v>22</v>
      </c>
      <c r="CI218" s="136">
        <f t="shared" si="68"/>
        <v>1</v>
      </c>
      <c r="CJ218" s="136">
        <f t="shared" si="95"/>
        <v>1</v>
      </c>
      <c r="CK218" s="136">
        <f t="shared" si="96"/>
        <v>0</v>
      </c>
      <c r="CL218" s="136">
        <f t="shared" si="97"/>
        <v>2</v>
      </c>
      <c r="CM218" s="136">
        <f t="shared" si="69"/>
        <v>9</v>
      </c>
      <c r="CN218" s="136">
        <f t="shared" si="98"/>
        <v>1</v>
      </c>
      <c r="CO218" s="136">
        <f t="shared" si="99"/>
        <v>0</v>
      </c>
      <c r="CP218" s="136">
        <f t="shared" si="100"/>
        <v>10</v>
      </c>
      <c r="CQ218" s="136">
        <f t="shared" si="70"/>
        <v>249</v>
      </c>
      <c r="CR218" s="136">
        <f t="shared" si="101"/>
        <v>72</v>
      </c>
      <c r="CS218" s="136">
        <f t="shared" si="102"/>
        <v>0</v>
      </c>
      <c r="CT218" s="136">
        <f t="shared" si="103"/>
        <v>321</v>
      </c>
      <c r="CU218" s="136" t="str">
        <f t="shared" si="107"/>
        <v/>
      </c>
      <c r="CV218" s="136" t="str">
        <f t="shared" si="108"/>
        <v/>
      </c>
      <c r="CW218" s="136" t="str">
        <f t="shared" si="109"/>
        <v/>
      </c>
      <c r="CX218" s="136" t="str">
        <f t="shared" si="110"/>
        <v/>
      </c>
    </row>
    <row r="219" spans="53:102" ht="30" customHeight="1" x14ac:dyDescent="0.25">
      <c r="BA219" s="678" t="str">
        <f>A20</f>
        <v>SL-9 ABNORMAL VARIATION IN "STATUS NOT KNOWN" DATA</v>
      </c>
      <c r="BB219" s="679"/>
      <c r="BC219" s="310" t="str">
        <f>D20</f>
        <v/>
      </c>
      <c r="BD219" s="310" t="str">
        <f t="shared" si="71"/>
        <v/>
      </c>
      <c r="BE219" s="310" t="str">
        <f t="shared" si="72"/>
        <v/>
      </c>
      <c r="BF219" s="310" t="str">
        <f t="shared" si="73"/>
        <v/>
      </c>
      <c r="BG219" s="310" t="str">
        <f t="shared" si="62"/>
        <v/>
      </c>
      <c r="BH219" s="310" t="str">
        <f t="shared" si="74"/>
        <v/>
      </c>
      <c r="BI219" s="310" t="str">
        <f t="shared" si="75"/>
        <v/>
      </c>
      <c r="BJ219" s="310" t="str">
        <f t="shared" si="76"/>
        <v/>
      </c>
      <c r="BK219" s="310" t="str">
        <f t="shared" si="63"/>
        <v/>
      </c>
      <c r="BL219" s="310" t="str">
        <f t="shared" si="77"/>
        <v/>
      </c>
      <c r="BM219" s="310" t="str">
        <f t="shared" si="78"/>
        <v/>
      </c>
      <c r="BN219" s="310" t="str">
        <f t="shared" si="79"/>
        <v/>
      </c>
      <c r="BO219" s="310" t="str">
        <f t="shared" si="64"/>
        <v/>
      </c>
      <c r="BP219" s="310" t="str">
        <f t="shared" si="80"/>
        <v/>
      </c>
      <c r="BQ219" s="310" t="str">
        <f t="shared" si="81"/>
        <v/>
      </c>
      <c r="BR219" s="310" t="str">
        <f t="shared" si="82"/>
        <v/>
      </c>
      <c r="BS219" s="310" t="str">
        <f t="shared" si="65"/>
        <v>ABVAR</v>
      </c>
      <c r="BT219" s="310" t="str">
        <f t="shared" si="83"/>
        <v/>
      </c>
      <c r="BU219" s="310" t="str">
        <f t="shared" si="84"/>
        <v/>
      </c>
      <c r="BV219" s="310" t="str">
        <f t="shared" si="85"/>
        <v>ABVAR</v>
      </c>
      <c r="BW219" s="310" t="str">
        <f t="shared" si="66"/>
        <v/>
      </c>
      <c r="BX219" s="310" t="str">
        <f t="shared" si="86"/>
        <v/>
      </c>
      <c r="BY219" s="310" t="str">
        <f t="shared" si="87"/>
        <v/>
      </c>
      <c r="BZ219" s="310" t="str">
        <f t="shared" si="88"/>
        <v/>
      </c>
      <c r="CA219" s="310" t="str">
        <f t="shared" si="61"/>
        <v/>
      </c>
      <c r="CB219" s="310" t="str">
        <f t="shared" si="89"/>
        <v/>
      </c>
      <c r="CC219" s="310" t="str">
        <f t="shared" si="90"/>
        <v/>
      </c>
      <c r="CD219" s="310" t="str">
        <f t="shared" si="91"/>
        <v/>
      </c>
      <c r="CE219" s="310" t="str">
        <f t="shared" si="67"/>
        <v/>
      </c>
      <c r="CF219" s="310" t="str">
        <f t="shared" si="92"/>
        <v/>
      </c>
      <c r="CG219" s="310" t="str">
        <f t="shared" si="93"/>
        <v/>
      </c>
      <c r="CH219" s="310" t="str">
        <f t="shared" si="94"/>
        <v/>
      </c>
      <c r="CI219" s="310" t="str">
        <f t="shared" si="68"/>
        <v/>
      </c>
      <c r="CJ219" s="310" t="str">
        <f t="shared" si="95"/>
        <v/>
      </c>
      <c r="CK219" s="310" t="str">
        <f t="shared" si="96"/>
        <v/>
      </c>
      <c r="CL219" s="310" t="str">
        <f t="shared" si="97"/>
        <v/>
      </c>
      <c r="CM219" s="310" t="str">
        <f t="shared" si="69"/>
        <v/>
      </c>
      <c r="CN219" s="310" t="str">
        <f t="shared" si="98"/>
        <v/>
      </c>
      <c r="CO219" s="310" t="str">
        <f t="shared" si="99"/>
        <v/>
      </c>
      <c r="CP219" s="310" t="str">
        <f t="shared" si="100"/>
        <v/>
      </c>
      <c r="CQ219" s="310" t="str">
        <f t="shared" si="70"/>
        <v/>
      </c>
      <c r="CR219" s="310" t="str">
        <f t="shared" si="101"/>
        <v/>
      </c>
      <c r="CS219" s="310" t="str">
        <f t="shared" si="102"/>
        <v/>
      </c>
      <c r="CT219" s="310" t="str">
        <f t="shared" si="103"/>
        <v/>
      </c>
      <c r="CU219" s="544"/>
      <c r="CV219" s="544"/>
      <c r="CW219" s="544"/>
      <c r="CX219" s="544"/>
    </row>
    <row r="220" spans="53:102" ht="24.95" customHeight="1" x14ac:dyDescent="0.25">
      <c r="BA220" s="680" t="str">
        <f>A21</f>
        <v>PROFORMA–XVI VALUES [Sl.–8 (SOCIAL STATUS TOTAL)]</v>
      </c>
      <c r="BB220" s="818"/>
      <c r="BC220" s="283">
        <f>D21</f>
        <v>182</v>
      </c>
      <c r="BD220" s="283">
        <f t="shared" ref="BD220:BD221" si="111">E21</f>
        <v>50</v>
      </c>
      <c r="BE220" s="283">
        <f t="shared" ref="BE220:BE221" si="112">F21</f>
        <v>0</v>
      </c>
      <c r="BF220" s="283">
        <f t="shared" ref="BF220:BF221" si="113">G21</f>
        <v>232</v>
      </c>
      <c r="BG220" s="283">
        <f t="shared" ref="BG220:BG221" si="114">H21</f>
        <v>17</v>
      </c>
      <c r="BH220" s="283">
        <f t="shared" ref="BH220:BH221" si="115">I21</f>
        <v>6</v>
      </c>
      <c r="BI220" s="283">
        <f t="shared" ref="BI220:BI221" si="116">J21</f>
        <v>0</v>
      </c>
      <c r="BJ220" s="283">
        <f t="shared" ref="BJ220:BJ221" si="117">K21</f>
        <v>23</v>
      </c>
      <c r="BK220" s="283">
        <f t="shared" ref="BK220:BK221" si="118">L21</f>
        <v>45</v>
      </c>
      <c r="BL220" s="283">
        <f t="shared" ref="BL220:BL221" si="119">M21</f>
        <v>16</v>
      </c>
      <c r="BM220" s="283">
        <f t="shared" ref="BM220:BM221" si="120">N21</f>
        <v>0</v>
      </c>
      <c r="BN220" s="283">
        <f t="shared" ref="BN220:BN221" si="121">O21</f>
        <v>61</v>
      </c>
      <c r="BO220" s="283">
        <f t="shared" ref="BO220:BO221" si="122">P21</f>
        <v>0</v>
      </c>
      <c r="BP220" s="283">
        <f t="shared" ref="BP220:BP221" si="123">Q21</f>
        <v>0</v>
      </c>
      <c r="BQ220" s="283">
        <f t="shared" ref="BQ220:BQ221" si="124">R21</f>
        <v>0</v>
      </c>
      <c r="BR220" s="283">
        <f t="shared" ref="BR220:BR221" si="125">S21</f>
        <v>0</v>
      </c>
      <c r="BS220" s="283">
        <f t="shared" ref="BS220:BS221" si="126">T21</f>
        <v>5</v>
      </c>
      <c r="BT220" s="283">
        <f t="shared" ref="BT220:BT221" si="127">U21</f>
        <v>0</v>
      </c>
      <c r="BU220" s="283">
        <f t="shared" ref="BU220:BU221" si="128">V21</f>
        <v>0</v>
      </c>
      <c r="BV220" s="283">
        <f t="shared" ref="BV220:BV221" si="129">W21</f>
        <v>5</v>
      </c>
      <c r="BW220" s="283">
        <f t="shared" ref="BW220:BW221" si="130">X21</f>
        <v>249</v>
      </c>
      <c r="BX220" s="283">
        <f t="shared" ref="BX220:BX221" si="131">Y21</f>
        <v>72</v>
      </c>
      <c r="BY220" s="283">
        <f t="shared" ref="BY220:BY221" si="132">Z21</f>
        <v>0</v>
      </c>
      <c r="BZ220" s="283">
        <f t="shared" ref="BZ220:BZ221" si="133">AA21</f>
        <v>321</v>
      </c>
      <c r="CA220" s="283">
        <f t="shared" ref="CA220:CA221" si="134">AB21</f>
        <v>222</v>
      </c>
      <c r="CB220" s="283">
        <f t="shared" ref="CB220:CB221" si="135">AC21</f>
        <v>65</v>
      </c>
      <c r="CC220" s="283">
        <f t="shared" ref="CC220:CC221" si="136">AD21</f>
        <v>0</v>
      </c>
      <c r="CD220" s="283">
        <f t="shared" ref="CD220:CD221" si="137">AE21</f>
        <v>287</v>
      </c>
      <c r="CE220" s="283">
        <f t="shared" ref="CE220:CE221" si="138">AF21</f>
        <v>17</v>
      </c>
      <c r="CF220" s="283">
        <f t="shared" ref="CF220:CF221" si="139">AG21</f>
        <v>5</v>
      </c>
      <c r="CG220" s="283">
        <f t="shared" ref="CG220:CG221" si="140">AH21</f>
        <v>0</v>
      </c>
      <c r="CH220" s="283">
        <f t="shared" ref="CH220:CH221" si="141">AI21</f>
        <v>22</v>
      </c>
      <c r="CI220" s="283">
        <f t="shared" ref="CI220:CI221" si="142">AJ21</f>
        <v>1</v>
      </c>
      <c r="CJ220" s="283">
        <f t="shared" ref="CJ220:CJ221" si="143">AK21</f>
        <v>1</v>
      </c>
      <c r="CK220" s="283">
        <f t="shared" ref="CK220:CK221" si="144">AL21</f>
        <v>0</v>
      </c>
      <c r="CL220" s="283">
        <f t="shared" ref="CL220:CL221" si="145">AM21</f>
        <v>2</v>
      </c>
      <c r="CM220" s="283">
        <f t="shared" ref="CM220:CM221" si="146">AN21</f>
        <v>9</v>
      </c>
      <c r="CN220" s="283">
        <f t="shared" ref="CN220:CN221" si="147">AO21</f>
        <v>1</v>
      </c>
      <c r="CO220" s="283">
        <f t="shared" ref="CO220:CO221" si="148">AP21</f>
        <v>0</v>
      </c>
      <c r="CP220" s="283">
        <f t="shared" ref="CP220:CP221" si="149">AQ21</f>
        <v>10</v>
      </c>
      <c r="CQ220" s="283">
        <f t="shared" ref="CQ220:CQ221" si="150">AR21</f>
        <v>249</v>
      </c>
      <c r="CR220" s="283">
        <f t="shared" ref="CR220:CR221" si="151">AS21</f>
        <v>72</v>
      </c>
      <c r="CS220" s="283">
        <f t="shared" ref="CS220:CS221" si="152">AT21</f>
        <v>0</v>
      </c>
      <c r="CT220" s="283">
        <f t="shared" ref="CT220" si="153">AU21</f>
        <v>321</v>
      </c>
      <c r="CU220" s="544"/>
      <c r="CV220" s="544"/>
      <c r="CW220" s="544"/>
      <c r="CX220" s="544"/>
    </row>
    <row r="221" spans="53:102" ht="24.95" customHeight="1" x14ac:dyDescent="0.25">
      <c r="BA221" s="618" t="str">
        <f>A22</f>
        <v>VALIDATION WITH PROFORMA–XVI [Sl.–8 (SOCIAL STATUS TOTAL)]</v>
      </c>
      <c r="BB221" s="618"/>
      <c r="BC221" s="283" t="str">
        <f>D22</f>
        <v/>
      </c>
      <c r="BD221" s="283" t="str">
        <f t="shared" si="111"/>
        <v/>
      </c>
      <c r="BE221" s="283" t="str">
        <f t="shared" si="112"/>
        <v/>
      </c>
      <c r="BF221" s="283" t="str">
        <f t="shared" si="113"/>
        <v/>
      </c>
      <c r="BG221" s="283" t="str">
        <f t="shared" si="114"/>
        <v/>
      </c>
      <c r="BH221" s="283" t="str">
        <f t="shared" si="115"/>
        <v/>
      </c>
      <c r="BI221" s="283" t="str">
        <f t="shared" si="116"/>
        <v/>
      </c>
      <c r="BJ221" s="283" t="str">
        <f t="shared" si="117"/>
        <v/>
      </c>
      <c r="BK221" s="283" t="str">
        <f t="shared" si="118"/>
        <v/>
      </c>
      <c r="BL221" s="283" t="str">
        <f t="shared" si="119"/>
        <v/>
      </c>
      <c r="BM221" s="283" t="str">
        <f t="shared" si="120"/>
        <v/>
      </c>
      <c r="BN221" s="283" t="str">
        <f t="shared" si="121"/>
        <v/>
      </c>
      <c r="BO221" s="283" t="str">
        <f t="shared" si="122"/>
        <v/>
      </c>
      <c r="BP221" s="283" t="str">
        <f t="shared" si="123"/>
        <v/>
      </c>
      <c r="BQ221" s="283" t="str">
        <f t="shared" si="124"/>
        <v/>
      </c>
      <c r="BR221" s="283" t="str">
        <f t="shared" si="125"/>
        <v/>
      </c>
      <c r="BS221" s="283" t="str">
        <f t="shared" si="126"/>
        <v/>
      </c>
      <c r="BT221" s="283" t="str">
        <f t="shared" si="127"/>
        <v/>
      </c>
      <c r="BU221" s="283" t="str">
        <f t="shared" si="128"/>
        <v/>
      </c>
      <c r="BV221" s="283" t="str">
        <f t="shared" si="129"/>
        <v/>
      </c>
      <c r="BW221" s="283" t="str">
        <f t="shared" si="130"/>
        <v/>
      </c>
      <c r="BX221" s="283" t="str">
        <f t="shared" si="131"/>
        <v/>
      </c>
      <c r="BY221" s="283" t="str">
        <f t="shared" si="132"/>
        <v/>
      </c>
      <c r="BZ221" s="283" t="str">
        <f t="shared" si="133"/>
        <v/>
      </c>
      <c r="CA221" s="283" t="str">
        <f t="shared" si="134"/>
        <v/>
      </c>
      <c r="CB221" s="283" t="str">
        <f t="shared" si="135"/>
        <v/>
      </c>
      <c r="CC221" s="283" t="str">
        <f t="shared" si="136"/>
        <v/>
      </c>
      <c r="CD221" s="283" t="str">
        <f t="shared" si="137"/>
        <v/>
      </c>
      <c r="CE221" s="283" t="str">
        <f t="shared" si="138"/>
        <v/>
      </c>
      <c r="CF221" s="283" t="str">
        <f t="shared" si="139"/>
        <v/>
      </c>
      <c r="CG221" s="283" t="str">
        <f t="shared" si="140"/>
        <v/>
      </c>
      <c r="CH221" s="283" t="str">
        <f t="shared" si="141"/>
        <v/>
      </c>
      <c r="CI221" s="283" t="str">
        <f t="shared" si="142"/>
        <v/>
      </c>
      <c r="CJ221" s="283" t="str">
        <f t="shared" si="143"/>
        <v/>
      </c>
      <c r="CK221" s="283" t="str">
        <f t="shared" si="144"/>
        <v/>
      </c>
      <c r="CL221" s="283" t="str">
        <f t="shared" si="145"/>
        <v/>
      </c>
      <c r="CM221" s="283" t="str">
        <f t="shared" si="146"/>
        <v/>
      </c>
      <c r="CN221" s="283" t="str">
        <f t="shared" si="147"/>
        <v/>
      </c>
      <c r="CO221" s="283" t="str">
        <f t="shared" si="148"/>
        <v/>
      </c>
      <c r="CP221" s="283" t="str">
        <f t="shared" si="149"/>
        <v/>
      </c>
      <c r="CQ221" s="283" t="str">
        <f t="shared" si="150"/>
        <v/>
      </c>
      <c r="CR221" s="283" t="str">
        <f t="shared" si="151"/>
        <v/>
      </c>
      <c r="CS221" s="283" t="str">
        <f t="shared" si="152"/>
        <v/>
      </c>
      <c r="CT221" s="283" t="str">
        <f>AU22</f>
        <v/>
      </c>
      <c r="CU221" s="544"/>
      <c r="CV221" s="544"/>
      <c r="CW221" s="544"/>
      <c r="CX221" s="544"/>
    </row>
    <row r="222" spans="53:102" ht="15" customHeight="1" x14ac:dyDescent="0.25">
      <c r="BA222" s="680" t="str">
        <f>A23</f>
        <v>OTHER VALIDATIONS</v>
      </c>
      <c r="BB222" s="818"/>
      <c r="BC222" s="819"/>
      <c r="BD222" s="820"/>
      <c r="BE222" s="820"/>
      <c r="BF222" s="820"/>
      <c r="BG222" s="820"/>
      <c r="BH222" s="820"/>
      <c r="BI222" s="820"/>
      <c r="BJ222" s="820"/>
      <c r="BK222" s="820"/>
      <c r="BL222" s="820"/>
      <c r="BM222" s="820"/>
      <c r="BN222" s="820"/>
      <c r="BO222" s="820"/>
      <c r="BP222" s="820"/>
      <c r="BQ222" s="820"/>
      <c r="BR222" s="820"/>
      <c r="BS222" s="820"/>
      <c r="BT222" s="820"/>
      <c r="BU222" s="820"/>
      <c r="BV222" s="821"/>
      <c r="BW222" s="812" t="str">
        <f>X23</f>
        <v>Religion  Total</v>
      </c>
      <c r="BX222" s="813"/>
      <c r="BY222" s="813"/>
      <c r="BZ222" s="814"/>
      <c r="CA222" s="819"/>
      <c r="CB222" s="820"/>
      <c r="CC222" s="820"/>
      <c r="CD222" s="820"/>
      <c r="CE222" s="820"/>
      <c r="CF222" s="820"/>
      <c r="CG222" s="820"/>
      <c r="CH222" s="820"/>
      <c r="CI222" s="820"/>
      <c r="CJ222" s="820"/>
      <c r="CK222" s="820"/>
      <c r="CL222" s="820"/>
      <c r="CM222" s="820"/>
      <c r="CN222" s="820"/>
      <c r="CO222" s="820"/>
      <c r="CP222" s="821"/>
      <c r="CQ222" s="812" t="str">
        <f>AR23</f>
        <v>Caste Total</v>
      </c>
      <c r="CR222" s="813"/>
      <c r="CS222" s="813"/>
      <c r="CT222" s="814"/>
      <c r="CU222" s="544"/>
      <c r="CV222" s="544"/>
      <c r="CW222" s="544"/>
      <c r="CX222" s="544"/>
    </row>
    <row r="223" spans="53:102" ht="15" customHeight="1" x14ac:dyDescent="0.25">
      <c r="BA223" s="682"/>
      <c r="BB223" s="825"/>
      <c r="BC223" s="822"/>
      <c r="BD223" s="823"/>
      <c r="BE223" s="823"/>
      <c r="BF223" s="823"/>
      <c r="BG223" s="823"/>
      <c r="BH223" s="823"/>
      <c r="BI223" s="823"/>
      <c r="BJ223" s="823"/>
      <c r="BK223" s="823"/>
      <c r="BL223" s="823"/>
      <c r="BM223" s="823"/>
      <c r="BN223" s="823"/>
      <c r="BO223" s="823"/>
      <c r="BP223" s="823"/>
      <c r="BQ223" s="823"/>
      <c r="BR223" s="823"/>
      <c r="BS223" s="823"/>
      <c r="BT223" s="823"/>
      <c r="BU223" s="823"/>
      <c r="BV223" s="824"/>
      <c r="BW223" s="310" t="str">
        <f>X24</f>
        <v>Male</v>
      </c>
      <c r="BX223" s="310" t="str">
        <f t="shared" ref="BX223:BZ223" si="154">Y24</f>
        <v>Female</v>
      </c>
      <c r="BY223" s="310" t="str">
        <f t="shared" si="154"/>
        <v>Transgender</v>
      </c>
      <c r="BZ223" s="310" t="str">
        <f t="shared" si="154"/>
        <v>Total</v>
      </c>
      <c r="CA223" s="822"/>
      <c r="CB223" s="823"/>
      <c r="CC223" s="823"/>
      <c r="CD223" s="823"/>
      <c r="CE223" s="823"/>
      <c r="CF223" s="823"/>
      <c r="CG223" s="823"/>
      <c r="CH223" s="823"/>
      <c r="CI223" s="823"/>
      <c r="CJ223" s="823"/>
      <c r="CK223" s="823"/>
      <c r="CL223" s="823"/>
      <c r="CM223" s="823"/>
      <c r="CN223" s="823"/>
      <c r="CO223" s="823"/>
      <c r="CP223" s="824"/>
      <c r="CQ223" s="310" t="str">
        <f>AR24</f>
        <v>Male</v>
      </c>
      <c r="CR223" s="310" t="str">
        <f t="shared" ref="CR223:CT223" si="155">AS24</f>
        <v>Female</v>
      </c>
      <c r="CS223" s="310" t="str">
        <f t="shared" si="155"/>
        <v>Transgender</v>
      </c>
      <c r="CT223" s="310" t="str">
        <f t="shared" si="155"/>
        <v>Total</v>
      </c>
      <c r="CU223" s="544"/>
      <c r="CV223" s="544"/>
      <c r="CW223" s="544"/>
      <c r="CX223" s="544"/>
    </row>
    <row r="224" spans="53:102" ht="24.95" customHeight="1" x14ac:dyDescent="0.25">
      <c r="BA224" s="618" t="str">
        <f>A25</f>
        <v>PROFORMA–XVII VALUES (Religion vs. Caste of Victims)</v>
      </c>
      <c r="BB224" s="618"/>
      <c r="BC224" s="812"/>
      <c r="BD224" s="813"/>
      <c r="BE224" s="813"/>
      <c r="BF224" s="813"/>
      <c r="BG224" s="813"/>
      <c r="BH224" s="813"/>
      <c r="BI224" s="813"/>
      <c r="BJ224" s="813"/>
      <c r="BK224" s="813"/>
      <c r="BL224" s="813"/>
      <c r="BM224" s="813"/>
      <c r="BN224" s="813"/>
      <c r="BO224" s="813"/>
      <c r="BP224" s="813"/>
      <c r="BQ224" s="813"/>
      <c r="BR224" s="813"/>
      <c r="BS224" s="813"/>
      <c r="BT224" s="813"/>
      <c r="BU224" s="813"/>
      <c r="BV224" s="814"/>
      <c r="BW224" s="310">
        <f t="shared" ref="BW224:BW227" si="156">X25</f>
        <v>249</v>
      </c>
      <c r="BX224" s="310">
        <f t="shared" ref="BX224:BX227" si="157">Y25</f>
        <v>72</v>
      </c>
      <c r="BY224" s="310">
        <f t="shared" ref="BY224:BY227" si="158">Z25</f>
        <v>0</v>
      </c>
      <c r="BZ224" s="310">
        <f t="shared" ref="BZ224:BZ227" si="159">AA25</f>
        <v>321</v>
      </c>
      <c r="CA224" s="812"/>
      <c r="CB224" s="813"/>
      <c r="CC224" s="813"/>
      <c r="CD224" s="813"/>
      <c r="CE224" s="813"/>
      <c r="CF224" s="813"/>
      <c r="CG224" s="813"/>
      <c r="CH224" s="813"/>
      <c r="CI224" s="813"/>
      <c r="CJ224" s="813"/>
      <c r="CK224" s="813"/>
      <c r="CL224" s="813"/>
      <c r="CM224" s="813"/>
      <c r="CN224" s="813"/>
      <c r="CO224" s="813"/>
      <c r="CP224" s="814"/>
      <c r="CQ224" s="283">
        <f>AR25</f>
        <v>249</v>
      </c>
      <c r="CR224" s="283">
        <f t="shared" ref="CR224:CT224" si="160">AS25</f>
        <v>72</v>
      </c>
      <c r="CS224" s="283">
        <f t="shared" si="160"/>
        <v>0</v>
      </c>
      <c r="CT224" s="283">
        <f t="shared" si="160"/>
        <v>321</v>
      </c>
      <c r="CU224" s="544"/>
      <c r="CV224" s="544"/>
      <c r="CW224" s="544"/>
      <c r="CX224" s="544"/>
    </row>
    <row r="225" spans="53:102" ht="35.1" customHeight="1" x14ac:dyDescent="0.25">
      <c r="BA225" s="618" t="str">
        <f>A26</f>
        <v>VALIDATION WITHIN PROFORMA–XVII (Religion vs. Caste of Victims)</v>
      </c>
      <c r="BB225" s="618"/>
      <c r="BC225" s="812"/>
      <c r="BD225" s="813"/>
      <c r="BE225" s="813"/>
      <c r="BF225" s="813"/>
      <c r="BG225" s="813"/>
      <c r="BH225" s="813"/>
      <c r="BI225" s="813"/>
      <c r="BJ225" s="813"/>
      <c r="BK225" s="813"/>
      <c r="BL225" s="813"/>
      <c r="BM225" s="813"/>
      <c r="BN225" s="813"/>
      <c r="BO225" s="813"/>
      <c r="BP225" s="813"/>
      <c r="BQ225" s="813"/>
      <c r="BR225" s="813"/>
      <c r="BS225" s="813"/>
      <c r="BT225" s="813"/>
      <c r="BU225" s="813"/>
      <c r="BV225" s="814"/>
      <c r="BW225" s="310" t="str">
        <f t="shared" si="156"/>
        <v/>
      </c>
      <c r="BX225" s="310" t="str">
        <f t="shared" si="157"/>
        <v/>
      </c>
      <c r="BY225" s="310" t="str">
        <f t="shared" si="158"/>
        <v/>
      </c>
      <c r="BZ225" s="310" t="str">
        <f t="shared" si="159"/>
        <v/>
      </c>
      <c r="CA225" s="812"/>
      <c r="CB225" s="813"/>
      <c r="CC225" s="813"/>
      <c r="CD225" s="813"/>
      <c r="CE225" s="813"/>
      <c r="CF225" s="813"/>
      <c r="CG225" s="813"/>
      <c r="CH225" s="813"/>
      <c r="CI225" s="813"/>
      <c r="CJ225" s="813"/>
      <c r="CK225" s="813"/>
      <c r="CL225" s="813"/>
      <c r="CM225" s="813"/>
      <c r="CN225" s="813"/>
      <c r="CO225" s="813"/>
      <c r="CP225" s="814"/>
      <c r="CQ225" s="283" t="str">
        <f t="shared" ref="CQ225:CQ227" si="161">AR26</f>
        <v/>
      </c>
      <c r="CR225" s="283" t="str">
        <f t="shared" ref="CR225:CR227" si="162">AS26</f>
        <v/>
      </c>
      <c r="CS225" s="283" t="str">
        <f t="shared" ref="CS225:CS227" si="163">AT26</f>
        <v/>
      </c>
      <c r="CT225" s="283" t="str">
        <f t="shared" ref="CT225:CT227" si="164">AU26</f>
        <v/>
      </c>
      <c r="CU225" s="544"/>
      <c r="CV225" s="544"/>
      <c r="CW225" s="544"/>
      <c r="CX225" s="544"/>
    </row>
    <row r="226" spans="53:102" ht="24.95" customHeight="1" x14ac:dyDescent="0.25">
      <c r="BA226" s="618" t="str">
        <f>A27</f>
        <v>PROFORMA–XIV VALUES [Sl.–21 (Total)]</v>
      </c>
      <c r="BB226" s="618"/>
      <c r="BC226" s="812"/>
      <c r="BD226" s="813"/>
      <c r="BE226" s="813"/>
      <c r="BF226" s="813"/>
      <c r="BG226" s="813"/>
      <c r="BH226" s="813"/>
      <c r="BI226" s="813"/>
      <c r="BJ226" s="813"/>
      <c r="BK226" s="813"/>
      <c r="BL226" s="813"/>
      <c r="BM226" s="813"/>
      <c r="BN226" s="813"/>
      <c r="BO226" s="813"/>
      <c r="BP226" s="813"/>
      <c r="BQ226" s="813"/>
      <c r="BR226" s="813"/>
      <c r="BS226" s="813"/>
      <c r="BT226" s="813"/>
      <c r="BU226" s="813"/>
      <c r="BV226" s="814"/>
      <c r="BW226" s="310">
        <f t="shared" si="156"/>
        <v>249</v>
      </c>
      <c r="BX226" s="310">
        <f t="shared" si="157"/>
        <v>72</v>
      </c>
      <c r="BY226" s="310">
        <f t="shared" si="158"/>
        <v>0</v>
      </c>
      <c r="BZ226" s="310">
        <f t="shared" si="159"/>
        <v>321</v>
      </c>
      <c r="CA226" s="812"/>
      <c r="CB226" s="813"/>
      <c r="CC226" s="813"/>
      <c r="CD226" s="813"/>
      <c r="CE226" s="813"/>
      <c r="CF226" s="813"/>
      <c r="CG226" s="813"/>
      <c r="CH226" s="813"/>
      <c r="CI226" s="813"/>
      <c r="CJ226" s="813"/>
      <c r="CK226" s="813"/>
      <c r="CL226" s="813"/>
      <c r="CM226" s="813"/>
      <c r="CN226" s="813"/>
      <c r="CO226" s="813"/>
      <c r="CP226" s="814"/>
      <c r="CQ226" s="283">
        <f t="shared" si="161"/>
        <v>249</v>
      </c>
      <c r="CR226" s="283">
        <f t="shared" si="162"/>
        <v>72</v>
      </c>
      <c r="CS226" s="283">
        <f t="shared" si="163"/>
        <v>0</v>
      </c>
      <c r="CT226" s="283">
        <f t="shared" si="164"/>
        <v>321</v>
      </c>
      <c r="CU226" s="544"/>
      <c r="CV226" s="544"/>
      <c r="CW226" s="544"/>
      <c r="CX226" s="544"/>
    </row>
    <row r="227" spans="53:102" ht="24.95" customHeight="1" x14ac:dyDescent="0.25">
      <c r="BA227" s="618" t="str">
        <f>A28</f>
        <v>VALIDATION WITH PROFORMA–XIV [Sl.–21 (Total)]</v>
      </c>
      <c r="BB227" s="618"/>
      <c r="BC227" s="812"/>
      <c r="BD227" s="813"/>
      <c r="BE227" s="813"/>
      <c r="BF227" s="813"/>
      <c r="BG227" s="813"/>
      <c r="BH227" s="813"/>
      <c r="BI227" s="813"/>
      <c r="BJ227" s="813"/>
      <c r="BK227" s="813"/>
      <c r="BL227" s="813"/>
      <c r="BM227" s="813"/>
      <c r="BN227" s="813"/>
      <c r="BO227" s="813"/>
      <c r="BP227" s="813"/>
      <c r="BQ227" s="813"/>
      <c r="BR227" s="813"/>
      <c r="BS227" s="813"/>
      <c r="BT227" s="813"/>
      <c r="BU227" s="813"/>
      <c r="BV227" s="814"/>
      <c r="BW227" s="310" t="str">
        <f t="shared" si="156"/>
        <v/>
      </c>
      <c r="BX227" s="310" t="str">
        <f t="shared" si="157"/>
        <v/>
      </c>
      <c r="BY227" s="310" t="str">
        <f t="shared" si="158"/>
        <v/>
      </c>
      <c r="BZ227" s="310" t="str">
        <f t="shared" si="159"/>
        <v/>
      </c>
      <c r="CA227" s="812"/>
      <c r="CB227" s="813"/>
      <c r="CC227" s="813"/>
      <c r="CD227" s="813"/>
      <c r="CE227" s="813"/>
      <c r="CF227" s="813"/>
      <c r="CG227" s="813"/>
      <c r="CH227" s="813"/>
      <c r="CI227" s="813"/>
      <c r="CJ227" s="813"/>
      <c r="CK227" s="813"/>
      <c r="CL227" s="813"/>
      <c r="CM227" s="813"/>
      <c r="CN227" s="813"/>
      <c r="CO227" s="813"/>
      <c r="CP227" s="814"/>
      <c r="CQ227" s="283" t="str">
        <f t="shared" si="161"/>
        <v/>
      </c>
      <c r="CR227" s="283" t="str">
        <f t="shared" si="162"/>
        <v/>
      </c>
      <c r="CS227" s="283" t="str">
        <f t="shared" si="163"/>
        <v/>
      </c>
      <c r="CT227" s="283" t="str">
        <f t="shared" si="164"/>
        <v/>
      </c>
      <c r="CU227" s="544"/>
      <c r="CV227" s="544"/>
      <c r="CW227" s="544"/>
      <c r="CX227" s="544"/>
    </row>
    <row r="500" spans="1:48" s="365" customFormat="1" x14ac:dyDescent="0.25">
      <c r="A500" s="202" t="s">
        <v>450</v>
      </c>
      <c r="B500" s="202" t="s">
        <v>451</v>
      </c>
      <c r="C500" s="202" t="s">
        <v>452</v>
      </c>
      <c r="D500" s="202" t="s">
        <v>453</v>
      </c>
      <c r="E500" s="202" t="s">
        <v>527</v>
      </c>
      <c r="F500" s="202" t="s">
        <v>528</v>
      </c>
      <c r="G500" s="202" t="s">
        <v>529</v>
      </c>
      <c r="H500" s="202" t="s">
        <v>530</v>
      </c>
      <c r="I500" s="202" t="s">
        <v>531</v>
      </c>
      <c r="J500" s="202" t="s">
        <v>532</v>
      </c>
      <c r="K500" s="202" t="s">
        <v>533</v>
      </c>
      <c r="L500" s="202" t="s">
        <v>534</v>
      </c>
      <c r="M500" s="202" t="s">
        <v>535</v>
      </c>
      <c r="N500" s="202" t="s">
        <v>536</v>
      </c>
      <c r="O500" s="202" t="s">
        <v>537</v>
      </c>
      <c r="P500" s="202" t="s">
        <v>538</v>
      </c>
      <c r="Q500" s="202" t="s">
        <v>539</v>
      </c>
      <c r="R500" s="202" t="s">
        <v>540</v>
      </c>
      <c r="S500" s="202" t="s">
        <v>541</v>
      </c>
      <c r="T500" s="202" t="s">
        <v>542</v>
      </c>
      <c r="U500" s="202" t="s">
        <v>543</v>
      </c>
      <c r="V500" s="202" t="s">
        <v>544</v>
      </c>
      <c r="W500" s="202" t="s">
        <v>545</v>
      </c>
      <c r="X500" s="202" t="s">
        <v>546</v>
      </c>
      <c r="Y500" s="202" t="s">
        <v>547</v>
      </c>
      <c r="Z500" s="202" t="s">
        <v>548</v>
      </c>
      <c r="AA500" s="202" t="s">
        <v>549</v>
      </c>
      <c r="AB500" s="202" t="s">
        <v>550</v>
      </c>
      <c r="AC500" s="202" t="s">
        <v>551</v>
      </c>
      <c r="AD500" s="202" t="s">
        <v>552</v>
      </c>
      <c r="AE500" s="202" t="s">
        <v>553</v>
      </c>
      <c r="AF500" s="202" t="s">
        <v>554</v>
      </c>
      <c r="AG500" s="202" t="s">
        <v>555</v>
      </c>
      <c r="AH500" s="202" t="s">
        <v>556</v>
      </c>
      <c r="AI500" s="202" t="s">
        <v>557</v>
      </c>
      <c r="AJ500" s="202" t="s">
        <v>558</v>
      </c>
      <c r="AK500" s="202" t="s">
        <v>559</v>
      </c>
      <c r="AL500" s="202" t="s">
        <v>560</v>
      </c>
      <c r="AM500" s="202" t="s">
        <v>561</v>
      </c>
      <c r="AN500" s="202" t="s">
        <v>562</v>
      </c>
      <c r="AO500" s="202" t="s">
        <v>563</v>
      </c>
      <c r="AP500" s="202" t="s">
        <v>564</v>
      </c>
      <c r="AQ500" s="202" t="s">
        <v>565</v>
      </c>
      <c r="AR500" s="202" t="s">
        <v>566</v>
      </c>
      <c r="AS500" s="202" t="s">
        <v>567</v>
      </c>
      <c r="AT500" s="202" t="s">
        <v>568</v>
      </c>
      <c r="AU500" s="202" t="s">
        <v>569</v>
      </c>
      <c r="AV500" s="202" t="s">
        <v>570</v>
      </c>
    </row>
    <row r="501" spans="1:48" s="365" customFormat="1" ht="12.75" x14ac:dyDescent="0.2">
      <c r="A501" s="348">
        <f>IF(ADSI!$G$12="",ADSI!$H$16,ADSI!$H$12)</f>
        <v>6</v>
      </c>
      <c r="B501" s="348" t="str">
        <f ca="1">IF(ADSI!$G$12="",ADSI!$H$16,ADSI!$H$14)</f>
        <v/>
      </c>
      <c r="C501" s="403">
        <f>A10</f>
        <v>900</v>
      </c>
      <c r="D501" s="348">
        <f>ADSI!$K$12</f>
        <v>2021</v>
      </c>
      <c r="E501" s="367">
        <f>D10</f>
        <v>13</v>
      </c>
      <c r="F501" s="367">
        <f t="shared" ref="F501:AV501" si="165">E10</f>
        <v>7</v>
      </c>
      <c r="G501" s="367">
        <f t="shared" si="165"/>
        <v>0</v>
      </c>
      <c r="H501" s="367">
        <f t="shared" si="165"/>
        <v>20</v>
      </c>
      <c r="I501" s="367">
        <f t="shared" si="165"/>
        <v>1</v>
      </c>
      <c r="J501" s="367">
        <f t="shared" si="165"/>
        <v>0</v>
      </c>
      <c r="K501" s="367">
        <f t="shared" si="165"/>
        <v>0</v>
      </c>
      <c r="L501" s="367">
        <f t="shared" si="165"/>
        <v>1</v>
      </c>
      <c r="M501" s="367">
        <f t="shared" si="165"/>
        <v>2</v>
      </c>
      <c r="N501" s="367">
        <f t="shared" si="165"/>
        <v>2</v>
      </c>
      <c r="O501" s="367">
        <f t="shared" si="165"/>
        <v>0</v>
      </c>
      <c r="P501" s="367">
        <f t="shared" si="165"/>
        <v>4</v>
      </c>
      <c r="Q501" s="367">
        <f t="shared" si="165"/>
        <v>0</v>
      </c>
      <c r="R501" s="367">
        <f t="shared" si="165"/>
        <v>0</v>
      </c>
      <c r="S501" s="367">
        <f t="shared" si="165"/>
        <v>0</v>
      </c>
      <c r="T501" s="367">
        <f t="shared" si="165"/>
        <v>0</v>
      </c>
      <c r="U501" s="367">
        <f t="shared" si="165"/>
        <v>0</v>
      </c>
      <c r="V501" s="367">
        <f t="shared" si="165"/>
        <v>0</v>
      </c>
      <c r="W501" s="367">
        <f t="shared" si="165"/>
        <v>0</v>
      </c>
      <c r="X501" s="367">
        <f t="shared" si="165"/>
        <v>0</v>
      </c>
      <c r="Y501" s="367">
        <f t="shared" si="165"/>
        <v>16</v>
      </c>
      <c r="Z501" s="367">
        <f t="shared" si="165"/>
        <v>9</v>
      </c>
      <c r="AA501" s="367">
        <f t="shared" si="165"/>
        <v>0</v>
      </c>
      <c r="AB501" s="367">
        <f t="shared" si="165"/>
        <v>25</v>
      </c>
      <c r="AC501" s="367">
        <f t="shared" si="165"/>
        <v>14</v>
      </c>
      <c r="AD501" s="367">
        <f t="shared" si="165"/>
        <v>7</v>
      </c>
      <c r="AE501" s="367">
        <f t="shared" si="165"/>
        <v>0</v>
      </c>
      <c r="AF501" s="367">
        <f t="shared" si="165"/>
        <v>21</v>
      </c>
      <c r="AG501" s="367">
        <f t="shared" si="165"/>
        <v>1</v>
      </c>
      <c r="AH501" s="367">
        <f t="shared" si="165"/>
        <v>1</v>
      </c>
      <c r="AI501" s="367">
        <f t="shared" si="165"/>
        <v>0</v>
      </c>
      <c r="AJ501" s="367">
        <f t="shared" si="165"/>
        <v>2</v>
      </c>
      <c r="AK501" s="367">
        <f t="shared" si="165"/>
        <v>0</v>
      </c>
      <c r="AL501" s="367">
        <f t="shared" si="165"/>
        <v>1</v>
      </c>
      <c r="AM501" s="367">
        <f t="shared" si="165"/>
        <v>0</v>
      </c>
      <c r="AN501" s="367">
        <f t="shared" si="165"/>
        <v>1</v>
      </c>
      <c r="AO501" s="367">
        <f t="shared" si="165"/>
        <v>1</v>
      </c>
      <c r="AP501" s="367">
        <f t="shared" si="165"/>
        <v>0</v>
      </c>
      <c r="AQ501" s="367">
        <f t="shared" si="165"/>
        <v>0</v>
      </c>
      <c r="AR501" s="367">
        <f t="shared" si="165"/>
        <v>1</v>
      </c>
      <c r="AS501" s="367">
        <f t="shared" si="165"/>
        <v>16</v>
      </c>
      <c r="AT501" s="367">
        <f t="shared" si="165"/>
        <v>9</v>
      </c>
      <c r="AU501" s="367">
        <f t="shared" si="165"/>
        <v>0</v>
      </c>
      <c r="AV501" s="367">
        <f t="shared" si="165"/>
        <v>25</v>
      </c>
    </row>
    <row r="502" spans="1:48" s="365" customFormat="1" ht="12.75" x14ac:dyDescent="0.2">
      <c r="A502" s="348">
        <f>IF(ADSI!$G$12="",ADSI!$H$16,ADSI!$H$12)</f>
        <v>6</v>
      </c>
      <c r="B502" s="348" t="str">
        <f ca="1">IF(ADSI!$G$12="",ADSI!$H$16,ADSI!$H$14)</f>
        <v/>
      </c>
      <c r="C502" s="403">
        <f t="shared" ref="C502:C510" si="166">A11</f>
        <v>901</v>
      </c>
      <c r="D502" s="348">
        <f>ADSI!$K$12</f>
        <v>2021</v>
      </c>
      <c r="E502" s="367">
        <f t="shared" ref="E502:AV502" si="167">D11</f>
        <v>19</v>
      </c>
      <c r="F502" s="367">
        <f t="shared" si="167"/>
        <v>8</v>
      </c>
      <c r="G502" s="367">
        <f t="shared" si="167"/>
        <v>0</v>
      </c>
      <c r="H502" s="367">
        <f t="shared" si="167"/>
        <v>27</v>
      </c>
      <c r="I502" s="367">
        <f t="shared" si="167"/>
        <v>2</v>
      </c>
      <c r="J502" s="367">
        <f t="shared" si="167"/>
        <v>0</v>
      </c>
      <c r="K502" s="367">
        <f t="shared" si="167"/>
        <v>0</v>
      </c>
      <c r="L502" s="367">
        <f t="shared" si="167"/>
        <v>2</v>
      </c>
      <c r="M502" s="367">
        <f t="shared" si="167"/>
        <v>2</v>
      </c>
      <c r="N502" s="367">
        <f t="shared" si="167"/>
        <v>1</v>
      </c>
      <c r="O502" s="367">
        <f t="shared" si="167"/>
        <v>0</v>
      </c>
      <c r="P502" s="367">
        <f t="shared" si="167"/>
        <v>3</v>
      </c>
      <c r="Q502" s="367">
        <f t="shared" si="167"/>
        <v>0</v>
      </c>
      <c r="R502" s="367">
        <f t="shared" si="167"/>
        <v>0</v>
      </c>
      <c r="S502" s="367">
        <f t="shared" si="167"/>
        <v>0</v>
      </c>
      <c r="T502" s="367">
        <f t="shared" si="167"/>
        <v>0</v>
      </c>
      <c r="U502" s="367">
        <f t="shared" si="167"/>
        <v>0</v>
      </c>
      <c r="V502" s="367">
        <f t="shared" si="167"/>
        <v>0</v>
      </c>
      <c r="W502" s="367">
        <f t="shared" si="167"/>
        <v>0</v>
      </c>
      <c r="X502" s="367">
        <f t="shared" si="167"/>
        <v>0</v>
      </c>
      <c r="Y502" s="367">
        <f t="shared" si="167"/>
        <v>23</v>
      </c>
      <c r="Z502" s="367">
        <f t="shared" si="167"/>
        <v>9</v>
      </c>
      <c r="AA502" s="367">
        <f t="shared" si="167"/>
        <v>0</v>
      </c>
      <c r="AB502" s="367">
        <f t="shared" si="167"/>
        <v>32</v>
      </c>
      <c r="AC502" s="367">
        <f t="shared" si="167"/>
        <v>20</v>
      </c>
      <c r="AD502" s="367">
        <f t="shared" si="167"/>
        <v>9</v>
      </c>
      <c r="AE502" s="367">
        <f t="shared" si="167"/>
        <v>0</v>
      </c>
      <c r="AF502" s="367">
        <f t="shared" si="167"/>
        <v>29</v>
      </c>
      <c r="AG502" s="367">
        <f t="shared" si="167"/>
        <v>2</v>
      </c>
      <c r="AH502" s="367">
        <f t="shared" si="167"/>
        <v>0</v>
      </c>
      <c r="AI502" s="367">
        <f t="shared" si="167"/>
        <v>0</v>
      </c>
      <c r="AJ502" s="367">
        <f t="shared" si="167"/>
        <v>2</v>
      </c>
      <c r="AK502" s="367">
        <f t="shared" si="167"/>
        <v>0</v>
      </c>
      <c r="AL502" s="367">
        <f t="shared" si="167"/>
        <v>0</v>
      </c>
      <c r="AM502" s="367">
        <f t="shared" si="167"/>
        <v>0</v>
      </c>
      <c r="AN502" s="367">
        <f t="shared" si="167"/>
        <v>0</v>
      </c>
      <c r="AO502" s="367">
        <f t="shared" si="167"/>
        <v>1</v>
      </c>
      <c r="AP502" s="367">
        <f t="shared" si="167"/>
        <v>0</v>
      </c>
      <c r="AQ502" s="367">
        <f t="shared" si="167"/>
        <v>0</v>
      </c>
      <c r="AR502" s="367">
        <f t="shared" si="167"/>
        <v>1</v>
      </c>
      <c r="AS502" s="367">
        <f t="shared" si="167"/>
        <v>23</v>
      </c>
      <c r="AT502" s="367">
        <f t="shared" si="167"/>
        <v>9</v>
      </c>
      <c r="AU502" s="367">
        <f t="shared" si="167"/>
        <v>0</v>
      </c>
      <c r="AV502" s="367">
        <f t="shared" si="167"/>
        <v>32</v>
      </c>
    </row>
    <row r="503" spans="1:48" s="365" customFormat="1" ht="12.75" x14ac:dyDescent="0.2">
      <c r="A503" s="348">
        <f>IF(ADSI!$G$12="",ADSI!$H$16,ADSI!$H$12)</f>
        <v>6</v>
      </c>
      <c r="B503" s="348" t="str">
        <f ca="1">IF(ADSI!$G$12="",ADSI!$H$16,ADSI!$H$14)</f>
        <v/>
      </c>
      <c r="C503" s="403">
        <f t="shared" si="166"/>
        <v>902</v>
      </c>
      <c r="D503" s="348">
        <f>ADSI!$K$12</f>
        <v>2021</v>
      </c>
      <c r="E503" s="367">
        <f t="shared" ref="E503:AV503" si="168">D12</f>
        <v>32</v>
      </c>
      <c r="F503" s="367">
        <f t="shared" si="168"/>
        <v>12</v>
      </c>
      <c r="G503" s="367">
        <f t="shared" si="168"/>
        <v>0</v>
      </c>
      <c r="H503" s="367">
        <f t="shared" si="168"/>
        <v>44</v>
      </c>
      <c r="I503" s="367">
        <f t="shared" si="168"/>
        <v>7</v>
      </c>
      <c r="J503" s="367">
        <f t="shared" si="168"/>
        <v>1</v>
      </c>
      <c r="K503" s="367">
        <f t="shared" si="168"/>
        <v>0</v>
      </c>
      <c r="L503" s="367">
        <f t="shared" si="168"/>
        <v>8</v>
      </c>
      <c r="M503" s="367">
        <f t="shared" si="168"/>
        <v>7</v>
      </c>
      <c r="N503" s="367">
        <f t="shared" si="168"/>
        <v>3</v>
      </c>
      <c r="O503" s="367">
        <f t="shared" si="168"/>
        <v>0</v>
      </c>
      <c r="P503" s="367">
        <f t="shared" si="168"/>
        <v>10</v>
      </c>
      <c r="Q503" s="367">
        <f t="shared" si="168"/>
        <v>0</v>
      </c>
      <c r="R503" s="367">
        <f t="shared" si="168"/>
        <v>0</v>
      </c>
      <c r="S503" s="367">
        <f t="shared" si="168"/>
        <v>0</v>
      </c>
      <c r="T503" s="367">
        <f t="shared" si="168"/>
        <v>0</v>
      </c>
      <c r="U503" s="367">
        <f t="shared" si="168"/>
        <v>0</v>
      </c>
      <c r="V503" s="367">
        <f t="shared" si="168"/>
        <v>0</v>
      </c>
      <c r="W503" s="367">
        <f t="shared" si="168"/>
        <v>0</v>
      </c>
      <c r="X503" s="367">
        <f t="shared" si="168"/>
        <v>0</v>
      </c>
      <c r="Y503" s="367">
        <f t="shared" si="168"/>
        <v>46</v>
      </c>
      <c r="Z503" s="367">
        <f t="shared" si="168"/>
        <v>16</v>
      </c>
      <c r="AA503" s="367">
        <f t="shared" si="168"/>
        <v>0</v>
      </c>
      <c r="AB503" s="367">
        <f t="shared" si="168"/>
        <v>62</v>
      </c>
      <c r="AC503" s="367">
        <f t="shared" si="168"/>
        <v>45</v>
      </c>
      <c r="AD503" s="367">
        <f t="shared" si="168"/>
        <v>14</v>
      </c>
      <c r="AE503" s="367">
        <f t="shared" si="168"/>
        <v>0</v>
      </c>
      <c r="AF503" s="367">
        <f t="shared" si="168"/>
        <v>59</v>
      </c>
      <c r="AG503" s="367">
        <f t="shared" si="168"/>
        <v>1</v>
      </c>
      <c r="AH503" s="367">
        <f t="shared" si="168"/>
        <v>2</v>
      </c>
      <c r="AI503" s="367">
        <f t="shared" si="168"/>
        <v>0</v>
      </c>
      <c r="AJ503" s="367">
        <f t="shared" si="168"/>
        <v>3</v>
      </c>
      <c r="AK503" s="367">
        <f t="shared" si="168"/>
        <v>0</v>
      </c>
      <c r="AL503" s="367">
        <f t="shared" si="168"/>
        <v>0</v>
      </c>
      <c r="AM503" s="367">
        <f t="shared" si="168"/>
        <v>0</v>
      </c>
      <c r="AN503" s="367">
        <f t="shared" si="168"/>
        <v>0</v>
      </c>
      <c r="AO503" s="367">
        <f t="shared" si="168"/>
        <v>0</v>
      </c>
      <c r="AP503" s="367">
        <f t="shared" si="168"/>
        <v>0</v>
      </c>
      <c r="AQ503" s="367">
        <f t="shared" si="168"/>
        <v>0</v>
      </c>
      <c r="AR503" s="367">
        <f t="shared" si="168"/>
        <v>0</v>
      </c>
      <c r="AS503" s="367">
        <f t="shared" si="168"/>
        <v>46</v>
      </c>
      <c r="AT503" s="367">
        <f t="shared" si="168"/>
        <v>16</v>
      </c>
      <c r="AU503" s="367">
        <f t="shared" si="168"/>
        <v>0</v>
      </c>
      <c r="AV503" s="367">
        <f t="shared" si="168"/>
        <v>62</v>
      </c>
    </row>
    <row r="504" spans="1:48" s="365" customFormat="1" ht="12.75" x14ac:dyDescent="0.2">
      <c r="A504" s="348">
        <f>IF(ADSI!$G$12="",ADSI!$H$16,ADSI!$H$12)</f>
        <v>6</v>
      </c>
      <c r="B504" s="348" t="str">
        <f ca="1">IF(ADSI!$G$12="",ADSI!$H$16,ADSI!$H$14)</f>
        <v/>
      </c>
      <c r="C504" s="403">
        <f t="shared" si="166"/>
        <v>903</v>
      </c>
      <c r="D504" s="348">
        <f>ADSI!$K$12</f>
        <v>2021</v>
      </c>
      <c r="E504" s="367">
        <f t="shared" ref="E504:AV504" si="169">D13</f>
        <v>74</v>
      </c>
      <c r="F504" s="367">
        <f t="shared" si="169"/>
        <v>11</v>
      </c>
      <c r="G504" s="367">
        <f t="shared" si="169"/>
        <v>0</v>
      </c>
      <c r="H504" s="367">
        <f t="shared" si="169"/>
        <v>85</v>
      </c>
      <c r="I504" s="367">
        <f t="shared" si="169"/>
        <v>7</v>
      </c>
      <c r="J504" s="367">
        <f t="shared" si="169"/>
        <v>3</v>
      </c>
      <c r="K504" s="367">
        <f t="shared" si="169"/>
        <v>0</v>
      </c>
      <c r="L504" s="367">
        <f t="shared" si="169"/>
        <v>10</v>
      </c>
      <c r="M504" s="367">
        <f t="shared" si="169"/>
        <v>18</v>
      </c>
      <c r="N504" s="367">
        <f t="shared" si="169"/>
        <v>5</v>
      </c>
      <c r="O504" s="367">
        <f t="shared" si="169"/>
        <v>0</v>
      </c>
      <c r="P504" s="367">
        <f t="shared" si="169"/>
        <v>23</v>
      </c>
      <c r="Q504" s="367">
        <f t="shared" si="169"/>
        <v>0</v>
      </c>
      <c r="R504" s="367">
        <f t="shared" si="169"/>
        <v>0</v>
      </c>
      <c r="S504" s="367">
        <f t="shared" si="169"/>
        <v>0</v>
      </c>
      <c r="T504" s="367">
        <f t="shared" si="169"/>
        <v>0</v>
      </c>
      <c r="U504" s="367">
        <f t="shared" si="169"/>
        <v>0</v>
      </c>
      <c r="V504" s="367">
        <f t="shared" si="169"/>
        <v>0</v>
      </c>
      <c r="W504" s="367">
        <f t="shared" si="169"/>
        <v>0</v>
      </c>
      <c r="X504" s="367">
        <f t="shared" si="169"/>
        <v>0</v>
      </c>
      <c r="Y504" s="367">
        <f t="shared" si="169"/>
        <v>99</v>
      </c>
      <c r="Z504" s="367">
        <f t="shared" si="169"/>
        <v>19</v>
      </c>
      <c r="AA504" s="367">
        <f t="shared" si="169"/>
        <v>0</v>
      </c>
      <c r="AB504" s="367">
        <f t="shared" si="169"/>
        <v>118</v>
      </c>
      <c r="AC504" s="367">
        <f t="shared" si="169"/>
        <v>87</v>
      </c>
      <c r="AD504" s="367">
        <f t="shared" si="169"/>
        <v>16</v>
      </c>
      <c r="AE504" s="367">
        <f t="shared" si="169"/>
        <v>0</v>
      </c>
      <c r="AF504" s="367">
        <f t="shared" si="169"/>
        <v>103</v>
      </c>
      <c r="AG504" s="367">
        <f t="shared" si="169"/>
        <v>8</v>
      </c>
      <c r="AH504" s="367">
        <f t="shared" si="169"/>
        <v>2</v>
      </c>
      <c r="AI504" s="367">
        <f t="shared" si="169"/>
        <v>0</v>
      </c>
      <c r="AJ504" s="367">
        <f t="shared" si="169"/>
        <v>10</v>
      </c>
      <c r="AK504" s="367">
        <f t="shared" si="169"/>
        <v>0</v>
      </c>
      <c r="AL504" s="367">
        <f t="shared" si="169"/>
        <v>0</v>
      </c>
      <c r="AM504" s="367">
        <f t="shared" si="169"/>
        <v>0</v>
      </c>
      <c r="AN504" s="367">
        <f t="shared" si="169"/>
        <v>0</v>
      </c>
      <c r="AO504" s="367">
        <f t="shared" si="169"/>
        <v>4</v>
      </c>
      <c r="AP504" s="367">
        <f t="shared" si="169"/>
        <v>1</v>
      </c>
      <c r="AQ504" s="367">
        <f t="shared" si="169"/>
        <v>0</v>
      </c>
      <c r="AR504" s="367">
        <f t="shared" si="169"/>
        <v>5</v>
      </c>
      <c r="AS504" s="367">
        <f t="shared" si="169"/>
        <v>99</v>
      </c>
      <c r="AT504" s="367">
        <f t="shared" si="169"/>
        <v>19</v>
      </c>
      <c r="AU504" s="367">
        <f t="shared" si="169"/>
        <v>0</v>
      </c>
      <c r="AV504" s="367">
        <f t="shared" si="169"/>
        <v>118</v>
      </c>
    </row>
    <row r="505" spans="1:48" s="365" customFormat="1" ht="12.75" x14ac:dyDescent="0.2">
      <c r="A505" s="348">
        <f>IF(ADSI!$G$12="",ADSI!$H$16,ADSI!$H$12)</f>
        <v>6</v>
      </c>
      <c r="B505" s="348" t="str">
        <f ca="1">IF(ADSI!$G$12="",ADSI!$H$16,ADSI!$H$14)</f>
        <v/>
      </c>
      <c r="C505" s="403">
        <f t="shared" si="166"/>
        <v>904</v>
      </c>
      <c r="D505" s="348">
        <f>ADSI!$K$12</f>
        <v>2021</v>
      </c>
      <c r="E505" s="367">
        <f t="shared" ref="E505:AV505" si="170">D14</f>
        <v>31</v>
      </c>
      <c r="F505" s="367">
        <f t="shared" si="170"/>
        <v>8</v>
      </c>
      <c r="G505" s="367">
        <f t="shared" si="170"/>
        <v>0</v>
      </c>
      <c r="H505" s="367">
        <f t="shared" si="170"/>
        <v>39</v>
      </c>
      <c r="I505" s="367">
        <f t="shared" si="170"/>
        <v>0</v>
      </c>
      <c r="J505" s="367">
        <f t="shared" si="170"/>
        <v>2</v>
      </c>
      <c r="K505" s="367">
        <f t="shared" si="170"/>
        <v>0</v>
      </c>
      <c r="L505" s="367">
        <f t="shared" si="170"/>
        <v>2</v>
      </c>
      <c r="M505" s="367">
        <f t="shared" si="170"/>
        <v>11</v>
      </c>
      <c r="N505" s="367">
        <f t="shared" si="170"/>
        <v>4</v>
      </c>
      <c r="O505" s="367">
        <f t="shared" si="170"/>
        <v>0</v>
      </c>
      <c r="P505" s="367">
        <f t="shared" si="170"/>
        <v>15</v>
      </c>
      <c r="Q505" s="367">
        <f t="shared" si="170"/>
        <v>0</v>
      </c>
      <c r="R505" s="367">
        <f t="shared" si="170"/>
        <v>0</v>
      </c>
      <c r="S505" s="367">
        <f t="shared" si="170"/>
        <v>0</v>
      </c>
      <c r="T505" s="367">
        <f t="shared" si="170"/>
        <v>0</v>
      </c>
      <c r="U505" s="367">
        <f t="shared" si="170"/>
        <v>0</v>
      </c>
      <c r="V505" s="367">
        <f t="shared" si="170"/>
        <v>0</v>
      </c>
      <c r="W505" s="367">
        <f t="shared" si="170"/>
        <v>0</v>
      </c>
      <c r="X505" s="367">
        <f t="shared" si="170"/>
        <v>0</v>
      </c>
      <c r="Y505" s="367">
        <f t="shared" si="170"/>
        <v>42</v>
      </c>
      <c r="Z505" s="367">
        <f t="shared" si="170"/>
        <v>14</v>
      </c>
      <c r="AA505" s="367">
        <f t="shared" si="170"/>
        <v>0</v>
      </c>
      <c r="AB505" s="367">
        <f t="shared" si="170"/>
        <v>56</v>
      </c>
      <c r="AC505" s="367">
        <f t="shared" si="170"/>
        <v>36</v>
      </c>
      <c r="AD505" s="367">
        <f t="shared" si="170"/>
        <v>14</v>
      </c>
      <c r="AE505" s="367">
        <f t="shared" si="170"/>
        <v>0</v>
      </c>
      <c r="AF505" s="367">
        <f t="shared" si="170"/>
        <v>50</v>
      </c>
      <c r="AG505" s="367">
        <f t="shared" si="170"/>
        <v>3</v>
      </c>
      <c r="AH505" s="367">
        <f t="shared" si="170"/>
        <v>0</v>
      </c>
      <c r="AI505" s="367">
        <f t="shared" si="170"/>
        <v>0</v>
      </c>
      <c r="AJ505" s="367">
        <f t="shared" si="170"/>
        <v>3</v>
      </c>
      <c r="AK505" s="367">
        <f t="shared" si="170"/>
        <v>0</v>
      </c>
      <c r="AL505" s="367">
        <f t="shared" si="170"/>
        <v>0</v>
      </c>
      <c r="AM505" s="367">
        <f t="shared" si="170"/>
        <v>0</v>
      </c>
      <c r="AN505" s="367">
        <f t="shared" si="170"/>
        <v>0</v>
      </c>
      <c r="AO505" s="367">
        <f t="shared" si="170"/>
        <v>3</v>
      </c>
      <c r="AP505" s="367">
        <f t="shared" si="170"/>
        <v>0</v>
      </c>
      <c r="AQ505" s="367">
        <f t="shared" si="170"/>
        <v>0</v>
      </c>
      <c r="AR505" s="367">
        <f t="shared" si="170"/>
        <v>3</v>
      </c>
      <c r="AS505" s="367">
        <f t="shared" si="170"/>
        <v>42</v>
      </c>
      <c r="AT505" s="367">
        <f t="shared" si="170"/>
        <v>14</v>
      </c>
      <c r="AU505" s="367">
        <f t="shared" si="170"/>
        <v>0</v>
      </c>
      <c r="AV505" s="367">
        <f t="shared" si="170"/>
        <v>56</v>
      </c>
    </row>
    <row r="506" spans="1:48" s="365" customFormat="1" ht="12.75" x14ac:dyDescent="0.2">
      <c r="A506" s="348">
        <f>IF(ADSI!$G$12="",ADSI!$H$16,ADSI!$H$12)</f>
        <v>6</v>
      </c>
      <c r="B506" s="348" t="str">
        <f ca="1">IF(ADSI!$G$12="",ADSI!$H$16,ADSI!$H$14)</f>
        <v/>
      </c>
      <c r="C506" s="403">
        <f t="shared" si="166"/>
        <v>905</v>
      </c>
      <c r="D506" s="348">
        <f>ADSI!$K$12</f>
        <v>2021</v>
      </c>
      <c r="E506" s="367">
        <f t="shared" ref="E506:AV506" si="171">D15</f>
        <v>0</v>
      </c>
      <c r="F506" s="367">
        <f t="shared" si="171"/>
        <v>0</v>
      </c>
      <c r="G506" s="367">
        <f t="shared" si="171"/>
        <v>0</v>
      </c>
      <c r="H506" s="367">
        <f t="shared" si="171"/>
        <v>0</v>
      </c>
      <c r="I506" s="367">
        <f t="shared" si="171"/>
        <v>0</v>
      </c>
      <c r="J506" s="367">
        <f t="shared" si="171"/>
        <v>0</v>
      </c>
      <c r="K506" s="367">
        <f t="shared" si="171"/>
        <v>0</v>
      </c>
      <c r="L506" s="367">
        <f t="shared" si="171"/>
        <v>0</v>
      </c>
      <c r="M506" s="367">
        <f t="shared" si="171"/>
        <v>1</v>
      </c>
      <c r="N506" s="367">
        <f t="shared" si="171"/>
        <v>0</v>
      </c>
      <c r="O506" s="367">
        <f t="shared" si="171"/>
        <v>0</v>
      </c>
      <c r="P506" s="367">
        <f t="shared" si="171"/>
        <v>1</v>
      </c>
      <c r="Q506" s="367">
        <f t="shared" si="171"/>
        <v>0</v>
      </c>
      <c r="R506" s="367">
        <f t="shared" si="171"/>
        <v>0</v>
      </c>
      <c r="S506" s="367">
        <f t="shared" si="171"/>
        <v>0</v>
      </c>
      <c r="T506" s="367">
        <f t="shared" si="171"/>
        <v>0</v>
      </c>
      <c r="U506" s="367">
        <f t="shared" si="171"/>
        <v>0</v>
      </c>
      <c r="V506" s="367">
        <f t="shared" si="171"/>
        <v>0</v>
      </c>
      <c r="W506" s="367">
        <f t="shared" si="171"/>
        <v>0</v>
      </c>
      <c r="X506" s="367">
        <f t="shared" si="171"/>
        <v>0</v>
      </c>
      <c r="Y506" s="367">
        <f t="shared" si="171"/>
        <v>1</v>
      </c>
      <c r="Z506" s="367">
        <f t="shared" si="171"/>
        <v>0</v>
      </c>
      <c r="AA506" s="367">
        <f t="shared" si="171"/>
        <v>0</v>
      </c>
      <c r="AB506" s="367">
        <f t="shared" si="171"/>
        <v>1</v>
      </c>
      <c r="AC506" s="367">
        <f t="shared" si="171"/>
        <v>1</v>
      </c>
      <c r="AD506" s="367">
        <f t="shared" si="171"/>
        <v>0</v>
      </c>
      <c r="AE506" s="367">
        <f t="shared" si="171"/>
        <v>0</v>
      </c>
      <c r="AF506" s="367">
        <f t="shared" si="171"/>
        <v>1</v>
      </c>
      <c r="AG506" s="367">
        <f t="shared" si="171"/>
        <v>0</v>
      </c>
      <c r="AH506" s="367">
        <f t="shared" si="171"/>
        <v>0</v>
      </c>
      <c r="AI506" s="367">
        <f t="shared" si="171"/>
        <v>0</v>
      </c>
      <c r="AJ506" s="367">
        <f t="shared" si="171"/>
        <v>0</v>
      </c>
      <c r="AK506" s="367">
        <f t="shared" si="171"/>
        <v>0</v>
      </c>
      <c r="AL506" s="367">
        <f t="shared" si="171"/>
        <v>0</v>
      </c>
      <c r="AM506" s="367">
        <f t="shared" si="171"/>
        <v>0</v>
      </c>
      <c r="AN506" s="367">
        <f t="shared" si="171"/>
        <v>0</v>
      </c>
      <c r="AO506" s="367">
        <f t="shared" si="171"/>
        <v>0</v>
      </c>
      <c r="AP506" s="367">
        <f t="shared" si="171"/>
        <v>0</v>
      </c>
      <c r="AQ506" s="367">
        <f t="shared" si="171"/>
        <v>0</v>
      </c>
      <c r="AR506" s="367">
        <f t="shared" si="171"/>
        <v>0</v>
      </c>
      <c r="AS506" s="367">
        <f t="shared" si="171"/>
        <v>1</v>
      </c>
      <c r="AT506" s="367">
        <f t="shared" si="171"/>
        <v>0</v>
      </c>
      <c r="AU506" s="367">
        <f t="shared" si="171"/>
        <v>0</v>
      </c>
      <c r="AV506" s="367">
        <f t="shared" si="171"/>
        <v>1</v>
      </c>
    </row>
    <row r="507" spans="1:48" s="365" customFormat="1" ht="12.75" x14ac:dyDescent="0.2">
      <c r="A507" s="348">
        <f>IF(ADSI!$G$12="",ADSI!$H$16,ADSI!$H$12)</f>
        <v>6</v>
      </c>
      <c r="B507" s="348" t="str">
        <f ca="1">IF(ADSI!$G$12="",ADSI!$H$16,ADSI!$H$14)</f>
        <v/>
      </c>
      <c r="C507" s="403">
        <f t="shared" si="166"/>
        <v>906</v>
      </c>
      <c r="D507" s="348">
        <f>ADSI!$K$12</f>
        <v>2021</v>
      </c>
      <c r="E507" s="367">
        <f t="shared" ref="E507:AV507" si="172">D16</f>
        <v>13</v>
      </c>
      <c r="F507" s="367">
        <f t="shared" si="172"/>
        <v>3</v>
      </c>
      <c r="G507" s="367">
        <f t="shared" si="172"/>
        <v>0</v>
      </c>
      <c r="H507" s="367">
        <f t="shared" si="172"/>
        <v>16</v>
      </c>
      <c r="I507" s="367">
        <f t="shared" si="172"/>
        <v>0</v>
      </c>
      <c r="J507" s="367">
        <f t="shared" si="172"/>
        <v>0</v>
      </c>
      <c r="K507" s="367">
        <f t="shared" si="172"/>
        <v>0</v>
      </c>
      <c r="L507" s="367">
        <f t="shared" si="172"/>
        <v>0</v>
      </c>
      <c r="M507" s="367">
        <f t="shared" si="172"/>
        <v>3</v>
      </c>
      <c r="N507" s="367">
        <f t="shared" si="172"/>
        <v>1</v>
      </c>
      <c r="O507" s="367">
        <f t="shared" si="172"/>
        <v>0</v>
      </c>
      <c r="P507" s="367">
        <f t="shared" si="172"/>
        <v>4</v>
      </c>
      <c r="Q507" s="367">
        <f t="shared" si="172"/>
        <v>0</v>
      </c>
      <c r="R507" s="367">
        <f t="shared" si="172"/>
        <v>0</v>
      </c>
      <c r="S507" s="367">
        <f t="shared" si="172"/>
        <v>0</v>
      </c>
      <c r="T507" s="367">
        <f t="shared" si="172"/>
        <v>0</v>
      </c>
      <c r="U507" s="367">
        <f t="shared" si="172"/>
        <v>0</v>
      </c>
      <c r="V507" s="367">
        <f t="shared" si="172"/>
        <v>0</v>
      </c>
      <c r="W507" s="367">
        <f t="shared" si="172"/>
        <v>0</v>
      </c>
      <c r="X507" s="367">
        <f t="shared" si="172"/>
        <v>0</v>
      </c>
      <c r="Y507" s="367">
        <f t="shared" si="172"/>
        <v>16</v>
      </c>
      <c r="Z507" s="367">
        <f t="shared" si="172"/>
        <v>4</v>
      </c>
      <c r="AA507" s="367">
        <f t="shared" si="172"/>
        <v>0</v>
      </c>
      <c r="AB507" s="367">
        <f t="shared" si="172"/>
        <v>20</v>
      </c>
      <c r="AC507" s="367">
        <f t="shared" si="172"/>
        <v>13</v>
      </c>
      <c r="AD507" s="367">
        <f t="shared" si="172"/>
        <v>4</v>
      </c>
      <c r="AE507" s="367">
        <f t="shared" si="172"/>
        <v>0</v>
      </c>
      <c r="AF507" s="367">
        <f t="shared" si="172"/>
        <v>17</v>
      </c>
      <c r="AG507" s="367">
        <f t="shared" si="172"/>
        <v>2</v>
      </c>
      <c r="AH507" s="367">
        <f t="shared" si="172"/>
        <v>0</v>
      </c>
      <c r="AI507" s="367">
        <f t="shared" si="172"/>
        <v>0</v>
      </c>
      <c r="AJ507" s="367">
        <f t="shared" si="172"/>
        <v>2</v>
      </c>
      <c r="AK507" s="367">
        <f t="shared" si="172"/>
        <v>1</v>
      </c>
      <c r="AL507" s="367">
        <f t="shared" si="172"/>
        <v>0</v>
      </c>
      <c r="AM507" s="367">
        <f t="shared" si="172"/>
        <v>0</v>
      </c>
      <c r="AN507" s="367">
        <f t="shared" si="172"/>
        <v>1</v>
      </c>
      <c r="AO507" s="367">
        <f t="shared" si="172"/>
        <v>0</v>
      </c>
      <c r="AP507" s="367">
        <f t="shared" si="172"/>
        <v>0</v>
      </c>
      <c r="AQ507" s="367">
        <f t="shared" si="172"/>
        <v>0</v>
      </c>
      <c r="AR507" s="367">
        <f t="shared" si="172"/>
        <v>0</v>
      </c>
      <c r="AS507" s="367">
        <f t="shared" si="172"/>
        <v>16</v>
      </c>
      <c r="AT507" s="367">
        <f t="shared" si="172"/>
        <v>4</v>
      </c>
      <c r="AU507" s="367">
        <f t="shared" si="172"/>
        <v>0</v>
      </c>
      <c r="AV507" s="367">
        <f t="shared" si="172"/>
        <v>20</v>
      </c>
    </row>
    <row r="508" spans="1:48" s="365" customFormat="1" ht="12.75" x14ac:dyDescent="0.2">
      <c r="A508" s="348">
        <f>IF(ADSI!$G$12="",ADSI!$H$16,ADSI!$H$12)</f>
        <v>6</v>
      </c>
      <c r="B508" s="348" t="str">
        <f ca="1">IF(ADSI!$G$12="",ADSI!$H$16,ADSI!$H$14)</f>
        <v/>
      </c>
      <c r="C508" s="403">
        <f t="shared" si="166"/>
        <v>907</v>
      </c>
      <c r="D508" s="348">
        <f>ADSI!$K$12</f>
        <v>2021</v>
      </c>
      <c r="E508" s="367">
        <f t="shared" ref="E508:AV508" si="173">D17</f>
        <v>0</v>
      </c>
      <c r="F508" s="367">
        <f t="shared" si="173"/>
        <v>1</v>
      </c>
      <c r="G508" s="367">
        <f t="shared" si="173"/>
        <v>0</v>
      </c>
      <c r="H508" s="367">
        <f t="shared" si="173"/>
        <v>1</v>
      </c>
      <c r="I508" s="367">
        <f t="shared" si="173"/>
        <v>0</v>
      </c>
      <c r="J508" s="367">
        <f t="shared" si="173"/>
        <v>0</v>
      </c>
      <c r="K508" s="367">
        <f t="shared" si="173"/>
        <v>0</v>
      </c>
      <c r="L508" s="367">
        <f t="shared" si="173"/>
        <v>0</v>
      </c>
      <c r="M508" s="367">
        <f t="shared" si="173"/>
        <v>0</v>
      </c>
      <c r="N508" s="367">
        <f t="shared" si="173"/>
        <v>0</v>
      </c>
      <c r="O508" s="367">
        <f t="shared" si="173"/>
        <v>0</v>
      </c>
      <c r="P508" s="367">
        <f t="shared" si="173"/>
        <v>0</v>
      </c>
      <c r="Q508" s="367">
        <f t="shared" si="173"/>
        <v>0</v>
      </c>
      <c r="R508" s="367">
        <f t="shared" si="173"/>
        <v>0</v>
      </c>
      <c r="S508" s="367">
        <f t="shared" si="173"/>
        <v>0</v>
      </c>
      <c r="T508" s="367">
        <f t="shared" si="173"/>
        <v>0</v>
      </c>
      <c r="U508" s="367">
        <f t="shared" si="173"/>
        <v>0</v>
      </c>
      <c r="V508" s="367">
        <f t="shared" si="173"/>
        <v>0</v>
      </c>
      <c r="W508" s="367">
        <f t="shared" si="173"/>
        <v>0</v>
      </c>
      <c r="X508" s="367">
        <f t="shared" si="173"/>
        <v>0</v>
      </c>
      <c r="Y508" s="367">
        <f t="shared" si="173"/>
        <v>0</v>
      </c>
      <c r="Z508" s="367">
        <f t="shared" si="173"/>
        <v>1</v>
      </c>
      <c r="AA508" s="367">
        <f t="shared" si="173"/>
        <v>0</v>
      </c>
      <c r="AB508" s="367">
        <f t="shared" si="173"/>
        <v>1</v>
      </c>
      <c r="AC508" s="367">
        <f t="shared" si="173"/>
        <v>0</v>
      </c>
      <c r="AD508" s="367">
        <f t="shared" si="173"/>
        <v>1</v>
      </c>
      <c r="AE508" s="367">
        <f t="shared" si="173"/>
        <v>0</v>
      </c>
      <c r="AF508" s="367">
        <f t="shared" si="173"/>
        <v>1</v>
      </c>
      <c r="AG508" s="367">
        <f t="shared" si="173"/>
        <v>0</v>
      </c>
      <c r="AH508" s="367">
        <f t="shared" si="173"/>
        <v>0</v>
      </c>
      <c r="AI508" s="367">
        <f t="shared" si="173"/>
        <v>0</v>
      </c>
      <c r="AJ508" s="367">
        <f t="shared" si="173"/>
        <v>0</v>
      </c>
      <c r="AK508" s="367">
        <f t="shared" si="173"/>
        <v>0</v>
      </c>
      <c r="AL508" s="367">
        <f t="shared" si="173"/>
        <v>0</v>
      </c>
      <c r="AM508" s="367">
        <f t="shared" si="173"/>
        <v>0</v>
      </c>
      <c r="AN508" s="367">
        <f t="shared" si="173"/>
        <v>0</v>
      </c>
      <c r="AO508" s="367">
        <f t="shared" si="173"/>
        <v>0</v>
      </c>
      <c r="AP508" s="367">
        <f t="shared" si="173"/>
        <v>0</v>
      </c>
      <c r="AQ508" s="367">
        <f t="shared" si="173"/>
        <v>0</v>
      </c>
      <c r="AR508" s="367">
        <f t="shared" si="173"/>
        <v>0</v>
      </c>
      <c r="AS508" s="367">
        <f t="shared" si="173"/>
        <v>0</v>
      </c>
      <c r="AT508" s="367">
        <f t="shared" si="173"/>
        <v>1</v>
      </c>
      <c r="AU508" s="367">
        <f t="shared" si="173"/>
        <v>0</v>
      </c>
      <c r="AV508" s="367">
        <f t="shared" si="173"/>
        <v>1</v>
      </c>
    </row>
    <row r="509" spans="1:48" s="365" customFormat="1" ht="12.75" x14ac:dyDescent="0.2">
      <c r="A509" s="348">
        <f>IF(ADSI!$G$12="",ADSI!$H$16,ADSI!$H$12)</f>
        <v>6</v>
      </c>
      <c r="B509" s="348" t="str">
        <f ca="1">IF(ADSI!$G$12="",ADSI!$H$16,ADSI!$H$14)</f>
        <v/>
      </c>
      <c r="C509" s="403">
        <f t="shared" si="166"/>
        <v>908</v>
      </c>
      <c r="D509" s="348">
        <f>ADSI!$K$12</f>
        <v>2021</v>
      </c>
      <c r="E509" s="367">
        <f t="shared" ref="E509:AV509" si="174">D18</f>
        <v>0</v>
      </c>
      <c r="F509" s="367">
        <f t="shared" si="174"/>
        <v>0</v>
      </c>
      <c r="G509" s="367">
        <f t="shared" si="174"/>
        <v>0</v>
      </c>
      <c r="H509" s="367">
        <f t="shared" si="174"/>
        <v>0</v>
      </c>
      <c r="I509" s="367">
        <f t="shared" si="174"/>
        <v>0</v>
      </c>
      <c r="J509" s="367">
        <f t="shared" si="174"/>
        <v>0</v>
      </c>
      <c r="K509" s="367">
        <f t="shared" si="174"/>
        <v>0</v>
      </c>
      <c r="L509" s="367">
        <f t="shared" si="174"/>
        <v>0</v>
      </c>
      <c r="M509" s="367">
        <f t="shared" si="174"/>
        <v>1</v>
      </c>
      <c r="N509" s="367">
        <f t="shared" si="174"/>
        <v>0</v>
      </c>
      <c r="O509" s="367">
        <f t="shared" si="174"/>
        <v>0</v>
      </c>
      <c r="P509" s="367">
        <f t="shared" si="174"/>
        <v>1</v>
      </c>
      <c r="Q509" s="367">
        <f t="shared" si="174"/>
        <v>0</v>
      </c>
      <c r="R509" s="367">
        <f t="shared" si="174"/>
        <v>0</v>
      </c>
      <c r="S509" s="367">
        <f t="shared" si="174"/>
        <v>0</v>
      </c>
      <c r="T509" s="367">
        <f t="shared" si="174"/>
        <v>0</v>
      </c>
      <c r="U509" s="367">
        <f t="shared" si="174"/>
        <v>5</v>
      </c>
      <c r="V509" s="367">
        <f t="shared" si="174"/>
        <v>0</v>
      </c>
      <c r="W509" s="367">
        <f t="shared" si="174"/>
        <v>0</v>
      </c>
      <c r="X509" s="367">
        <f t="shared" si="174"/>
        <v>5</v>
      </c>
      <c r="Y509" s="367">
        <f t="shared" si="174"/>
        <v>6</v>
      </c>
      <c r="Z509" s="367">
        <f t="shared" si="174"/>
        <v>0</v>
      </c>
      <c r="AA509" s="367">
        <f t="shared" si="174"/>
        <v>0</v>
      </c>
      <c r="AB509" s="367">
        <f t="shared" si="174"/>
        <v>6</v>
      </c>
      <c r="AC509" s="367">
        <f t="shared" si="174"/>
        <v>6</v>
      </c>
      <c r="AD509" s="367">
        <f t="shared" si="174"/>
        <v>0</v>
      </c>
      <c r="AE509" s="367">
        <f t="shared" si="174"/>
        <v>0</v>
      </c>
      <c r="AF509" s="367">
        <f t="shared" si="174"/>
        <v>6</v>
      </c>
      <c r="AG509" s="367">
        <f t="shared" si="174"/>
        <v>0</v>
      </c>
      <c r="AH509" s="367">
        <f t="shared" si="174"/>
        <v>0</v>
      </c>
      <c r="AI509" s="367">
        <f t="shared" si="174"/>
        <v>0</v>
      </c>
      <c r="AJ509" s="367">
        <f t="shared" si="174"/>
        <v>0</v>
      </c>
      <c r="AK509" s="367">
        <f t="shared" si="174"/>
        <v>0</v>
      </c>
      <c r="AL509" s="367">
        <f t="shared" si="174"/>
        <v>0</v>
      </c>
      <c r="AM509" s="367">
        <f t="shared" si="174"/>
        <v>0</v>
      </c>
      <c r="AN509" s="367">
        <f t="shared" si="174"/>
        <v>0</v>
      </c>
      <c r="AO509" s="367">
        <f t="shared" si="174"/>
        <v>0</v>
      </c>
      <c r="AP509" s="367">
        <f t="shared" si="174"/>
        <v>0</v>
      </c>
      <c r="AQ509" s="367">
        <f t="shared" si="174"/>
        <v>0</v>
      </c>
      <c r="AR509" s="367">
        <f t="shared" si="174"/>
        <v>0</v>
      </c>
      <c r="AS509" s="367">
        <f t="shared" si="174"/>
        <v>6</v>
      </c>
      <c r="AT509" s="367">
        <f t="shared" si="174"/>
        <v>0</v>
      </c>
      <c r="AU509" s="367">
        <f t="shared" si="174"/>
        <v>0</v>
      </c>
      <c r="AV509" s="367">
        <f t="shared" si="174"/>
        <v>6</v>
      </c>
    </row>
    <row r="510" spans="1:48" s="365" customFormat="1" ht="12.75" x14ac:dyDescent="0.2">
      <c r="A510" s="348">
        <f>IF(ADSI!$G$12="",ADSI!$H$16,ADSI!$H$12)</f>
        <v>6</v>
      </c>
      <c r="B510" s="348" t="str">
        <f ca="1">IF(ADSI!$G$12="",ADSI!$H$16,ADSI!$H$14)</f>
        <v/>
      </c>
      <c r="C510" s="403">
        <f t="shared" si="166"/>
        <v>915</v>
      </c>
      <c r="D510" s="348">
        <f>ADSI!$K$12</f>
        <v>2021</v>
      </c>
      <c r="E510" s="367">
        <f t="shared" ref="E510:AV510" si="175">D19</f>
        <v>182</v>
      </c>
      <c r="F510" s="367">
        <f t="shared" si="175"/>
        <v>50</v>
      </c>
      <c r="G510" s="367">
        <f t="shared" si="175"/>
        <v>0</v>
      </c>
      <c r="H510" s="367">
        <f t="shared" si="175"/>
        <v>232</v>
      </c>
      <c r="I510" s="367">
        <f t="shared" si="175"/>
        <v>17</v>
      </c>
      <c r="J510" s="367">
        <f t="shared" si="175"/>
        <v>6</v>
      </c>
      <c r="K510" s="367">
        <f t="shared" si="175"/>
        <v>0</v>
      </c>
      <c r="L510" s="367">
        <f t="shared" si="175"/>
        <v>23</v>
      </c>
      <c r="M510" s="367">
        <f t="shared" si="175"/>
        <v>45</v>
      </c>
      <c r="N510" s="367">
        <f t="shared" si="175"/>
        <v>16</v>
      </c>
      <c r="O510" s="367">
        <f t="shared" si="175"/>
        <v>0</v>
      </c>
      <c r="P510" s="367">
        <f t="shared" si="175"/>
        <v>61</v>
      </c>
      <c r="Q510" s="367">
        <f t="shared" si="175"/>
        <v>0</v>
      </c>
      <c r="R510" s="367">
        <f t="shared" si="175"/>
        <v>0</v>
      </c>
      <c r="S510" s="367">
        <f t="shared" si="175"/>
        <v>0</v>
      </c>
      <c r="T510" s="367">
        <f t="shared" si="175"/>
        <v>0</v>
      </c>
      <c r="U510" s="367">
        <f t="shared" si="175"/>
        <v>5</v>
      </c>
      <c r="V510" s="367">
        <f t="shared" si="175"/>
        <v>0</v>
      </c>
      <c r="W510" s="367">
        <f t="shared" si="175"/>
        <v>0</v>
      </c>
      <c r="X510" s="367">
        <f t="shared" si="175"/>
        <v>5</v>
      </c>
      <c r="Y510" s="367">
        <f t="shared" si="175"/>
        <v>249</v>
      </c>
      <c r="Z510" s="367">
        <f t="shared" si="175"/>
        <v>72</v>
      </c>
      <c r="AA510" s="367">
        <f t="shared" si="175"/>
        <v>0</v>
      </c>
      <c r="AB510" s="367">
        <f t="shared" si="175"/>
        <v>321</v>
      </c>
      <c r="AC510" s="367">
        <f t="shared" si="175"/>
        <v>222</v>
      </c>
      <c r="AD510" s="367">
        <f t="shared" si="175"/>
        <v>65</v>
      </c>
      <c r="AE510" s="367">
        <f t="shared" si="175"/>
        <v>0</v>
      </c>
      <c r="AF510" s="367">
        <f t="shared" si="175"/>
        <v>287</v>
      </c>
      <c r="AG510" s="367">
        <f t="shared" si="175"/>
        <v>17</v>
      </c>
      <c r="AH510" s="367">
        <f t="shared" si="175"/>
        <v>5</v>
      </c>
      <c r="AI510" s="367">
        <f t="shared" si="175"/>
        <v>0</v>
      </c>
      <c r="AJ510" s="367">
        <f t="shared" si="175"/>
        <v>22</v>
      </c>
      <c r="AK510" s="367">
        <f t="shared" si="175"/>
        <v>1</v>
      </c>
      <c r="AL510" s="367">
        <f t="shared" si="175"/>
        <v>1</v>
      </c>
      <c r="AM510" s="367">
        <f t="shared" si="175"/>
        <v>0</v>
      </c>
      <c r="AN510" s="367">
        <f t="shared" si="175"/>
        <v>2</v>
      </c>
      <c r="AO510" s="367">
        <f t="shared" si="175"/>
        <v>9</v>
      </c>
      <c r="AP510" s="367">
        <f t="shared" si="175"/>
        <v>1</v>
      </c>
      <c r="AQ510" s="367">
        <f t="shared" si="175"/>
        <v>0</v>
      </c>
      <c r="AR510" s="367">
        <f t="shared" si="175"/>
        <v>10</v>
      </c>
      <c r="AS510" s="367">
        <f t="shared" si="175"/>
        <v>249</v>
      </c>
      <c r="AT510" s="367">
        <f t="shared" si="175"/>
        <v>72</v>
      </c>
      <c r="AU510" s="367">
        <f t="shared" si="175"/>
        <v>0</v>
      </c>
      <c r="AV510" s="367">
        <f t="shared" si="175"/>
        <v>321</v>
      </c>
    </row>
    <row r="511" spans="1:48" s="365" customFormat="1" ht="12.75" x14ac:dyDescent="0.2">
      <c r="C511" s="366"/>
    </row>
    <row r="512" spans="1:48" s="365" customFormat="1" ht="12.75" x14ac:dyDescent="0.2">
      <c r="C512" s="366"/>
    </row>
    <row r="513" spans="3:3" s="365" customFormat="1" ht="12.75" x14ac:dyDescent="0.2">
      <c r="C513" s="366"/>
    </row>
    <row r="514" spans="3:3" s="365" customFormat="1" ht="12.75" x14ac:dyDescent="0.2"/>
    <row r="515" spans="3:3" s="365" customFormat="1" ht="12.75" x14ac:dyDescent="0.2"/>
    <row r="516" spans="3:3" s="365" customFormat="1" ht="12.75" x14ac:dyDescent="0.2"/>
    <row r="517" spans="3:3" s="365" customFormat="1" ht="12.75" x14ac:dyDescent="0.2"/>
    <row r="518" spans="3:3" s="365" customFormat="1" ht="12.75" x14ac:dyDescent="0.2"/>
    <row r="519" spans="3:3" s="365" customFormat="1" ht="12.75" x14ac:dyDescent="0.2"/>
    <row r="520" spans="3:3" s="365" customFormat="1" ht="12.75" x14ac:dyDescent="0.2"/>
    <row r="521" spans="3:3" s="365" customFormat="1" ht="12.75" x14ac:dyDescent="0.2"/>
    <row r="522" spans="3:3" s="365" customFormat="1" ht="12.75" x14ac:dyDescent="0.2"/>
    <row r="523" spans="3:3" s="365" customFormat="1" ht="12.75" x14ac:dyDescent="0.2"/>
    <row r="524" spans="3:3" s="365" customFormat="1" ht="12.75" x14ac:dyDescent="0.2"/>
    <row r="525" spans="3:3" s="365" customFormat="1" ht="12.75" x14ac:dyDescent="0.2"/>
    <row r="526" spans="3:3" s="365" customFormat="1" ht="12.75" x14ac:dyDescent="0.2"/>
    <row r="527" spans="3:3" s="365" customFormat="1" ht="12.75" x14ac:dyDescent="0.2"/>
    <row r="528" spans="3:3" s="365" customFormat="1" ht="12.75" x14ac:dyDescent="0.2"/>
    <row r="529" s="365" customFormat="1" ht="12.75" x14ac:dyDescent="0.2"/>
    <row r="530" s="365" customFormat="1" ht="12.75" x14ac:dyDescent="0.2"/>
    <row r="531" s="365" customFormat="1" ht="12.75" x14ac:dyDescent="0.2"/>
    <row r="532" s="365" customFormat="1" ht="12.75" x14ac:dyDescent="0.2"/>
    <row r="533" s="365" customFormat="1" ht="12.75" x14ac:dyDescent="0.2"/>
    <row r="534" s="365" customFormat="1" ht="12.75" x14ac:dyDescent="0.2"/>
    <row r="535" s="365" customFormat="1" ht="12.75" x14ac:dyDescent="0.2"/>
  </sheetData>
  <sheetProtection password="C614" sheet="1" objects="1" scenarios="1" selectLockedCells="1"/>
  <mergeCells count="82">
    <mergeCell ref="CU204:CX206"/>
    <mergeCell ref="AV5:AY7"/>
    <mergeCell ref="D23:W24"/>
    <mergeCell ref="X23:AA23"/>
    <mergeCell ref="D28:W28"/>
    <mergeCell ref="AB28:AQ28"/>
    <mergeCell ref="D25:W25"/>
    <mergeCell ref="AB25:AQ25"/>
    <mergeCell ref="D26:W26"/>
    <mergeCell ref="AB26:AQ26"/>
    <mergeCell ref="D27:W27"/>
    <mergeCell ref="AB27:AQ27"/>
    <mergeCell ref="AJ7:AM7"/>
    <mergeCell ref="D5:AU5"/>
    <mergeCell ref="D6:AA6"/>
    <mergeCell ref="CM206:CP206"/>
    <mergeCell ref="BO206:BR206"/>
    <mergeCell ref="BS206:BV206"/>
    <mergeCell ref="BW206:BZ206"/>
    <mergeCell ref="CA206:CD206"/>
    <mergeCell ref="CE206:CH206"/>
    <mergeCell ref="CI206:CL206"/>
    <mergeCell ref="BA221:BB221"/>
    <mergeCell ref="BA224:BB224"/>
    <mergeCell ref="A5:A8"/>
    <mergeCell ref="B5:B8"/>
    <mergeCell ref="C5:C8"/>
    <mergeCell ref="A25:C25"/>
    <mergeCell ref="A26:C26"/>
    <mergeCell ref="A27:C27"/>
    <mergeCell ref="D7:G7"/>
    <mergeCell ref="H7:K7"/>
    <mergeCell ref="A20:C20"/>
    <mergeCell ref="A28:C28"/>
    <mergeCell ref="AB23:AQ24"/>
    <mergeCell ref="A21:C21"/>
    <mergeCell ref="A22:C22"/>
    <mergeCell ref="A23:C24"/>
    <mergeCell ref="W3:AF3"/>
    <mergeCell ref="AG3:AQ3"/>
    <mergeCell ref="AB6:AU6"/>
    <mergeCell ref="L7:O7"/>
    <mergeCell ref="AR7:AU7"/>
    <mergeCell ref="AN7:AQ7"/>
    <mergeCell ref="P7:S7"/>
    <mergeCell ref="T7:W7"/>
    <mergeCell ref="X7:AA7"/>
    <mergeCell ref="AB7:AE7"/>
    <mergeCell ref="AF7:AI7"/>
    <mergeCell ref="AR3:AU3"/>
    <mergeCell ref="CQ222:CT222"/>
    <mergeCell ref="BC222:BV223"/>
    <mergeCell ref="CA222:CP223"/>
    <mergeCell ref="CQ206:CT206"/>
    <mergeCell ref="BB204:BB207"/>
    <mergeCell ref="BC204:BR204"/>
    <mergeCell ref="BS204:CH204"/>
    <mergeCell ref="CI204:CT204"/>
    <mergeCell ref="BC205:BR205"/>
    <mergeCell ref="BS205:BZ205"/>
    <mergeCell ref="CA205:CH205"/>
    <mergeCell ref="CI205:CT205"/>
    <mergeCell ref="BC206:BF206"/>
    <mergeCell ref="BG206:BJ206"/>
    <mergeCell ref="BK206:BN206"/>
    <mergeCell ref="BA222:BB223"/>
    <mergeCell ref="CA224:CP224"/>
    <mergeCell ref="CA225:CP225"/>
    <mergeCell ref="CA226:CP226"/>
    <mergeCell ref="CA227:CP227"/>
    <mergeCell ref="AR23:AU23"/>
    <mergeCell ref="BW222:BZ222"/>
    <mergeCell ref="BA227:BB227"/>
    <mergeCell ref="BA226:BB226"/>
    <mergeCell ref="BA219:BB219"/>
    <mergeCell ref="BC224:BV224"/>
    <mergeCell ref="BC225:BV225"/>
    <mergeCell ref="BC226:BV226"/>
    <mergeCell ref="BC227:BV227"/>
    <mergeCell ref="BA204:BA207"/>
    <mergeCell ref="BA220:BB220"/>
    <mergeCell ref="BA225:BB225"/>
  </mergeCells>
  <conditionalFormatting sqref="X26:AA26">
    <cfRule type="cellIs" dxfId="37" priority="11" operator="equal">
      <formula>FALSE</formula>
    </cfRule>
  </conditionalFormatting>
  <conditionalFormatting sqref="X28:AA28">
    <cfRule type="cellIs" dxfId="36" priority="10" operator="equal">
      <formula>FALSE</formula>
    </cfRule>
  </conditionalFormatting>
  <conditionalFormatting sqref="AR26:AU26">
    <cfRule type="cellIs" dxfId="35" priority="9" operator="equal">
      <formula>FALSE</formula>
    </cfRule>
  </conditionalFormatting>
  <conditionalFormatting sqref="AR28:AU28">
    <cfRule type="cellIs" dxfId="34" priority="8" operator="equal">
      <formula>FALSE</formula>
    </cfRule>
  </conditionalFormatting>
  <conditionalFormatting sqref="D22:AU22">
    <cfRule type="cellIs" dxfId="33" priority="7" operator="equal">
      <formula>FALSE</formula>
    </cfRule>
  </conditionalFormatting>
  <conditionalFormatting sqref="D20:AU20">
    <cfRule type="cellIs" dxfId="32" priority="5" operator="equal">
      <formula>"ABVAR"</formula>
    </cfRule>
    <cfRule type="cellIs" dxfId="31" priority="6" operator="equal">
      <formula>FALSE</formula>
    </cfRule>
  </conditionalFormatting>
  <conditionalFormatting sqref="AV9:AY9">
    <cfRule type="cellIs" dxfId="30" priority="3" operator="equal">
      <formula>FALSE</formula>
    </cfRule>
  </conditionalFormatting>
  <conditionalFormatting sqref="AV10:AY19">
    <cfRule type="cellIs" dxfId="29" priority="2" operator="equal">
      <formula>FALSE</formula>
    </cfRule>
  </conditionalFormatting>
  <conditionalFormatting sqref="AV20:AY28">
    <cfRule type="cellIs" dxfId="28" priority="1" operator="equal">
      <formula>FALSE</formula>
    </cfRule>
  </conditionalFormatting>
  <dataValidations count="1">
    <dataValidation type="whole" allowBlank="1" showInputMessage="1" showErrorMessage="1" sqref="AN10:AP18 AJ10:AL18 AF10:AH18 AB10:AD18 T10:V18 P10:R18 L10:N18 H10:J18 D10:F18">
      <formula1>0</formula1>
      <formula2>999999999</formula2>
    </dataValidation>
  </dataValidations>
  <pageMargins left="0.51181102362204722" right="0.19685039370078741" top="0.19685039370078741" bottom="0.15748031496062992" header="0.31496062992125984" footer="0.19685039370078741"/>
  <pageSetup paperSize="5" orientation="landscape" r:id="rId1"/>
  <headerFooter>
    <oddFooter>&amp;L&amp;9ADSI - &amp;A&amp;C&amp;9&amp;D &amp;T&amp;R&amp;9Page &amp;P of &amp;N</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CA551"/>
  <sheetViews>
    <sheetView showGridLines="0" workbookViewId="0">
      <pane xSplit="3" ySplit="8" topLeftCell="D9" activePane="bottomRight" state="frozen"/>
      <selection activeCell="D9" sqref="D9"/>
      <selection pane="topRight" activeCell="D9" sqref="D9"/>
      <selection pane="bottomLeft" activeCell="D9" sqref="D9"/>
      <selection pane="bottomRight" activeCell="D9" sqref="D9"/>
    </sheetView>
  </sheetViews>
  <sheetFormatPr defaultRowHeight="15" x14ac:dyDescent="0.25"/>
  <cols>
    <col min="1" max="2" width="6.7109375" style="2" customWidth="1"/>
    <col min="3" max="3" width="38.85546875" style="2" bestFit="1" customWidth="1"/>
    <col min="4" max="9" width="12.7109375" style="2" customWidth="1"/>
    <col min="10" max="10" width="15.7109375" style="2" customWidth="1"/>
    <col min="11" max="16" width="12.7109375" style="2" customWidth="1"/>
    <col min="17" max="17" width="15.7109375" style="2" customWidth="1"/>
    <col min="18" max="23" width="12.7109375" style="2" customWidth="1"/>
    <col min="24" max="25" width="15.7109375" style="2" customWidth="1"/>
    <col min="26" max="26" width="8.7109375" style="2" customWidth="1"/>
    <col min="27" max="52" width="9.140625" style="2"/>
    <col min="53" max="53" width="5.140625" style="2" customWidth="1"/>
    <col min="54" max="54" width="26.42578125" style="2" bestFit="1" customWidth="1"/>
    <col min="55" max="16384" width="9.140625" style="2"/>
  </cols>
  <sheetData>
    <row r="1" spans="1:26" ht="15.75" x14ac:dyDescent="0.25">
      <c r="A1" s="285" t="str">
        <f>ADSI!$B$1</f>
        <v>Goa, , ADSI-2021</v>
      </c>
    </row>
    <row r="2" spans="1:26" ht="15.75" x14ac:dyDescent="0.25">
      <c r="A2" s="286" t="s">
        <v>657</v>
      </c>
      <c r="C2" s="291">
        <f>COUNTIF(D27:Y27,FALSE)</f>
        <v>0</v>
      </c>
      <c r="E2" s="465" t="s">
        <v>1570</v>
      </c>
      <c r="F2" s="464">
        <f>COUNTIF(D28:Y30,"ABVAR")</f>
        <v>9</v>
      </c>
    </row>
    <row r="3" spans="1:26" ht="15.75" x14ac:dyDescent="0.25">
      <c r="A3" s="296" t="s">
        <v>653</v>
      </c>
      <c r="C3" s="60"/>
      <c r="D3" s="60"/>
      <c r="E3" s="60"/>
      <c r="F3" s="60"/>
      <c r="G3" s="60"/>
      <c r="H3" s="60"/>
      <c r="I3" s="60"/>
      <c r="J3" s="172"/>
      <c r="K3" s="172"/>
      <c r="L3" s="172"/>
      <c r="M3" s="35"/>
      <c r="O3" s="172"/>
      <c r="P3" s="172"/>
      <c r="Q3" s="172"/>
      <c r="R3" s="119"/>
      <c r="S3" s="119"/>
      <c r="T3" s="119"/>
      <c r="U3" s="119"/>
      <c r="V3" s="119"/>
      <c r="W3" s="119"/>
      <c r="X3" s="119"/>
      <c r="Y3" s="119"/>
    </row>
    <row r="4" spans="1:26" x14ac:dyDescent="0.25">
      <c r="A4" s="296" t="s">
        <v>158</v>
      </c>
      <c r="C4" s="60"/>
      <c r="D4" s="60"/>
      <c r="E4" s="60"/>
      <c r="F4" s="60"/>
      <c r="G4" s="60"/>
      <c r="H4" s="60"/>
      <c r="I4" s="60"/>
      <c r="J4" s="119"/>
      <c r="K4" s="119"/>
      <c r="L4" s="119"/>
      <c r="O4" s="119"/>
      <c r="P4" s="119"/>
      <c r="Q4" s="119"/>
      <c r="R4" s="119"/>
      <c r="S4" s="119"/>
      <c r="T4" s="119"/>
      <c r="U4" s="119"/>
      <c r="V4" s="119"/>
      <c r="W4" s="119"/>
      <c r="X4" s="119"/>
      <c r="Y4" s="119"/>
    </row>
    <row r="5" spans="1:26" ht="20.100000000000001" customHeight="1" x14ac:dyDescent="0.25">
      <c r="A5" s="725" t="s">
        <v>249</v>
      </c>
      <c r="B5" s="725" t="s">
        <v>0</v>
      </c>
      <c r="C5" s="728" t="s">
        <v>34</v>
      </c>
      <c r="D5" s="641" t="s">
        <v>139</v>
      </c>
      <c r="E5" s="642"/>
      <c r="F5" s="642"/>
      <c r="G5" s="642"/>
      <c r="H5" s="642"/>
      <c r="I5" s="642"/>
      <c r="J5" s="642"/>
      <c r="K5" s="642"/>
      <c r="L5" s="642"/>
      <c r="M5" s="642"/>
      <c r="N5" s="642"/>
      <c r="O5" s="642"/>
      <c r="P5" s="642"/>
      <c r="Q5" s="642"/>
      <c r="R5" s="642"/>
      <c r="S5" s="642"/>
      <c r="T5" s="642"/>
      <c r="U5" s="642"/>
      <c r="V5" s="642"/>
      <c r="W5" s="642"/>
      <c r="X5" s="643"/>
      <c r="Y5" s="698" t="s">
        <v>281</v>
      </c>
    </row>
    <row r="6" spans="1:26" ht="20.100000000000001" customHeight="1" x14ac:dyDescent="0.25">
      <c r="A6" s="726"/>
      <c r="B6" s="726"/>
      <c r="C6" s="729"/>
      <c r="D6" s="646" t="s">
        <v>38</v>
      </c>
      <c r="E6" s="646"/>
      <c r="F6" s="646"/>
      <c r="G6" s="646"/>
      <c r="H6" s="646"/>
      <c r="I6" s="646"/>
      <c r="J6" s="646"/>
      <c r="K6" s="698" t="s">
        <v>39</v>
      </c>
      <c r="L6" s="698"/>
      <c r="M6" s="698"/>
      <c r="N6" s="698"/>
      <c r="O6" s="698"/>
      <c r="P6" s="698"/>
      <c r="Q6" s="698"/>
      <c r="R6" s="641" t="s">
        <v>240</v>
      </c>
      <c r="S6" s="642"/>
      <c r="T6" s="642"/>
      <c r="U6" s="642"/>
      <c r="V6" s="642"/>
      <c r="W6" s="642"/>
      <c r="X6" s="643"/>
      <c r="Y6" s="698"/>
    </row>
    <row r="7" spans="1:26" ht="77.25" customHeight="1" x14ac:dyDescent="0.25">
      <c r="A7" s="727"/>
      <c r="B7" s="727"/>
      <c r="C7" s="730"/>
      <c r="D7" s="117" t="s">
        <v>169</v>
      </c>
      <c r="E7" s="117" t="s">
        <v>31</v>
      </c>
      <c r="F7" s="117" t="s">
        <v>171</v>
      </c>
      <c r="G7" s="117" t="s">
        <v>15</v>
      </c>
      <c r="H7" s="117" t="s">
        <v>178</v>
      </c>
      <c r="I7" s="117" t="s">
        <v>16</v>
      </c>
      <c r="J7" s="117" t="s">
        <v>198</v>
      </c>
      <c r="K7" s="227" t="s">
        <v>169</v>
      </c>
      <c r="L7" s="227" t="s">
        <v>31</v>
      </c>
      <c r="M7" s="227" t="s">
        <v>171</v>
      </c>
      <c r="N7" s="227" t="s">
        <v>15</v>
      </c>
      <c r="O7" s="227" t="s">
        <v>178</v>
      </c>
      <c r="P7" s="227" t="s">
        <v>16</v>
      </c>
      <c r="Q7" s="227" t="s">
        <v>202</v>
      </c>
      <c r="R7" s="117" t="s">
        <v>169</v>
      </c>
      <c r="S7" s="117" t="s">
        <v>31</v>
      </c>
      <c r="T7" s="117" t="s">
        <v>171</v>
      </c>
      <c r="U7" s="117" t="s">
        <v>15</v>
      </c>
      <c r="V7" s="117" t="s">
        <v>178</v>
      </c>
      <c r="W7" s="117" t="s">
        <v>16</v>
      </c>
      <c r="X7" s="117" t="s">
        <v>241</v>
      </c>
      <c r="Y7" s="698"/>
    </row>
    <row r="8" spans="1:26" ht="20.100000000000001" customHeight="1" x14ac:dyDescent="0.25">
      <c r="A8" s="8"/>
      <c r="B8" s="8" t="s">
        <v>181</v>
      </c>
      <c r="C8" s="219" t="s">
        <v>182</v>
      </c>
      <c r="D8" s="8" t="s">
        <v>183</v>
      </c>
      <c r="E8" s="9" t="s">
        <v>184</v>
      </c>
      <c r="F8" s="9" t="s">
        <v>185</v>
      </c>
      <c r="G8" s="9" t="s">
        <v>186</v>
      </c>
      <c r="H8" s="8" t="s">
        <v>187</v>
      </c>
      <c r="I8" s="8" t="s">
        <v>188</v>
      </c>
      <c r="J8" s="8" t="s">
        <v>189</v>
      </c>
      <c r="K8" s="219" t="s">
        <v>190</v>
      </c>
      <c r="L8" s="219" t="s">
        <v>191</v>
      </c>
      <c r="M8" s="219" t="s">
        <v>192</v>
      </c>
      <c r="N8" s="219" t="s">
        <v>193</v>
      </c>
      <c r="O8" s="219" t="s">
        <v>194</v>
      </c>
      <c r="P8" s="218" t="s">
        <v>195</v>
      </c>
      <c r="Q8" s="218" t="s">
        <v>196</v>
      </c>
      <c r="R8" s="8" t="s">
        <v>197</v>
      </c>
      <c r="S8" s="8" t="s">
        <v>204</v>
      </c>
      <c r="T8" s="8" t="s">
        <v>205</v>
      </c>
      <c r="U8" s="8" t="s">
        <v>206</v>
      </c>
      <c r="V8" s="8" t="s">
        <v>207</v>
      </c>
      <c r="W8" s="9" t="s">
        <v>208</v>
      </c>
      <c r="X8" s="9" t="s">
        <v>209</v>
      </c>
      <c r="Y8" s="218" t="s">
        <v>210</v>
      </c>
    </row>
    <row r="9" spans="1:26" ht="20.100000000000001" customHeight="1" x14ac:dyDescent="0.25">
      <c r="A9" s="122">
        <v>925</v>
      </c>
      <c r="B9" s="118">
        <v>1</v>
      </c>
      <c r="C9" s="13" t="s">
        <v>159</v>
      </c>
      <c r="D9" s="234">
        <v>0</v>
      </c>
      <c r="E9" s="234">
        <v>0</v>
      </c>
      <c r="F9" s="234">
        <v>0</v>
      </c>
      <c r="G9" s="234">
        <v>0</v>
      </c>
      <c r="H9" s="234">
        <v>0</v>
      </c>
      <c r="I9" s="234">
        <v>0</v>
      </c>
      <c r="J9" s="458">
        <f>SUM(D9:I9)</f>
        <v>0</v>
      </c>
      <c r="K9" s="234">
        <v>0</v>
      </c>
      <c r="L9" s="234">
        <v>0</v>
      </c>
      <c r="M9" s="234">
        <v>0</v>
      </c>
      <c r="N9" s="234">
        <v>0</v>
      </c>
      <c r="O9" s="234">
        <v>0</v>
      </c>
      <c r="P9" s="234">
        <v>0</v>
      </c>
      <c r="Q9" s="458">
        <f>SUM(K9:P9)</f>
        <v>0</v>
      </c>
      <c r="R9" s="251">
        <v>0</v>
      </c>
      <c r="S9" s="251">
        <v>0</v>
      </c>
      <c r="T9" s="251">
        <v>0</v>
      </c>
      <c r="U9" s="251">
        <v>0</v>
      </c>
      <c r="V9" s="251">
        <v>0</v>
      </c>
      <c r="W9" s="251">
        <v>0</v>
      </c>
      <c r="X9" s="458">
        <f>SUM(R9:W9)</f>
        <v>0</v>
      </c>
      <c r="Y9" s="458">
        <f>SUM(J9+Q9+X9)</f>
        <v>0</v>
      </c>
      <c r="Z9" s="336"/>
    </row>
    <row r="10" spans="1:26" ht="20.100000000000001" customHeight="1" x14ac:dyDescent="0.25">
      <c r="A10" s="118">
        <v>926</v>
      </c>
      <c r="B10" s="118">
        <v>2</v>
      </c>
      <c r="C10" s="11" t="s">
        <v>160</v>
      </c>
      <c r="D10" s="234">
        <v>0</v>
      </c>
      <c r="E10" s="234">
        <v>1</v>
      </c>
      <c r="F10" s="234">
        <v>2</v>
      </c>
      <c r="G10" s="234">
        <v>10</v>
      </c>
      <c r="H10" s="234">
        <v>9</v>
      </c>
      <c r="I10" s="234">
        <v>1</v>
      </c>
      <c r="J10" s="458">
        <f t="shared" ref="J10:J24" si="0">SUM(D10:I10)</f>
        <v>23</v>
      </c>
      <c r="K10" s="234">
        <v>0</v>
      </c>
      <c r="L10" s="234">
        <v>1</v>
      </c>
      <c r="M10" s="234">
        <v>3</v>
      </c>
      <c r="N10" s="234">
        <v>1</v>
      </c>
      <c r="O10" s="234">
        <v>2</v>
      </c>
      <c r="P10" s="234">
        <v>0</v>
      </c>
      <c r="Q10" s="458">
        <f t="shared" ref="Q10:Q24" si="1">SUM(K10:P10)</f>
        <v>7</v>
      </c>
      <c r="R10" s="251">
        <v>0</v>
      </c>
      <c r="S10" s="251">
        <v>0</v>
      </c>
      <c r="T10" s="251">
        <v>0</v>
      </c>
      <c r="U10" s="251">
        <v>0</v>
      </c>
      <c r="V10" s="251">
        <v>0</v>
      </c>
      <c r="W10" s="251">
        <v>0</v>
      </c>
      <c r="X10" s="458">
        <f t="shared" ref="X10:X24" si="2">SUM(R10:W10)</f>
        <v>0</v>
      </c>
      <c r="Y10" s="458">
        <f t="shared" ref="Y10:Y24" si="3">SUM(J10+Q10+X10)</f>
        <v>30</v>
      </c>
      <c r="Z10" s="336"/>
    </row>
    <row r="11" spans="1:26" ht="20.100000000000001" customHeight="1" x14ac:dyDescent="0.25">
      <c r="A11" s="122">
        <v>927</v>
      </c>
      <c r="B11" s="118">
        <v>3</v>
      </c>
      <c r="C11" s="10" t="s">
        <v>161</v>
      </c>
      <c r="D11" s="235">
        <v>0</v>
      </c>
      <c r="E11" s="235">
        <v>0</v>
      </c>
      <c r="F11" s="234">
        <v>0</v>
      </c>
      <c r="G11" s="234">
        <v>0</v>
      </c>
      <c r="H11" s="234">
        <v>2</v>
      </c>
      <c r="I11" s="234">
        <v>1</v>
      </c>
      <c r="J11" s="458">
        <f t="shared" si="0"/>
        <v>3</v>
      </c>
      <c r="K11" s="234">
        <v>0</v>
      </c>
      <c r="L11" s="234">
        <v>0</v>
      </c>
      <c r="M11" s="234">
        <v>0</v>
      </c>
      <c r="N11" s="235">
        <v>1</v>
      </c>
      <c r="O11" s="234">
        <v>0</v>
      </c>
      <c r="P11" s="234">
        <v>2</v>
      </c>
      <c r="Q11" s="458">
        <f t="shared" si="1"/>
        <v>3</v>
      </c>
      <c r="R11" s="251">
        <v>0</v>
      </c>
      <c r="S11" s="251">
        <v>0</v>
      </c>
      <c r="T11" s="251">
        <v>0</v>
      </c>
      <c r="U11" s="251">
        <v>0</v>
      </c>
      <c r="V11" s="251">
        <v>0</v>
      </c>
      <c r="W11" s="251">
        <v>0</v>
      </c>
      <c r="X11" s="458">
        <f t="shared" si="2"/>
        <v>0</v>
      </c>
      <c r="Y11" s="458">
        <f t="shared" si="3"/>
        <v>6</v>
      </c>
      <c r="Z11" s="336"/>
    </row>
    <row r="12" spans="1:26" ht="20.100000000000001" customHeight="1" x14ac:dyDescent="0.25">
      <c r="A12" s="118">
        <v>928</v>
      </c>
      <c r="B12" s="118">
        <v>4</v>
      </c>
      <c r="C12" s="10" t="s">
        <v>444</v>
      </c>
      <c r="D12" s="235">
        <v>0</v>
      </c>
      <c r="E12" s="235">
        <v>0</v>
      </c>
      <c r="F12" s="234">
        <v>0</v>
      </c>
      <c r="G12" s="234">
        <v>0</v>
      </c>
      <c r="H12" s="234">
        <v>0</v>
      </c>
      <c r="I12" s="234">
        <v>0</v>
      </c>
      <c r="J12" s="458">
        <f t="shared" si="0"/>
        <v>0</v>
      </c>
      <c r="K12" s="234">
        <v>0</v>
      </c>
      <c r="L12" s="234">
        <v>0</v>
      </c>
      <c r="M12" s="234">
        <v>0</v>
      </c>
      <c r="N12" s="235">
        <v>0</v>
      </c>
      <c r="O12" s="234">
        <v>0</v>
      </c>
      <c r="P12" s="234">
        <v>0</v>
      </c>
      <c r="Q12" s="458">
        <f t="shared" si="1"/>
        <v>0</v>
      </c>
      <c r="R12" s="251">
        <v>0</v>
      </c>
      <c r="S12" s="251">
        <v>0</v>
      </c>
      <c r="T12" s="251">
        <v>0</v>
      </c>
      <c r="U12" s="251">
        <v>0</v>
      </c>
      <c r="V12" s="251">
        <v>0</v>
      </c>
      <c r="W12" s="251">
        <v>0</v>
      </c>
      <c r="X12" s="458">
        <f t="shared" si="2"/>
        <v>0</v>
      </c>
      <c r="Y12" s="458">
        <f t="shared" si="3"/>
        <v>0</v>
      </c>
      <c r="Z12" s="336"/>
    </row>
    <row r="13" spans="1:26" ht="20.100000000000001" customHeight="1" x14ac:dyDescent="0.25">
      <c r="A13" s="122">
        <v>929</v>
      </c>
      <c r="B13" s="118">
        <v>5</v>
      </c>
      <c r="C13" s="13" t="s">
        <v>162</v>
      </c>
      <c r="D13" s="234">
        <v>2</v>
      </c>
      <c r="E13" s="234">
        <v>5</v>
      </c>
      <c r="F13" s="234">
        <v>57</v>
      </c>
      <c r="G13" s="234">
        <v>64</v>
      </c>
      <c r="H13" s="234">
        <v>63</v>
      </c>
      <c r="I13" s="234">
        <v>13</v>
      </c>
      <c r="J13" s="458">
        <f t="shared" si="0"/>
        <v>204</v>
      </c>
      <c r="K13" s="234">
        <v>1</v>
      </c>
      <c r="L13" s="234">
        <v>3</v>
      </c>
      <c r="M13" s="234">
        <v>12</v>
      </c>
      <c r="N13" s="234">
        <v>16</v>
      </c>
      <c r="O13" s="234">
        <v>6</v>
      </c>
      <c r="P13" s="234">
        <v>11</v>
      </c>
      <c r="Q13" s="458">
        <f t="shared" si="1"/>
        <v>49</v>
      </c>
      <c r="R13" s="251">
        <v>0</v>
      </c>
      <c r="S13" s="251">
        <v>0</v>
      </c>
      <c r="T13" s="251">
        <v>0</v>
      </c>
      <c r="U13" s="251">
        <v>0</v>
      </c>
      <c r="V13" s="251">
        <v>0</v>
      </c>
      <c r="W13" s="251">
        <v>0</v>
      </c>
      <c r="X13" s="458">
        <f t="shared" si="2"/>
        <v>0</v>
      </c>
      <c r="Y13" s="458">
        <f t="shared" si="3"/>
        <v>253</v>
      </c>
      <c r="Z13" s="336"/>
    </row>
    <row r="14" spans="1:26" ht="20.100000000000001" customHeight="1" x14ac:dyDescent="0.25">
      <c r="A14" s="118">
        <v>930</v>
      </c>
      <c r="B14" s="118">
        <v>6</v>
      </c>
      <c r="C14" s="434" t="s">
        <v>1545</v>
      </c>
      <c r="D14" s="457">
        <f>SUM(D15:D16)</f>
        <v>0</v>
      </c>
      <c r="E14" s="457">
        <f t="shared" ref="E14:W14" si="4">SUM(E15:E16)</f>
        <v>0</v>
      </c>
      <c r="F14" s="457">
        <f t="shared" si="4"/>
        <v>5</v>
      </c>
      <c r="G14" s="457">
        <f t="shared" si="4"/>
        <v>3</v>
      </c>
      <c r="H14" s="457">
        <f t="shared" si="4"/>
        <v>5</v>
      </c>
      <c r="I14" s="457">
        <f t="shared" si="4"/>
        <v>1</v>
      </c>
      <c r="J14" s="458">
        <f t="shared" si="0"/>
        <v>14</v>
      </c>
      <c r="K14" s="457">
        <f t="shared" si="4"/>
        <v>0</v>
      </c>
      <c r="L14" s="457">
        <f t="shared" si="4"/>
        <v>0</v>
      </c>
      <c r="M14" s="457">
        <f t="shared" si="4"/>
        <v>4</v>
      </c>
      <c r="N14" s="457">
        <f t="shared" si="4"/>
        <v>3</v>
      </c>
      <c r="O14" s="457">
        <f t="shared" si="4"/>
        <v>3</v>
      </c>
      <c r="P14" s="457">
        <f t="shared" si="4"/>
        <v>3</v>
      </c>
      <c r="Q14" s="458">
        <f t="shared" si="1"/>
        <v>13</v>
      </c>
      <c r="R14" s="457">
        <f t="shared" si="4"/>
        <v>0</v>
      </c>
      <c r="S14" s="457">
        <f t="shared" si="4"/>
        <v>0</v>
      </c>
      <c r="T14" s="457">
        <f t="shared" si="4"/>
        <v>0</v>
      </c>
      <c r="U14" s="457">
        <f t="shared" si="4"/>
        <v>0</v>
      </c>
      <c r="V14" s="457">
        <f t="shared" si="4"/>
        <v>0</v>
      </c>
      <c r="W14" s="457">
        <f t="shared" si="4"/>
        <v>0</v>
      </c>
      <c r="X14" s="458">
        <f t="shared" si="2"/>
        <v>0</v>
      </c>
      <c r="Y14" s="458">
        <f t="shared" si="3"/>
        <v>27</v>
      </c>
      <c r="Z14" s="336"/>
    </row>
    <row r="15" spans="1:26" ht="20.100000000000001" customHeight="1" x14ac:dyDescent="0.25">
      <c r="A15" s="122">
        <v>931</v>
      </c>
      <c r="B15" s="118"/>
      <c r="C15" s="181" t="s">
        <v>1546</v>
      </c>
      <c r="D15" s="234">
        <v>0</v>
      </c>
      <c r="E15" s="234">
        <v>0</v>
      </c>
      <c r="F15" s="234">
        <v>2</v>
      </c>
      <c r="G15" s="234">
        <v>1</v>
      </c>
      <c r="H15" s="234">
        <v>0</v>
      </c>
      <c r="I15" s="234">
        <v>1</v>
      </c>
      <c r="J15" s="458">
        <f t="shared" si="0"/>
        <v>4</v>
      </c>
      <c r="K15" s="234">
        <v>0</v>
      </c>
      <c r="L15" s="234">
        <v>0</v>
      </c>
      <c r="M15" s="234">
        <v>2</v>
      </c>
      <c r="N15" s="234">
        <v>2</v>
      </c>
      <c r="O15" s="234">
        <v>1</v>
      </c>
      <c r="P15" s="234">
        <v>3</v>
      </c>
      <c r="Q15" s="458">
        <f t="shared" si="1"/>
        <v>8</v>
      </c>
      <c r="R15" s="251">
        <v>0</v>
      </c>
      <c r="S15" s="251">
        <v>0</v>
      </c>
      <c r="T15" s="251">
        <v>0</v>
      </c>
      <c r="U15" s="251">
        <v>0</v>
      </c>
      <c r="V15" s="251">
        <v>0</v>
      </c>
      <c r="W15" s="251">
        <v>0</v>
      </c>
      <c r="X15" s="458">
        <f t="shared" si="2"/>
        <v>0</v>
      </c>
      <c r="Y15" s="458">
        <f t="shared" si="3"/>
        <v>12</v>
      </c>
      <c r="Z15" s="336"/>
    </row>
    <row r="16" spans="1:26" ht="20.100000000000001" customHeight="1" x14ac:dyDescent="0.25">
      <c r="A16" s="118">
        <v>932</v>
      </c>
      <c r="B16" s="118"/>
      <c r="C16" s="181" t="s">
        <v>1547</v>
      </c>
      <c r="D16" s="235">
        <v>0</v>
      </c>
      <c r="E16" s="234">
        <v>0</v>
      </c>
      <c r="F16" s="234">
        <v>3</v>
      </c>
      <c r="G16" s="234">
        <v>2</v>
      </c>
      <c r="H16" s="234">
        <v>5</v>
      </c>
      <c r="I16" s="234">
        <v>0</v>
      </c>
      <c r="J16" s="458">
        <f t="shared" si="0"/>
        <v>10</v>
      </c>
      <c r="K16" s="234">
        <v>0</v>
      </c>
      <c r="L16" s="234">
        <v>0</v>
      </c>
      <c r="M16" s="235">
        <v>2</v>
      </c>
      <c r="N16" s="234">
        <v>1</v>
      </c>
      <c r="O16" s="234">
        <v>2</v>
      </c>
      <c r="P16" s="234">
        <v>0</v>
      </c>
      <c r="Q16" s="458">
        <f t="shared" si="1"/>
        <v>5</v>
      </c>
      <c r="R16" s="251">
        <v>0</v>
      </c>
      <c r="S16" s="251">
        <v>0</v>
      </c>
      <c r="T16" s="251">
        <v>0</v>
      </c>
      <c r="U16" s="251">
        <v>0</v>
      </c>
      <c r="V16" s="251">
        <v>0</v>
      </c>
      <c r="W16" s="251">
        <v>0</v>
      </c>
      <c r="X16" s="458">
        <f t="shared" si="2"/>
        <v>0</v>
      </c>
      <c r="Y16" s="458">
        <f t="shared" si="3"/>
        <v>15</v>
      </c>
      <c r="Z16" s="336"/>
    </row>
    <row r="17" spans="1:26" ht="20.100000000000001" customHeight="1" x14ac:dyDescent="0.25">
      <c r="A17" s="122">
        <v>933</v>
      </c>
      <c r="B17" s="118">
        <v>7</v>
      </c>
      <c r="C17" s="10" t="s">
        <v>641</v>
      </c>
      <c r="D17" s="234">
        <v>0</v>
      </c>
      <c r="E17" s="234">
        <v>0</v>
      </c>
      <c r="F17" s="234">
        <v>0</v>
      </c>
      <c r="G17" s="234">
        <v>2</v>
      </c>
      <c r="H17" s="234">
        <v>0</v>
      </c>
      <c r="I17" s="234">
        <v>0</v>
      </c>
      <c r="J17" s="458">
        <f t="shared" si="0"/>
        <v>2</v>
      </c>
      <c r="K17" s="234">
        <v>0</v>
      </c>
      <c r="L17" s="234">
        <v>0</v>
      </c>
      <c r="M17" s="234">
        <v>0</v>
      </c>
      <c r="N17" s="234">
        <v>0</v>
      </c>
      <c r="O17" s="234">
        <v>0</v>
      </c>
      <c r="P17" s="234">
        <v>0</v>
      </c>
      <c r="Q17" s="458">
        <f t="shared" si="1"/>
        <v>0</v>
      </c>
      <c r="R17" s="251">
        <v>0</v>
      </c>
      <c r="S17" s="251">
        <v>0</v>
      </c>
      <c r="T17" s="251">
        <v>0</v>
      </c>
      <c r="U17" s="251">
        <v>0</v>
      </c>
      <c r="V17" s="251">
        <v>0</v>
      </c>
      <c r="W17" s="251">
        <v>0</v>
      </c>
      <c r="X17" s="458">
        <f t="shared" si="2"/>
        <v>0</v>
      </c>
      <c r="Y17" s="458">
        <f t="shared" si="3"/>
        <v>2</v>
      </c>
      <c r="Z17" s="336"/>
    </row>
    <row r="18" spans="1:26" ht="20.100000000000001" customHeight="1" x14ac:dyDescent="0.25">
      <c r="A18" s="118">
        <v>934</v>
      </c>
      <c r="B18" s="118">
        <v>8</v>
      </c>
      <c r="C18" s="434" t="s">
        <v>1548</v>
      </c>
      <c r="D18" s="457">
        <f>SUM(D19:D21)</f>
        <v>0</v>
      </c>
      <c r="E18" s="457">
        <f t="shared" ref="E18:W18" si="5">SUM(E19:E21)</f>
        <v>0</v>
      </c>
      <c r="F18" s="457">
        <f t="shared" si="5"/>
        <v>0</v>
      </c>
      <c r="G18" s="457">
        <f t="shared" si="5"/>
        <v>0</v>
      </c>
      <c r="H18" s="457">
        <f t="shared" si="5"/>
        <v>1</v>
      </c>
      <c r="I18" s="457">
        <f t="shared" si="5"/>
        <v>0</v>
      </c>
      <c r="J18" s="458">
        <f t="shared" si="0"/>
        <v>1</v>
      </c>
      <c r="K18" s="457">
        <f t="shared" si="5"/>
        <v>0</v>
      </c>
      <c r="L18" s="457">
        <f t="shared" si="5"/>
        <v>0</v>
      </c>
      <c r="M18" s="457">
        <f t="shared" si="5"/>
        <v>0</v>
      </c>
      <c r="N18" s="457">
        <f t="shared" si="5"/>
        <v>0</v>
      </c>
      <c r="O18" s="457">
        <f t="shared" si="5"/>
        <v>0</v>
      </c>
      <c r="P18" s="457">
        <f t="shared" si="5"/>
        <v>0</v>
      </c>
      <c r="Q18" s="458">
        <f t="shared" si="1"/>
        <v>0</v>
      </c>
      <c r="R18" s="457">
        <f t="shared" si="5"/>
        <v>0</v>
      </c>
      <c r="S18" s="457">
        <f t="shared" si="5"/>
        <v>0</v>
      </c>
      <c r="T18" s="457">
        <f t="shared" si="5"/>
        <v>0</v>
      </c>
      <c r="U18" s="457">
        <f t="shared" si="5"/>
        <v>0</v>
      </c>
      <c r="V18" s="457">
        <f t="shared" si="5"/>
        <v>0</v>
      </c>
      <c r="W18" s="457">
        <f t="shared" si="5"/>
        <v>0</v>
      </c>
      <c r="X18" s="458">
        <f t="shared" si="2"/>
        <v>0</v>
      </c>
      <c r="Y18" s="458">
        <f t="shared" si="3"/>
        <v>1</v>
      </c>
      <c r="Z18" s="336"/>
    </row>
    <row r="19" spans="1:26" ht="20.100000000000001" customHeight="1" x14ac:dyDescent="0.25">
      <c r="A19" s="122">
        <v>935</v>
      </c>
      <c r="B19" s="118"/>
      <c r="C19" s="181" t="s">
        <v>1549</v>
      </c>
      <c r="D19" s="234">
        <v>0</v>
      </c>
      <c r="E19" s="234">
        <v>0</v>
      </c>
      <c r="F19" s="234">
        <v>0</v>
      </c>
      <c r="G19" s="234">
        <v>0</v>
      </c>
      <c r="H19" s="234">
        <v>1</v>
      </c>
      <c r="I19" s="234">
        <v>0</v>
      </c>
      <c r="J19" s="458">
        <f t="shared" si="0"/>
        <v>1</v>
      </c>
      <c r="K19" s="234">
        <v>0</v>
      </c>
      <c r="L19" s="234">
        <v>0</v>
      </c>
      <c r="M19" s="234">
        <v>0</v>
      </c>
      <c r="N19" s="234">
        <v>0</v>
      </c>
      <c r="O19" s="234">
        <v>0</v>
      </c>
      <c r="P19" s="234">
        <v>0</v>
      </c>
      <c r="Q19" s="458">
        <f t="shared" si="1"/>
        <v>0</v>
      </c>
      <c r="R19" s="251">
        <v>0</v>
      </c>
      <c r="S19" s="251">
        <v>0</v>
      </c>
      <c r="T19" s="251">
        <v>0</v>
      </c>
      <c r="U19" s="251">
        <v>0</v>
      </c>
      <c r="V19" s="251">
        <v>0</v>
      </c>
      <c r="W19" s="251">
        <v>0</v>
      </c>
      <c r="X19" s="458">
        <f t="shared" si="2"/>
        <v>0</v>
      </c>
      <c r="Y19" s="458">
        <f t="shared" si="3"/>
        <v>1</v>
      </c>
      <c r="Z19" s="336"/>
    </row>
    <row r="20" spans="1:26" ht="20.100000000000001" customHeight="1" x14ac:dyDescent="0.25">
      <c r="A20" s="118">
        <v>936</v>
      </c>
      <c r="B20" s="118"/>
      <c r="C20" s="181" t="s">
        <v>1550</v>
      </c>
      <c r="D20" s="234">
        <v>0</v>
      </c>
      <c r="E20" s="234">
        <v>0</v>
      </c>
      <c r="F20" s="234">
        <v>0</v>
      </c>
      <c r="G20" s="234">
        <v>0</v>
      </c>
      <c r="H20" s="234">
        <v>0</v>
      </c>
      <c r="I20" s="234">
        <v>0</v>
      </c>
      <c r="J20" s="458">
        <f t="shared" si="0"/>
        <v>0</v>
      </c>
      <c r="K20" s="234">
        <v>0</v>
      </c>
      <c r="L20" s="234">
        <v>0</v>
      </c>
      <c r="M20" s="234">
        <v>0</v>
      </c>
      <c r="N20" s="234">
        <v>0</v>
      </c>
      <c r="O20" s="234">
        <v>0</v>
      </c>
      <c r="P20" s="234">
        <v>0</v>
      </c>
      <c r="Q20" s="458">
        <f t="shared" si="1"/>
        <v>0</v>
      </c>
      <c r="R20" s="251">
        <v>0</v>
      </c>
      <c r="S20" s="251">
        <v>0</v>
      </c>
      <c r="T20" s="251">
        <v>0</v>
      </c>
      <c r="U20" s="251">
        <v>0</v>
      </c>
      <c r="V20" s="251">
        <v>0</v>
      </c>
      <c r="W20" s="251">
        <v>0</v>
      </c>
      <c r="X20" s="458">
        <f t="shared" si="2"/>
        <v>0</v>
      </c>
      <c r="Y20" s="458">
        <f t="shared" si="3"/>
        <v>0</v>
      </c>
      <c r="Z20" s="336"/>
    </row>
    <row r="21" spans="1:26" ht="30" x14ac:dyDescent="0.25">
      <c r="A21" s="122">
        <v>937</v>
      </c>
      <c r="B21" s="118"/>
      <c r="C21" s="181" t="s">
        <v>1551</v>
      </c>
      <c r="D21" s="234">
        <v>0</v>
      </c>
      <c r="E21" s="234">
        <v>0</v>
      </c>
      <c r="F21" s="234">
        <v>0</v>
      </c>
      <c r="G21" s="234">
        <v>0</v>
      </c>
      <c r="H21" s="234">
        <v>0</v>
      </c>
      <c r="I21" s="234">
        <v>0</v>
      </c>
      <c r="J21" s="458">
        <f t="shared" si="0"/>
        <v>0</v>
      </c>
      <c r="K21" s="234">
        <v>0</v>
      </c>
      <c r="L21" s="234">
        <v>0</v>
      </c>
      <c r="M21" s="234">
        <v>0</v>
      </c>
      <c r="N21" s="234">
        <v>0</v>
      </c>
      <c r="O21" s="234">
        <v>0</v>
      </c>
      <c r="P21" s="234">
        <v>0</v>
      </c>
      <c r="Q21" s="458">
        <f t="shared" si="1"/>
        <v>0</v>
      </c>
      <c r="R21" s="251">
        <v>0</v>
      </c>
      <c r="S21" s="251">
        <v>0</v>
      </c>
      <c r="T21" s="251">
        <v>0</v>
      </c>
      <c r="U21" s="251">
        <v>0</v>
      </c>
      <c r="V21" s="251">
        <v>0</v>
      </c>
      <c r="W21" s="251">
        <v>0</v>
      </c>
      <c r="X21" s="458">
        <f t="shared" si="2"/>
        <v>0</v>
      </c>
      <c r="Y21" s="458">
        <f t="shared" si="3"/>
        <v>0</v>
      </c>
      <c r="Z21" s="336"/>
    </row>
    <row r="22" spans="1:26" ht="20.100000000000001" customHeight="1" x14ac:dyDescent="0.25">
      <c r="A22" s="118">
        <v>938</v>
      </c>
      <c r="B22" s="118">
        <v>9</v>
      </c>
      <c r="C22" s="10" t="s">
        <v>163</v>
      </c>
      <c r="D22" s="234">
        <v>0</v>
      </c>
      <c r="E22" s="234">
        <v>0</v>
      </c>
      <c r="F22" s="234">
        <v>1</v>
      </c>
      <c r="G22" s="234">
        <v>0</v>
      </c>
      <c r="H22" s="234">
        <v>1</v>
      </c>
      <c r="I22" s="234">
        <v>0</v>
      </c>
      <c r="J22" s="458">
        <f t="shared" si="0"/>
        <v>2</v>
      </c>
      <c r="K22" s="234">
        <v>0</v>
      </c>
      <c r="L22" s="234">
        <v>0</v>
      </c>
      <c r="M22" s="234">
        <v>0</v>
      </c>
      <c r="N22" s="234">
        <v>0</v>
      </c>
      <c r="O22" s="234">
        <v>0</v>
      </c>
      <c r="P22" s="234">
        <v>0</v>
      </c>
      <c r="Q22" s="458">
        <f t="shared" si="1"/>
        <v>0</v>
      </c>
      <c r="R22" s="251">
        <v>0</v>
      </c>
      <c r="S22" s="251">
        <v>0</v>
      </c>
      <c r="T22" s="251">
        <v>0</v>
      </c>
      <c r="U22" s="251">
        <v>0</v>
      </c>
      <c r="V22" s="251">
        <v>0</v>
      </c>
      <c r="W22" s="251">
        <v>0</v>
      </c>
      <c r="X22" s="458">
        <f t="shared" si="2"/>
        <v>0</v>
      </c>
      <c r="Y22" s="458">
        <f t="shared" si="3"/>
        <v>2</v>
      </c>
      <c r="Z22" s="336"/>
    </row>
    <row r="23" spans="1:26" ht="20.100000000000001" customHeight="1" x14ac:dyDescent="0.25">
      <c r="A23" s="122">
        <v>939</v>
      </c>
      <c r="B23" s="118">
        <v>10</v>
      </c>
      <c r="C23" s="10" t="s">
        <v>164</v>
      </c>
      <c r="D23" s="234">
        <v>0</v>
      </c>
      <c r="E23" s="234">
        <v>0</v>
      </c>
      <c r="F23" s="234">
        <v>0</v>
      </c>
      <c r="G23" s="234">
        <v>0</v>
      </c>
      <c r="H23" s="234">
        <v>0</v>
      </c>
      <c r="I23" s="234">
        <v>0</v>
      </c>
      <c r="J23" s="458">
        <f t="shared" si="0"/>
        <v>0</v>
      </c>
      <c r="K23" s="234">
        <v>0</v>
      </c>
      <c r="L23" s="234">
        <v>0</v>
      </c>
      <c r="M23" s="234">
        <v>0</v>
      </c>
      <c r="N23" s="234">
        <v>0</v>
      </c>
      <c r="O23" s="234">
        <v>0</v>
      </c>
      <c r="P23" s="234">
        <v>0</v>
      </c>
      <c r="Q23" s="458">
        <f t="shared" si="1"/>
        <v>0</v>
      </c>
      <c r="R23" s="251">
        <v>0</v>
      </c>
      <c r="S23" s="251">
        <v>0</v>
      </c>
      <c r="T23" s="251">
        <v>0</v>
      </c>
      <c r="U23" s="251">
        <v>0</v>
      </c>
      <c r="V23" s="251">
        <v>0</v>
      </c>
      <c r="W23" s="251">
        <v>0</v>
      </c>
      <c r="X23" s="458">
        <f t="shared" si="2"/>
        <v>0</v>
      </c>
      <c r="Y23" s="458">
        <f t="shared" si="3"/>
        <v>0</v>
      </c>
      <c r="Z23" s="336"/>
    </row>
    <row r="24" spans="1:26" ht="20.100000000000001" customHeight="1" x14ac:dyDescent="0.25">
      <c r="A24" s="118">
        <v>940</v>
      </c>
      <c r="B24" s="118">
        <v>11</v>
      </c>
      <c r="C24" s="10" t="s">
        <v>642</v>
      </c>
      <c r="D24" s="234">
        <v>0</v>
      </c>
      <c r="E24" s="234">
        <v>0</v>
      </c>
      <c r="F24" s="234">
        <v>0</v>
      </c>
      <c r="G24" s="234">
        <v>0</v>
      </c>
      <c r="H24" s="234">
        <v>0</v>
      </c>
      <c r="I24" s="234">
        <v>0</v>
      </c>
      <c r="J24" s="458">
        <f t="shared" si="0"/>
        <v>0</v>
      </c>
      <c r="K24" s="234">
        <v>0</v>
      </c>
      <c r="L24" s="234">
        <v>0</v>
      </c>
      <c r="M24" s="234">
        <v>0</v>
      </c>
      <c r="N24" s="234">
        <v>0</v>
      </c>
      <c r="O24" s="234">
        <v>0</v>
      </c>
      <c r="P24" s="234">
        <v>0</v>
      </c>
      <c r="Q24" s="458">
        <f t="shared" si="1"/>
        <v>0</v>
      </c>
      <c r="R24" s="251">
        <v>0</v>
      </c>
      <c r="S24" s="251">
        <v>0</v>
      </c>
      <c r="T24" s="251">
        <v>0</v>
      </c>
      <c r="U24" s="251">
        <v>0</v>
      </c>
      <c r="V24" s="251">
        <v>0</v>
      </c>
      <c r="W24" s="251">
        <v>0</v>
      </c>
      <c r="X24" s="458">
        <f t="shared" si="2"/>
        <v>0</v>
      </c>
      <c r="Y24" s="458">
        <f t="shared" si="3"/>
        <v>0</v>
      </c>
      <c r="Z24" s="336"/>
    </row>
    <row r="25" spans="1:26" ht="20.100000000000001" customHeight="1" x14ac:dyDescent="0.25">
      <c r="A25" s="122">
        <v>960</v>
      </c>
      <c r="B25" s="254">
        <v>12</v>
      </c>
      <c r="C25" s="18" t="s">
        <v>643</v>
      </c>
      <c r="D25" s="441">
        <f>SUM(D9:D14,D17:D18,D22:D24)</f>
        <v>2</v>
      </c>
      <c r="E25" s="441">
        <f t="shared" ref="E25:W25" si="6">SUM(E9:E14,E17:E18,E22:E24)</f>
        <v>6</v>
      </c>
      <c r="F25" s="441">
        <f t="shared" si="6"/>
        <v>65</v>
      </c>
      <c r="G25" s="441">
        <f t="shared" si="6"/>
        <v>79</v>
      </c>
      <c r="H25" s="441">
        <f t="shared" si="6"/>
        <v>81</v>
      </c>
      <c r="I25" s="441">
        <f t="shared" si="6"/>
        <v>16</v>
      </c>
      <c r="J25" s="441">
        <f>SUM(D25:I25)</f>
        <v>249</v>
      </c>
      <c r="K25" s="441">
        <f t="shared" si="6"/>
        <v>1</v>
      </c>
      <c r="L25" s="441">
        <f t="shared" si="6"/>
        <v>4</v>
      </c>
      <c r="M25" s="441">
        <f t="shared" si="6"/>
        <v>19</v>
      </c>
      <c r="N25" s="441">
        <f t="shared" si="6"/>
        <v>21</v>
      </c>
      <c r="O25" s="441">
        <f t="shared" si="6"/>
        <v>11</v>
      </c>
      <c r="P25" s="441">
        <f t="shared" si="6"/>
        <v>16</v>
      </c>
      <c r="Q25" s="441">
        <f>SUM(K25:P25)</f>
        <v>72</v>
      </c>
      <c r="R25" s="441">
        <f t="shared" si="6"/>
        <v>0</v>
      </c>
      <c r="S25" s="441">
        <f t="shared" si="6"/>
        <v>0</v>
      </c>
      <c r="T25" s="441">
        <f t="shared" si="6"/>
        <v>0</v>
      </c>
      <c r="U25" s="441">
        <f t="shared" si="6"/>
        <v>0</v>
      </c>
      <c r="V25" s="441">
        <f t="shared" si="6"/>
        <v>0</v>
      </c>
      <c r="W25" s="441">
        <f t="shared" si="6"/>
        <v>0</v>
      </c>
      <c r="X25" s="441">
        <f>SUM(R25:W25)</f>
        <v>0</v>
      </c>
      <c r="Y25" s="441">
        <f>J25+Q25+X25</f>
        <v>321</v>
      </c>
      <c r="Z25" s="336"/>
    </row>
    <row r="26" spans="1:26" ht="30" customHeight="1" x14ac:dyDescent="0.25">
      <c r="A26" s="811" t="s">
        <v>627</v>
      </c>
      <c r="B26" s="811"/>
      <c r="C26" s="811"/>
      <c r="D26" s="305">
        <f>'P-XIV'!D38</f>
        <v>2</v>
      </c>
      <c r="E26" s="305">
        <f>'P-XIV'!E38</f>
        <v>6</v>
      </c>
      <c r="F26" s="305">
        <f>'P-XIV'!F38</f>
        <v>65</v>
      </c>
      <c r="G26" s="305">
        <f>'P-XIV'!G38</f>
        <v>79</v>
      </c>
      <c r="H26" s="305">
        <f>'P-XIV'!H38</f>
        <v>81</v>
      </c>
      <c r="I26" s="305">
        <f>'P-XIV'!I38</f>
        <v>16</v>
      </c>
      <c r="J26" s="305">
        <f>'P-XIV'!J38</f>
        <v>249</v>
      </c>
      <c r="K26" s="305">
        <f>'P-XIV'!K38</f>
        <v>1</v>
      </c>
      <c r="L26" s="305">
        <f>'P-XIV'!L38</f>
        <v>4</v>
      </c>
      <c r="M26" s="305">
        <f>'P-XIV'!M38</f>
        <v>19</v>
      </c>
      <c r="N26" s="305">
        <f>'P-XIV'!N38</f>
        <v>21</v>
      </c>
      <c r="O26" s="305">
        <f>'P-XIV'!O38</f>
        <v>11</v>
      </c>
      <c r="P26" s="305">
        <f>'P-XIV'!P38</f>
        <v>16</v>
      </c>
      <c r="Q26" s="305">
        <f>'P-XIV'!Q38</f>
        <v>72</v>
      </c>
      <c r="R26" s="305">
        <f>'P-XIV'!R38</f>
        <v>0</v>
      </c>
      <c r="S26" s="305">
        <f>'P-XIV'!S38</f>
        <v>0</v>
      </c>
      <c r="T26" s="305">
        <f>'P-XIV'!T38</f>
        <v>0</v>
      </c>
      <c r="U26" s="305">
        <f>'P-XIV'!U38</f>
        <v>0</v>
      </c>
      <c r="V26" s="305">
        <f>'P-XIV'!V38</f>
        <v>0</v>
      </c>
      <c r="W26" s="305">
        <f>'P-XIV'!W38</f>
        <v>0</v>
      </c>
      <c r="X26" s="305">
        <f>'P-XIV'!X38</f>
        <v>0</v>
      </c>
      <c r="Y26" s="305">
        <f>'P-XIV'!Y38</f>
        <v>321</v>
      </c>
    </row>
    <row r="27" spans="1:26" ht="30" customHeight="1" x14ac:dyDescent="0.25">
      <c r="A27" s="841" t="s">
        <v>632</v>
      </c>
      <c r="B27" s="841"/>
      <c r="C27" s="841"/>
      <c r="D27" s="399" t="str">
        <f>IF(D25='P-XIV'!D38,"",FALSE)</f>
        <v/>
      </c>
      <c r="E27" s="399" t="str">
        <f>IF(E25='P-XIV'!E38,"",FALSE)</f>
        <v/>
      </c>
      <c r="F27" s="399" t="str">
        <f>IF(F25='P-XIV'!F38,"",FALSE)</f>
        <v/>
      </c>
      <c r="G27" s="399" t="str">
        <f>IF(G25='P-XIV'!G38,"",FALSE)</f>
        <v/>
      </c>
      <c r="H27" s="399" t="str">
        <f>IF(H25='P-XIV'!H38,"",FALSE)</f>
        <v/>
      </c>
      <c r="I27" s="399" t="str">
        <f>IF(I25='P-XIV'!I38,"",FALSE)</f>
        <v/>
      </c>
      <c r="J27" s="399" t="str">
        <f>IF(J25='P-XIV'!J38,"",FALSE)</f>
        <v/>
      </c>
      <c r="K27" s="399" t="str">
        <f>IF(K25='P-XIV'!K38,"",FALSE)</f>
        <v/>
      </c>
      <c r="L27" s="399" t="str">
        <f>IF(L25='P-XIV'!L38,"",FALSE)</f>
        <v/>
      </c>
      <c r="M27" s="399" t="str">
        <f>IF(M25='P-XIV'!M38,"",FALSE)</f>
        <v/>
      </c>
      <c r="N27" s="399" t="str">
        <f>IF(N25='P-XIV'!N38,"",FALSE)</f>
        <v/>
      </c>
      <c r="O27" s="399" t="str">
        <f>IF(O25='P-XIV'!O38,"",FALSE)</f>
        <v/>
      </c>
      <c r="P27" s="399" t="str">
        <f>IF(P25='P-XIV'!P38,"",FALSE)</f>
        <v/>
      </c>
      <c r="Q27" s="399" t="str">
        <f>IF(Q25='P-XIV'!Q38,"",FALSE)</f>
        <v/>
      </c>
      <c r="R27" s="399" t="str">
        <f>IF(R25='P-XIV'!R38,"",FALSE)</f>
        <v/>
      </c>
      <c r="S27" s="399" t="str">
        <f>IF(S25='P-XIV'!S38,"",FALSE)</f>
        <v/>
      </c>
      <c r="T27" s="399" t="str">
        <f>IF(T25='P-XIV'!T38,"",FALSE)</f>
        <v/>
      </c>
      <c r="U27" s="399" t="str">
        <f>IF(U25='P-XIV'!U38,"",FALSE)</f>
        <v/>
      </c>
      <c r="V27" s="399" t="str">
        <f>IF(V25='P-XIV'!V38,"",FALSE)</f>
        <v/>
      </c>
      <c r="W27" s="399" t="str">
        <f>IF(W25='P-XIV'!W38,"",FALSE)</f>
        <v/>
      </c>
      <c r="X27" s="399" t="str">
        <f>IF(X25='P-XIV'!X38,"",FALSE)</f>
        <v/>
      </c>
      <c r="Y27" s="399" t="str">
        <f>IF(Y25='P-XIV'!Y38,"",FALSE)</f>
        <v/>
      </c>
    </row>
    <row r="28" spans="1:26" ht="30" customHeight="1" x14ac:dyDescent="0.25">
      <c r="A28" s="595" t="s">
        <v>1594</v>
      </c>
      <c r="B28" s="596"/>
      <c r="C28" s="597"/>
      <c r="D28" s="463" t="str">
        <f>IF(D14&gt;0,IF((D16/D14*100)&gt;30,"ABVAR",""),"")</f>
        <v/>
      </c>
      <c r="E28" s="463" t="str">
        <f t="shared" ref="E28:Y28" si="7">IF(E14&gt;0,IF((E16/E14*100)&gt;30,"ABVAR",""),"")</f>
        <v/>
      </c>
      <c r="F28" s="463" t="str">
        <f t="shared" si="7"/>
        <v>ABVAR</v>
      </c>
      <c r="G28" s="463" t="str">
        <f t="shared" si="7"/>
        <v>ABVAR</v>
      </c>
      <c r="H28" s="463" t="str">
        <f t="shared" si="7"/>
        <v>ABVAR</v>
      </c>
      <c r="I28" s="463" t="str">
        <f t="shared" si="7"/>
        <v/>
      </c>
      <c r="J28" s="463" t="str">
        <f t="shared" si="7"/>
        <v>ABVAR</v>
      </c>
      <c r="K28" s="463" t="str">
        <f t="shared" si="7"/>
        <v/>
      </c>
      <c r="L28" s="463" t="str">
        <f t="shared" si="7"/>
        <v/>
      </c>
      <c r="M28" s="463" t="str">
        <f t="shared" si="7"/>
        <v>ABVAR</v>
      </c>
      <c r="N28" s="463" t="str">
        <f t="shared" si="7"/>
        <v>ABVAR</v>
      </c>
      <c r="O28" s="463" t="str">
        <f t="shared" si="7"/>
        <v>ABVAR</v>
      </c>
      <c r="P28" s="463" t="str">
        <f t="shared" si="7"/>
        <v/>
      </c>
      <c r="Q28" s="463" t="str">
        <f t="shared" si="7"/>
        <v>ABVAR</v>
      </c>
      <c r="R28" s="463" t="str">
        <f t="shared" si="7"/>
        <v/>
      </c>
      <c r="S28" s="463" t="str">
        <f t="shared" si="7"/>
        <v/>
      </c>
      <c r="T28" s="463" t="str">
        <f t="shared" si="7"/>
        <v/>
      </c>
      <c r="U28" s="463" t="str">
        <f t="shared" si="7"/>
        <v/>
      </c>
      <c r="V28" s="463" t="str">
        <f t="shared" si="7"/>
        <v/>
      </c>
      <c r="W28" s="463" t="str">
        <f t="shared" si="7"/>
        <v/>
      </c>
      <c r="X28" s="463" t="str">
        <f t="shared" si="7"/>
        <v/>
      </c>
      <c r="Y28" s="463" t="str">
        <f t="shared" si="7"/>
        <v>ABVAR</v>
      </c>
    </row>
    <row r="29" spans="1:26" ht="24.95" customHeight="1" x14ac:dyDescent="0.25">
      <c r="A29" s="595" t="s">
        <v>1595</v>
      </c>
      <c r="B29" s="596"/>
      <c r="C29" s="597"/>
      <c r="D29" s="463" t="str">
        <f>IF(D18&gt;0,IF((D20/D18*100)&gt;30,"ABVAR",""),"")</f>
        <v/>
      </c>
      <c r="E29" s="463" t="str">
        <f t="shared" ref="E29:Y29" si="8">IF(E18&gt;0,IF((E20/E18*100)&gt;30,"ABVAR",""),"")</f>
        <v/>
      </c>
      <c r="F29" s="463" t="str">
        <f t="shared" si="8"/>
        <v/>
      </c>
      <c r="G29" s="463" t="str">
        <f t="shared" si="8"/>
        <v/>
      </c>
      <c r="H29" s="463" t="str">
        <f t="shared" si="8"/>
        <v/>
      </c>
      <c r="I29" s="463" t="str">
        <f t="shared" si="8"/>
        <v/>
      </c>
      <c r="J29" s="463" t="str">
        <f t="shared" si="8"/>
        <v/>
      </c>
      <c r="K29" s="463" t="str">
        <f t="shared" si="8"/>
        <v/>
      </c>
      <c r="L29" s="463" t="str">
        <f t="shared" si="8"/>
        <v/>
      </c>
      <c r="M29" s="463" t="str">
        <f t="shared" si="8"/>
        <v/>
      </c>
      <c r="N29" s="463" t="str">
        <f t="shared" si="8"/>
        <v/>
      </c>
      <c r="O29" s="463" t="str">
        <f t="shared" si="8"/>
        <v/>
      </c>
      <c r="P29" s="463" t="str">
        <f t="shared" si="8"/>
        <v/>
      </c>
      <c r="Q29" s="463" t="str">
        <f t="shared" si="8"/>
        <v/>
      </c>
      <c r="R29" s="463" t="str">
        <f t="shared" si="8"/>
        <v/>
      </c>
      <c r="S29" s="463" t="str">
        <f t="shared" si="8"/>
        <v/>
      </c>
      <c r="T29" s="463" t="str">
        <f t="shared" si="8"/>
        <v/>
      </c>
      <c r="U29" s="463" t="str">
        <f t="shared" si="8"/>
        <v/>
      </c>
      <c r="V29" s="463" t="str">
        <f t="shared" si="8"/>
        <v/>
      </c>
      <c r="W29" s="463" t="str">
        <f t="shared" si="8"/>
        <v/>
      </c>
      <c r="X29" s="463" t="str">
        <f t="shared" si="8"/>
        <v/>
      </c>
      <c r="Y29" s="463" t="str">
        <f t="shared" si="8"/>
        <v/>
      </c>
    </row>
    <row r="30" spans="1:26" ht="24.95" customHeight="1" x14ac:dyDescent="0.25">
      <c r="A30" s="595" t="s">
        <v>1596</v>
      </c>
      <c r="B30" s="596"/>
      <c r="C30" s="597"/>
      <c r="D30" s="463" t="str">
        <f>IF(D25&gt;0,IF((D24/D25*100)&gt;10,"ABVAR",""),"")</f>
        <v/>
      </c>
      <c r="E30" s="463" t="str">
        <f t="shared" ref="E30:Y30" si="9">IF(E25&gt;0,IF((E24/E25*100)&gt;10,"ABVAR",""),"")</f>
        <v/>
      </c>
      <c r="F30" s="463" t="str">
        <f t="shared" si="9"/>
        <v/>
      </c>
      <c r="G30" s="463" t="str">
        <f t="shared" si="9"/>
        <v/>
      </c>
      <c r="H30" s="463" t="str">
        <f t="shared" si="9"/>
        <v/>
      </c>
      <c r="I30" s="463" t="str">
        <f t="shared" si="9"/>
        <v/>
      </c>
      <c r="J30" s="463" t="str">
        <f t="shared" si="9"/>
        <v/>
      </c>
      <c r="K30" s="463" t="str">
        <f t="shared" si="9"/>
        <v/>
      </c>
      <c r="L30" s="463" t="str">
        <f t="shared" si="9"/>
        <v/>
      </c>
      <c r="M30" s="463" t="str">
        <f t="shared" si="9"/>
        <v/>
      </c>
      <c r="N30" s="463" t="str">
        <f t="shared" si="9"/>
        <v/>
      </c>
      <c r="O30" s="463" t="str">
        <f t="shared" si="9"/>
        <v/>
      </c>
      <c r="P30" s="463" t="str">
        <f t="shared" si="9"/>
        <v/>
      </c>
      <c r="Q30" s="463" t="str">
        <f t="shared" si="9"/>
        <v/>
      </c>
      <c r="R30" s="463" t="str">
        <f t="shared" si="9"/>
        <v/>
      </c>
      <c r="S30" s="463" t="str">
        <f t="shared" si="9"/>
        <v/>
      </c>
      <c r="T30" s="463" t="str">
        <f t="shared" si="9"/>
        <v/>
      </c>
      <c r="U30" s="463" t="str">
        <f t="shared" si="9"/>
        <v/>
      </c>
      <c r="V30" s="463" t="str">
        <f t="shared" si="9"/>
        <v/>
      </c>
      <c r="W30" s="463" t="str">
        <f t="shared" si="9"/>
        <v/>
      </c>
      <c r="X30" s="463" t="str">
        <f t="shared" si="9"/>
        <v/>
      </c>
      <c r="Y30" s="463" t="str">
        <f t="shared" si="9"/>
        <v/>
      </c>
    </row>
    <row r="200" spans="53:79" x14ac:dyDescent="0.25">
      <c r="BA200" s="141" t="str">
        <f>A1</f>
        <v>Goa, , ADSI-2021</v>
      </c>
      <c r="BB200" s="141"/>
    </row>
    <row r="201" spans="53:79" x14ac:dyDescent="0.25">
      <c r="BA201" s="141" t="str">
        <f>A2</f>
        <v>Errors</v>
      </c>
      <c r="BB201" s="309">
        <f>C2</f>
        <v>0</v>
      </c>
      <c r="BD201" s="472" t="str">
        <f>E2</f>
        <v>Abnormal Variations</v>
      </c>
      <c r="BE201" s="141">
        <f>F2</f>
        <v>9</v>
      </c>
    </row>
    <row r="202" spans="53:79" x14ac:dyDescent="0.25">
      <c r="BA202" s="141" t="str">
        <f>A3</f>
        <v>Proforma–XVIII</v>
      </c>
      <c r="BB202" s="132"/>
      <c r="BC202" s="132"/>
      <c r="BD202" s="132"/>
      <c r="BE202" s="132"/>
      <c r="BF202" s="132"/>
      <c r="BG202" s="132"/>
      <c r="BH202" s="132"/>
      <c r="BI202" s="132"/>
      <c r="BJ202" s="132"/>
      <c r="BK202" s="132"/>
      <c r="BL202" s="132"/>
      <c r="BN202" s="132"/>
      <c r="BO202" s="132"/>
      <c r="BP202" s="132"/>
      <c r="BQ202" s="132"/>
      <c r="BR202" s="132"/>
      <c r="BS202" s="132"/>
      <c r="BT202" s="132"/>
      <c r="BU202" s="132"/>
      <c r="BV202" s="132"/>
      <c r="BW202" s="132"/>
      <c r="BX202" s="132"/>
      <c r="BY202" s="132"/>
      <c r="BZ202" s="132"/>
      <c r="CA202" s="132"/>
    </row>
    <row r="203" spans="53:79" x14ac:dyDescent="0.25">
      <c r="BA203" s="141" t="str">
        <f>A4</f>
        <v>Distribution of Suicides by Means Adopted</v>
      </c>
      <c r="BB203" s="132"/>
      <c r="BC203" s="132"/>
      <c r="BD203" s="132"/>
      <c r="BE203" s="132"/>
      <c r="BF203" s="132"/>
      <c r="BG203" s="132"/>
      <c r="BH203" s="132"/>
      <c r="BI203" s="132"/>
      <c r="BJ203" s="132"/>
      <c r="BK203" s="132"/>
      <c r="BN203" s="132"/>
      <c r="BO203" s="132"/>
      <c r="BP203" s="132"/>
      <c r="BQ203" s="132"/>
      <c r="BR203" s="132"/>
      <c r="BS203" s="132"/>
      <c r="BT203" s="132"/>
      <c r="BU203" s="132"/>
      <c r="BV203" s="132"/>
      <c r="BW203" s="132"/>
      <c r="BX203" s="132"/>
      <c r="BY203" s="132"/>
      <c r="BZ203" s="132"/>
      <c r="CA203" s="132"/>
    </row>
    <row r="204" spans="53:79" ht="15" customHeight="1" x14ac:dyDescent="0.25">
      <c r="BA204" s="602" t="str">
        <f>B5</f>
        <v>Sl. No.</v>
      </c>
      <c r="BB204" s="602" t="str">
        <f>C5</f>
        <v>Causes</v>
      </c>
      <c r="BC204" s="647" t="str">
        <f>D5</f>
        <v>Number of Suicidal Deaths</v>
      </c>
      <c r="BD204" s="647"/>
      <c r="BE204" s="647"/>
      <c r="BF204" s="647"/>
      <c r="BG204" s="647"/>
      <c r="BH204" s="647"/>
      <c r="BI204" s="647"/>
      <c r="BJ204" s="647"/>
      <c r="BK204" s="647"/>
      <c r="BL204" s="647"/>
      <c r="BM204" s="647"/>
      <c r="BN204" s="647"/>
      <c r="BO204" s="647"/>
      <c r="BP204" s="647"/>
      <c r="BQ204" s="620" t="s">
        <v>139</v>
      </c>
      <c r="BR204" s="620"/>
      <c r="BS204" s="620"/>
      <c r="BT204" s="620"/>
      <c r="BU204" s="620"/>
      <c r="BV204" s="620"/>
      <c r="BW204" s="621"/>
      <c r="BX204" s="602" t="str">
        <f>Y5</f>
        <v>Grand Total 
[col. (9)+(16)+(23)]</v>
      </c>
      <c r="BY204" s="132"/>
      <c r="BZ204" s="132"/>
      <c r="CA204" s="132"/>
    </row>
    <row r="205" spans="53:79" x14ac:dyDescent="0.25">
      <c r="BA205" s="603"/>
      <c r="BB205" s="603"/>
      <c r="BC205" s="619" t="str">
        <f t="shared" ref="BC205:BC224" si="10">D6</f>
        <v>Male</v>
      </c>
      <c r="BD205" s="620"/>
      <c r="BE205" s="620"/>
      <c r="BF205" s="620"/>
      <c r="BG205" s="620"/>
      <c r="BH205" s="620"/>
      <c r="BI205" s="621"/>
      <c r="BJ205" s="619" t="str">
        <f t="shared" ref="BJ205:BJ224" si="11">K6</f>
        <v>Female</v>
      </c>
      <c r="BK205" s="620"/>
      <c r="BL205" s="620"/>
      <c r="BM205" s="620"/>
      <c r="BN205" s="620"/>
      <c r="BO205" s="620"/>
      <c r="BP205" s="621"/>
      <c r="BQ205" s="619" t="str">
        <f t="shared" ref="BQ205:BQ224" si="12">R6</f>
        <v>Transgender</v>
      </c>
      <c r="BR205" s="620"/>
      <c r="BS205" s="620"/>
      <c r="BT205" s="620"/>
      <c r="BU205" s="620"/>
      <c r="BV205" s="620"/>
      <c r="BW205" s="621"/>
      <c r="BX205" s="603"/>
      <c r="BY205" s="132"/>
      <c r="BZ205" s="132"/>
      <c r="CA205" s="132"/>
    </row>
    <row r="206" spans="53:79" ht="51" x14ac:dyDescent="0.25">
      <c r="BA206" s="604"/>
      <c r="BB206" s="604"/>
      <c r="BC206" s="174" t="str">
        <f t="shared" si="10"/>
        <v>below 14 years</v>
      </c>
      <c r="BD206" s="174" t="str">
        <f t="shared" ref="BD206:BD224" si="13">E7</f>
        <v>14 and above – below 18 yrs</v>
      </c>
      <c r="BE206" s="174" t="str">
        <f t="shared" ref="BE206:BE224" si="14">F7</f>
        <v>18 and above – below 30 years</v>
      </c>
      <c r="BF206" s="174" t="str">
        <f t="shared" ref="BF206:BF224" si="15">G7</f>
        <v>30 and above – below 45 years</v>
      </c>
      <c r="BG206" s="174" t="str">
        <f t="shared" ref="BG206:BG224" si="16">H7</f>
        <v>45 and above – below 60 years</v>
      </c>
      <c r="BH206" s="174" t="str">
        <f t="shared" ref="BH206:BH224" si="17">I7</f>
        <v>60 years &amp; above</v>
      </c>
      <c r="BI206" s="174" t="str">
        <f t="shared" ref="BI206:BI224" si="18">J7</f>
        <v xml:space="preserve"> Total [sum of (3) to (8)]</v>
      </c>
      <c r="BJ206" s="174" t="str">
        <f t="shared" si="11"/>
        <v>below 14 years</v>
      </c>
      <c r="BK206" s="174" t="str">
        <f t="shared" ref="BK206:BK224" si="19">L7</f>
        <v>14 and above – below 18 yrs</v>
      </c>
      <c r="BL206" s="174" t="str">
        <f t="shared" ref="BL206:BL224" si="20">M7</f>
        <v>18 and above – below 30 years</v>
      </c>
      <c r="BM206" s="174" t="str">
        <f t="shared" ref="BM206:BM224" si="21">N7</f>
        <v>30 and above – below 45 years</v>
      </c>
      <c r="BN206" s="174" t="str">
        <f t="shared" ref="BN206:BN224" si="22">O7</f>
        <v>45 and above – below 60 years</v>
      </c>
      <c r="BO206" s="174" t="str">
        <f t="shared" ref="BO206:BO224" si="23">P7</f>
        <v>60 years &amp; above</v>
      </c>
      <c r="BP206" s="174" t="str">
        <f t="shared" ref="BP206:BP224" si="24">Q7</f>
        <v>Total 
[sum of (10) to (15)]</v>
      </c>
      <c r="BQ206" s="174" t="str">
        <f t="shared" si="12"/>
        <v>below 14 years</v>
      </c>
      <c r="BR206" s="174" t="str">
        <f t="shared" ref="BR206:BR224" si="25">S7</f>
        <v>14 and above – below 18 yrs</v>
      </c>
      <c r="BS206" s="174" t="str">
        <f t="shared" ref="BS206:BS224" si="26">T7</f>
        <v>18 and above – below 30 years</v>
      </c>
      <c r="BT206" s="174" t="str">
        <f t="shared" ref="BT206:BT224" si="27">U7</f>
        <v>30 and above – below 45 years</v>
      </c>
      <c r="BU206" s="174" t="str">
        <f t="shared" ref="BU206:BU224" si="28">V7</f>
        <v>45 and above – below 60 years</v>
      </c>
      <c r="BV206" s="174" t="str">
        <f t="shared" ref="BV206:BV224" si="29">W7</f>
        <v>60 years &amp; above</v>
      </c>
      <c r="BW206" s="174" t="str">
        <f t="shared" ref="BW206:BW224" si="30">X7</f>
        <v>Total 
[sum of (17) to (22)]</v>
      </c>
      <c r="BX206" s="604"/>
      <c r="BY206" s="132"/>
      <c r="BZ206" s="132"/>
      <c r="CA206" s="132"/>
    </row>
    <row r="207" spans="53:79" x14ac:dyDescent="0.25">
      <c r="BA207" s="174" t="str">
        <f t="shared" ref="BA207:BA224" si="31">B8</f>
        <v>(1)</v>
      </c>
      <c r="BB207" s="174" t="str">
        <f t="shared" ref="BB207:BB224" si="32">C8</f>
        <v>(2)</v>
      </c>
      <c r="BC207" s="174" t="str">
        <f t="shared" si="10"/>
        <v>(3)</v>
      </c>
      <c r="BD207" s="174" t="str">
        <f t="shared" si="13"/>
        <v>(4)</v>
      </c>
      <c r="BE207" s="174" t="str">
        <f t="shared" si="14"/>
        <v>(5)</v>
      </c>
      <c r="BF207" s="174" t="str">
        <f t="shared" si="15"/>
        <v>(6)</v>
      </c>
      <c r="BG207" s="174" t="str">
        <f t="shared" si="16"/>
        <v>(7)</v>
      </c>
      <c r="BH207" s="174" t="str">
        <f t="shared" si="17"/>
        <v>(8)</v>
      </c>
      <c r="BI207" s="174" t="str">
        <f t="shared" si="18"/>
        <v>(9)</v>
      </c>
      <c r="BJ207" s="174" t="str">
        <f t="shared" si="11"/>
        <v>(10)</v>
      </c>
      <c r="BK207" s="174" t="str">
        <f t="shared" si="19"/>
        <v>(11)</v>
      </c>
      <c r="BL207" s="174" t="str">
        <f t="shared" si="20"/>
        <v>(12)</v>
      </c>
      <c r="BM207" s="174" t="str">
        <f t="shared" si="21"/>
        <v>(13)</v>
      </c>
      <c r="BN207" s="174" t="str">
        <f t="shared" si="22"/>
        <v>(14)</v>
      </c>
      <c r="BO207" s="174" t="str">
        <f t="shared" si="23"/>
        <v>(15)</v>
      </c>
      <c r="BP207" s="174" t="str">
        <f t="shared" si="24"/>
        <v>(16)</v>
      </c>
      <c r="BQ207" s="174" t="str">
        <f t="shared" si="12"/>
        <v>(17)</v>
      </c>
      <c r="BR207" s="174" t="str">
        <f t="shared" si="25"/>
        <v>(18)</v>
      </c>
      <c r="BS207" s="174" t="str">
        <f t="shared" si="26"/>
        <v>(19)</v>
      </c>
      <c r="BT207" s="174" t="str">
        <f t="shared" si="27"/>
        <v>(20)</v>
      </c>
      <c r="BU207" s="174" t="str">
        <f t="shared" si="28"/>
        <v>(21)</v>
      </c>
      <c r="BV207" s="174" t="str">
        <f t="shared" si="29"/>
        <v>(22)</v>
      </c>
      <c r="BW207" s="174" t="str">
        <f t="shared" si="30"/>
        <v>(23)</v>
      </c>
      <c r="BX207" s="174" t="str">
        <f t="shared" ref="BX207:BX224" si="33">Y8</f>
        <v>(24)</v>
      </c>
      <c r="BY207" s="132"/>
      <c r="BZ207" s="132"/>
      <c r="CA207" s="132"/>
    </row>
    <row r="208" spans="53:79" x14ac:dyDescent="0.25">
      <c r="BA208" s="175">
        <f t="shared" si="31"/>
        <v>1</v>
      </c>
      <c r="BB208" s="136" t="str">
        <f t="shared" si="32"/>
        <v>By consuming Sleeping Pills</v>
      </c>
      <c r="BC208" s="136">
        <f t="shared" si="10"/>
        <v>0</v>
      </c>
      <c r="BD208" s="136">
        <f t="shared" si="13"/>
        <v>0</v>
      </c>
      <c r="BE208" s="136">
        <f t="shared" si="14"/>
        <v>0</v>
      </c>
      <c r="BF208" s="136">
        <f t="shared" si="15"/>
        <v>0</v>
      </c>
      <c r="BG208" s="136">
        <f t="shared" si="16"/>
        <v>0</v>
      </c>
      <c r="BH208" s="136">
        <f t="shared" si="17"/>
        <v>0</v>
      </c>
      <c r="BI208" s="136">
        <f t="shared" si="18"/>
        <v>0</v>
      </c>
      <c r="BJ208" s="136">
        <f t="shared" si="11"/>
        <v>0</v>
      </c>
      <c r="BK208" s="136">
        <f t="shared" si="19"/>
        <v>0</v>
      </c>
      <c r="BL208" s="136">
        <f t="shared" si="20"/>
        <v>0</v>
      </c>
      <c r="BM208" s="136">
        <f t="shared" si="21"/>
        <v>0</v>
      </c>
      <c r="BN208" s="136">
        <f t="shared" si="22"/>
        <v>0</v>
      </c>
      <c r="BO208" s="136">
        <f t="shared" si="23"/>
        <v>0</v>
      </c>
      <c r="BP208" s="136">
        <f t="shared" si="24"/>
        <v>0</v>
      </c>
      <c r="BQ208" s="136">
        <f t="shared" si="12"/>
        <v>0</v>
      </c>
      <c r="BR208" s="136">
        <f t="shared" si="25"/>
        <v>0</v>
      </c>
      <c r="BS208" s="136">
        <f t="shared" si="26"/>
        <v>0</v>
      </c>
      <c r="BT208" s="136">
        <f t="shared" si="27"/>
        <v>0</v>
      </c>
      <c r="BU208" s="136">
        <f t="shared" si="28"/>
        <v>0</v>
      </c>
      <c r="BV208" s="136">
        <f t="shared" si="29"/>
        <v>0</v>
      </c>
      <c r="BW208" s="136">
        <f t="shared" si="30"/>
        <v>0</v>
      </c>
      <c r="BX208" s="136">
        <f t="shared" si="33"/>
        <v>0</v>
      </c>
      <c r="BY208" s="132"/>
      <c r="BZ208" s="132"/>
      <c r="CA208" s="132"/>
    </row>
    <row r="209" spans="53:79" x14ac:dyDescent="0.25">
      <c r="BA209" s="175">
        <f t="shared" si="31"/>
        <v>2</v>
      </c>
      <c r="BB209" s="136" t="str">
        <f t="shared" si="32"/>
        <v>By Drowning</v>
      </c>
      <c r="BC209" s="136">
        <f t="shared" si="10"/>
        <v>0</v>
      </c>
      <c r="BD209" s="136">
        <f t="shared" si="13"/>
        <v>1</v>
      </c>
      <c r="BE209" s="136">
        <f t="shared" si="14"/>
        <v>2</v>
      </c>
      <c r="BF209" s="136">
        <f t="shared" si="15"/>
        <v>10</v>
      </c>
      <c r="BG209" s="136">
        <f t="shared" si="16"/>
        <v>9</v>
      </c>
      <c r="BH209" s="136">
        <f t="shared" si="17"/>
        <v>1</v>
      </c>
      <c r="BI209" s="136">
        <f t="shared" si="18"/>
        <v>23</v>
      </c>
      <c r="BJ209" s="136">
        <f t="shared" si="11"/>
        <v>0</v>
      </c>
      <c r="BK209" s="136">
        <f t="shared" si="19"/>
        <v>1</v>
      </c>
      <c r="BL209" s="136">
        <f t="shared" si="20"/>
        <v>3</v>
      </c>
      <c r="BM209" s="136">
        <f t="shared" si="21"/>
        <v>1</v>
      </c>
      <c r="BN209" s="136">
        <f t="shared" si="22"/>
        <v>2</v>
      </c>
      <c r="BO209" s="136">
        <f t="shared" si="23"/>
        <v>0</v>
      </c>
      <c r="BP209" s="136">
        <f t="shared" si="24"/>
        <v>7</v>
      </c>
      <c r="BQ209" s="136">
        <f t="shared" si="12"/>
        <v>0</v>
      </c>
      <c r="BR209" s="136">
        <f t="shared" si="25"/>
        <v>0</v>
      </c>
      <c r="BS209" s="136">
        <f t="shared" si="26"/>
        <v>0</v>
      </c>
      <c r="BT209" s="136">
        <f t="shared" si="27"/>
        <v>0</v>
      </c>
      <c r="BU209" s="136">
        <f t="shared" si="28"/>
        <v>0</v>
      </c>
      <c r="BV209" s="136">
        <f t="shared" si="29"/>
        <v>0</v>
      </c>
      <c r="BW209" s="136">
        <f t="shared" si="30"/>
        <v>0</v>
      </c>
      <c r="BX209" s="136">
        <f t="shared" si="33"/>
        <v>30</v>
      </c>
      <c r="BY209" s="132"/>
      <c r="BZ209" s="132"/>
      <c r="CA209" s="132"/>
    </row>
    <row r="210" spans="53:79" x14ac:dyDescent="0.25">
      <c r="BA210" s="175">
        <f t="shared" si="31"/>
        <v>3</v>
      </c>
      <c r="BB210" s="136" t="str">
        <f t="shared" si="32"/>
        <v>By Fire/Self Immolation</v>
      </c>
      <c r="BC210" s="136">
        <f t="shared" si="10"/>
        <v>0</v>
      </c>
      <c r="BD210" s="136">
        <f t="shared" si="13"/>
        <v>0</v>
      </c>
      <c r="BE210" s="136">
        <f t="shared" si="14"/>
        <v>0</v>
      </c>
      <c r="BF210" s="136">
        <f t="shared" si="15"/>
        <v>0</v>
      </c>
      <c r="BG210" s="136">
        <f t="shared" si="16"/>
        <v>2</v>
      </c>
      <c r="BH210" s="136">
        <f t="shared" si="17"/>
        <v>1</v>
      </c>
      <c r="BI210" s="136">
        <f t="shared" si="18"/>
        <v>3</v>
      </c>
      <c r="BJ210" s="136">
        <f t="shared" si="11"/>
        <v>0</v>
      </c>
      <c r="BK210" s="136">
        <f t="shared" si="19"/>
        <v>0</v>
      </c>
      <c r="BL210" s="136">
        <f t="shared" si="20"/>
        <v>0</v>
      </c>
      <c r="BM210" s="136">
        <f t="shared" si="21"/>
        <v>1</v>
      </c>
      <c r="BN210" s="136">
        <f t="shared" si="22"/>
        <v>0</v>
      </c>
      <c r="BO210" s="136">
        <f t="shared" si="23"/>
        <v>2</v>
      </c>
      <c r="BP210" s="136">
        <f t="shared" si="24"/>
        <v>3</v>
      </c>
      <c r="BQ210" s="136">
        <f t="shared" si="12"/>
        <v>0</v>
      </c>
      <c r="BR210" s="136">
        <f t="shared" si="25"/>
        <v>0</v>
      </c>
      <c r="BS210" s="136">
        <f t="shared" si="26"/>
        <v>0</v>
      </c>
      <c r="BT210" s="136">
        <f t="shared" si="27"/>
        <v>0</v>
      </c>
      <c r="BU210" s="136">
        <f t="shared" si="28"/>
        <v>0</v>
      </c>
      <c r="BV210" s="136">
        <f t="shared" si="29"/>
        <v>0</v>
      </c>
      <c r="BW210" s="136">
        <f t="shared" si="30"/>
        <v>0</v>
      </c>
      <c r="BX210" s="136">
        <f t="shared" si="33"/>
        <v>6</v>
      </c>
      <c r="BY210" s="132"/>
      <c r="BZ210" s="132"/>
      <c r="CA210" s="132"/>
    </row>
    <row r="211" spans="53:79" x14ac:dyDescent="0.25">
      <c r="BA211" s="175">
        <f t="shared" si="31"/>
        <v>4</v>
      </c>
      <c r="BB211" s="136" t="str">
        <f t="shared" si="32"/>
        <v>By Firearms</v>
      </c>
      <c r="BC211" s="136">
        <f t="shared" si="10"/>
        <v>0</v>
      </c>
      <c r="BD211" s="136">
        <f t="shared" si="13"/>
        <v>0</v>
      </c>
      <c r="BE211" s="136">
        <f t="shared" si="14"/>
        <v>0</v>
      </c>
      <c r="BF211" s="136">
        <f t="shared" si="15"/>
        <v>0</v>
      </c>
      <c r="BG211" s="136">
        <f t="shared" si="16"/>
        <v>0</v>
      </c>
      <c r="BH211" s="136">
        <f t="shared" si="17"/>
        <v>0</v>
      </c>
      <c r="BI211" s="136">
        <f t="shared" si="18"/>
        <v>0</v>
      </c>
      <c r="BJ211" s="136">
        <f t="shared" si="11"/>
        <v>0</v>
      </c>
      <c r="BK211" s="136">
        <f t="shared" si="19"/>
        <v>0</v>
      </c>
      <c r="BL211" s="136">
        <f t="shared" si="20"/>
        <v>0</v>
      </c>
      <c r="BM211" s="136">
        <f t="shared" si="21"/>
        <v>0</v>
      </c>
      <c r="BN211" s="136">
        <f t="shared" si="22"/>
        <v>0</v>
      </c>
      <c r="BO211" s="136">
        <f t="shared" si="23"/>
        <v>0</v>
      </c>
      <c r="BP211" s="136">
        <f t="shared" si="24"/>
        <v>0</v>
      </c>
      <c r="BQ211" s="136">
        <f t="shared" si="12"/>
        <v>0</v>
      </c>
      <c r="BR211" s="136">
        <f t="shared" si="25"/>
        <v>0</v>
      </c>
      <c r="BS211" s="136">
        <f t="shared" si="26"/>
        <v>0</v>
      </c>
      <c r="BT211" s="136">
        <f t="shared" si="27"/>
        <v>0</v>
      </c>
      <c r="BU211" s="136">
        <f t="shared" si="28"/>
        <v>0</v>
      </c>
      <c r="BV211" s="136">
        <f t="shared" si="29"/>
        <v>0</v>
      </c>
      <c r="BW211" s="136">
        <f t="shared" si="30"/>
        <v>0</v>
      </c>
      <c r="BX211" s="136">
        <f t="shared" si="33"/>
        <v>0</v>
      </c>
    </row>
    <row r="212" spans="53:79" x14ac:dyDescent="0.25">
      <c r="BA212" s="175">
        <f t="shared" si="31"/>
        <v>5</v>
      </c>
      <c r="BB212" s="136" t="str">
        <f t="shared" si="32"/>
        <v>By Hanging</v>
      </c>
      <c r="BC212" s="136">
        <f t="shared" si="10"/>
        <v>2</v>
      </c>
      <c r="BD212" s="136">
        <f t="shared" si="13"/>
        <v>5</v>
      </c>
      <c r="BE212" s="136">
        <f t="shared" si="14"/>
        <v>57</v>
      </c>
      <c r="BF212" s="136">
        <f t="shared" si="15"/>
        <v>64</v>
      </c>
      <c r="BG212" s="136">
        <f t="shared" si="16"/>
        <v>63</v>
      </c>
      <c r="BH212" s="136">
        <f t="shared" si="17"/>
        <v>13</v>
      </c>
      <c r="BI212" s="136">
        <f t="shared" si="18"/>
        <v>204</v>
      </c>
      <c r="BJ212" s="136">
        <f t="shared" si="11"/>
        <v>1</v>
      </c>
      <c r="BK212" s="136">
        <f t="shared" si="19"/>
        <v>3</v>
      </c>
      <c r="BL212" s="136">
        <f t="shared" si="20"/>
        <v>12</v>
      </c>
      <c r="BM212" s="136">
        <f t="shared" si="21"/>
        <v>16</v>
      </c>
      <c r="BN212" s="136">
        <f t="shared" si="22"/>
        <v>6</v>
      </c>
      <c r="BO212" s="136">
        <f t="shared" si="23"/>
        <v>11</v>
      </c>
      <c r="BP212" s="136">
        <f t="shared" si="24"/>
        <v>49</v>
      </c>
      <c r="BQ212" s="136">
        <f t="shared" si="12"/>
        <v>0</v>
      </c>
      <c r="BR212" s="136">
        <f t="shared" si="25"/>
        <v>0</v>
      </c>
      <c r="BS212" s="136">
        <f t="shared" si="26"/>
        <v>0</v>
      </c>
      <c r="BT212" s="136">
        <f t="shared" si="27"/>
        <v>0</v>
      </c>
      <c r="BU212" s="136">
        <f t="shared" si="28"/>
        <v>0</v>
      </c>
      <c r="BV212" s="136">
        <f t="shared" si="29"/>
        <v>0</v>
      </c>
      <c r="BW212" s="136">
        <f t="shared" si="30"/>
        <v>0</v>
      </c>
      <c r="BX212" s="136">
        <f t="shared" si="33"/>
        <v>253</v>
      </c>
    </row>
    <row r="213" spans="53:79" x14ac:dyDescent="0.25">
      <c r="BA213" s="175">
        <f t="shared" si="31"/>
        <v>6</v>
      </c>
      <c r="BB213" s="136" t="str">
        <f t="shared" si="32"/>
        <v>By Poison (sum of 6.1 &amp; 6.2)</v>
      </c>
      <c r="BC213" s="136">
        <f t="shared" si="10"/>
        <v>0</v>
      </c>
      <c r="BD213" s="136">
        <f t="shared" si="13"/>
        <v>0</v>
      </c>
      <c r="BE213" s="136">
        <f t="shared" si="14"/>
        <v>5</v>
      </c>
      <c r="BF213" s="136">
        <f t="shared" si="15"/>
        <v>3</v>
      </c>
      <c r="BG213" s="136">
        <f t="shared" si="16"/>
        <v>5</v>
      </c>
      <c r="BH213" s="136">
        <f t="shared" si="17"/>
        <v>1</v>
      </c>
      <c r="BI213" s="136">
        <f t="shared" si="18"/>
        <v>14</v>
      </c>
      <c r="BJ213" s="136">
        <f t="shared" si="11"/>
        <v>0</v>
      </c>
      <c r="BK213" s="136">
        <f t="shared" si="19"/>
        <v>0</v>
      </c>
      <c r="BL213" s="136">
        <f t="shared" si="20"/>
        <v>4</v>
      </c>
      <c r="BM213" s="136">
        <f t="shared" si="21"/>
        <v>3</v>
      </c>
      <c r="BN213" s="136">
        <f t="shared" si="22"/>
        <v>3</v>
      </c>
      <c r="BO213" s="136">
        <f t="shared" si="23"/>
        <v>3</v>
      </c>
      <c r="BP213" s="136">
        <f t="shared" si="24"/>
        <v>13</v>
      </c>
      <c r="BQ213" s="136">
        <f t="shared" si="12"/>
        <v>0</v>
      </c>
      <c r="BR213" s="136">
        <f t="shared" si="25"/>
        <v>0</v>
      </c>
      <c r="BS213" s="136">
        <f t="shared" si="26"/>
        <v>0</v>
      </c>
      <c r="BT213" s="136">
        <f t="shared" si="27"/>
        <v>0</v>
      </c>
      <c r="BU213" s="136">
        <f t="shared" si="28"/>
        <v>0</v>
      </c>
      <c r="BV213" s="136">
        <f t="shared" si="29"/>
        <v>0</v>
      </c>
      <c r="BW213" s="136">
        <f t="shared" si="30"/>
        <v>0</v>
      </c>
      <c r="BX213" s="136">
        <f t="shared" si="33"/>
        <v>27</v>
      </c>
    </row>
    <row r="214" spans="53:79" x14ac:dyDescent="0.25">
      <c r="BA214" s="175"/>
      <c r="BB214" s="521" t="str">
        <f t="shared" si="32"/>
        <v>6.1 By Consuming Insecticides</v>
      </c>
      <c r="BC214" s="136">
        <f t="shared" si="10"/>
        <v>0</v>
      </c>
      <c r="BD214" s="136">
        <f t="shared" si="13"/>
        <v>0</v>
      </c>
      <c r="BE214" s="136">
        <f t="shared" si="14"/>
        <v>2</v>
      </c>
      <c r="BF214" s="136">
        <f t="shared" si="15"/>
        <v>1</v>
      </c>
      <c r="BG214" s="136">
        <f t="shared" si="16"/>
        <v>0</v>
      </c>
      <c r="BH214" s="136">
        <f t="shared" si="17"/>
        <v>1</v>
      </c>
      <c r="BI214" s="136">
        <f t="shared" si="18"/>
        <v>4</v>
      </c>
      <c r="BJ214" s="136">
        <f t="shared" si="11"/>
        <v>0</v>
      </c>
      <c r="BK214" s="136">
        <f t="shared" si="19"/>
        <v>0</v>
      </c>
      <c r="BL214" s="136">
        <f t="shared" si="20"/>
        <v>2</v>
      </c>
      <c r="BM214" s="136">
        <f t="shared" si="21"/>
        <v>2</v>
      </c>
      <c r="BN214" s="136">
        <f t="shared" si="22"/>
        <v>1</v>
      </c>
      <c r="BO214" s="136">
        <f t="shared" si="23"/>
        <v>3</v>
      </c>
      <c r="BP214" s="136">
        <f t="shared" si="24"/>
        <v>8</v>
      </c>
      <c r="BQ214" s="136">
        <f t="shared" si="12"/>
        <v>0</v>
      </c>
      <c r="BR214" s="136">
        <f t="shared" si="25"/>
        <v>0</v>
      </c>
      <c r="BS214" s="136">
        <f t="shared" si="26"/>
        <v>0</v>
      </c>
      <c r="BT214" s="136">
        <f t="shared" si="27"/>
        <v>0</v>
      </c>
      <c r="BU214" s="136">
        <f t="shared" si="28"/>
        <v>0</v>
      </c>
      <c r="BV214" s="136">
        <f t="shared" si="29"/>
        <v>0</v>
      </c>
      <c r="BW214" s="136">
        <f t="shared" si="30"/>
        <v>0</v>
      </c>
      <c r="BX214" s="136">
        <f t="shared" si="33"/>
        <v>12</v>
      </c>
    </row>
    <row r="215" spans="53:79" x14ac:dyDescent="0.25">
      <c r="BA215" s="175"/>
      <c r="BB215" s="521" t="str">
        <f t="shared" si="32"/>
        <v>6.2 By Consuming other Poison</v>
      </c>
      <c r="BC215" s="136">
        <f t="shared" si="10"/>
        <v>0</v>
      </c>
      <c r="BD215" s="136">
        <f t="shared" si="13"/>
        <v>0</v>
      </c>
      <c r="BE215" s="136">
        <f t="shared" si="14"/>
        <v>3</v>
      </c>
      <c r="BF215" s="136">
        <f t="shared" si="15"/>
        <v>2</v>
      </c>
      <c r="BG215" s="136">
        <f t="shared" si="16"/>
        <v>5</v>
      </c>
      <c r="BH215" s="136">
        <f t="shared" si="17"/>
        <v>0</v>
      </c>
      <c r="BI215" s="136">
        <f t="shared" si="18"/>
        <v>10</v>
      </c>
      <c r="BJ215" s="136">
        <f t="shared" si="11"/>
        <v>0</v>
      </c>
      <c r="BK215" s="136">
        <f t="shared" si="19"/>
        <v>0</v>
      </c>
      <c r="BL215" s="136">
        <f t="shared" si="20"/>
        <v>2</v>
      </c>
      <c r="BM215" s="136">
        <f t="shared" si="21"/>
        <v>1</v>
      </c>
      <c r="BN215" s="136">
        <f t="shared" si="22"/>
        <v>2</v>
      </c>
      <c r="BO215" s="136">
        <f t="shared" si="23"/>
        <v>0</v>
      </c>
      <c r="BP215" s="136">
        <f t="shared" si="24"/>
        <v>5</v>
      </c>
      <c r="BQ215" s="136">
        <f t="shared" si="12"/>
        <v>0</v>
      </c>
      <c r="BR215" s="136">
        <f t="shared" si="25"/>
        <v>0</v>
      </c>
      <c r="BS215" s="136">
        <f t="shared" si="26"/>
        <v>0</v>
      </c>
      <c r="BT215" s="136">
        <f t="shared" si="27"/>
        <v>0</v>
      </c>
      <c r="BU215" s="136">
        <f t="shared" si="28"/>
        <v>0</v>
      </c>
      <c r="BV215" s="136">
        <f t="shared" si="29"/>
        <v>0</v>
      </c>
      <c r="BW215" s="136">
        <f t="shared" si="30"/>
        <v>0</v>
      </c>
      <c r="BX215" s="136">
        <f t="shared" si="33"/>
        <v>15</v>
      </c>
    </row>
    <row r="216" spans="53:79" x14ac:dyDescent="0.25">
      <c r="BA216" s="175">
        <f t="shared" si="31"/>
        <v>7</v>
      </c>
      <c r="BB216" s="136" t="str">
        <f t="shared" si="32"/>
        <v>By Self Inflicting  Injury</v>
      </c>
      <c r="BC216" s="136">
        <f t="shared" si="10"/>
        <v>0</v>
      </c>
      <c r="BD216" s="136">
        <f t="shared" si="13"/>
        <v>0</v>
      </c>
      <c r="BE216" s="136">
        <f t="shared" si="14"/>
        <v>0</v>
      </c>
      <c r="BF216" s="136">
        <f t="shared" si="15"/>
        <v>2</v>
      </c>
      <c r="BG216" s="136">
        <f t="shared" si="16"/>
        <v>0</v>
      </c>
      <c r="BH216" s="136">
        <f t="shared" si="17"/>
        <v>0</v>
      </c>
      <c r="BI216" s="136">
        <f t="shared" si="18"/>
        <v>2</v>
      </c>
      <c r="BJ216" s="136">
        <f t="shared" si="11"/>
        <v>0</v>
      </c>
      <c r="BK216" s="136">
        <f t="shared" si="19"/>
        <v>0</v>
      </c>
      <c r="BL216" s="136">
        <f t="shared" si="20"/>
        <v>0</v>
      </c>
      <c r="BM216" s="136">
        <f t="shared" si="21"/>
        <v>0</v>
      </c>
      <c r="BN216" s="136">
        <f t="shared" si="22"/>
        <v>0</v>
      </c>
      <c r="BO216" s="136">
        <f t="shared" si="23"/>
        <v>0</v>
      </c>
      <c r="BP216" s="136">
        <f t="shared" si="24"/>
        <v>0</v>
      </c>
      <c r="BQ216" s="136">
        <f t="shared" si="12"/>
        <v>0</v>
      </c>
      <c r="BR216" s="136">
        <f t="shared" si="25"/>
        <v>0</v>
      </c>
      <c r="BS216" s="136">
        <f t="shared" si="26"/>
        <v>0</v>
      </c>
      <c r="BT216" s="136">
        <f t="shared" si="27"/>
        <v>0</v>
      </c>
      <c r="BU216" s="136">
        <f t="shared" si="28"/>
        <v>0</v>
      </c>
      <c r="BV216" s="136">
        <f t="shared" si="29"/>
        <v>0</v>
      </c>
      <c r="BW216" s="136">
        <f t="shared" si="30"/>
        <v>0</v>
      </c>
      <c r="BX216" s="136">
        <f t="shared" si="33"/>
        <v>2</v>
      </c>
    </row>
    <row r="217" spans="53:79" x14ac:dyDescent="0.25">
      <c r="BA217" s="175">
        <f t="shared" si="31"/>
        <v>8</v>
      </c>
      <c r="BB217" s="136" t="str">
        <f t="shared" si="32"/>
        <v>By Jumping from (sum of 8.1 to 8.3)</v>
      </c>
      <c r="BC217" s="136">
        <f t="shared" si="10"/>
        <v>0</v>
      </c>
      <c r="BD217" s="136">
        <f t="shared" si="13"/>
        <v>0</v>
      </c>
      <c r="BE217" s="136">
        <f t="shared" si="14"/>
        <v>0</v>
      </c>
      <c r="BF217" s="136">
        <f t="shared" si="15"/>
        <v>0</v>
      </c>
      <c r="BG217" s="136">
        <f t="shared" si="16"/>
        <v>1</v>
      </c>
      <c r="BH217" s="136">
        <f t="shared" si="17"/>
        <v>0</v>
      </c>
      <c r="BI217" s="136">
        <f t="shared" si="18"/>
        <v>1</v>
      </c>
      <c r="BJ217" s="136">
        <f t="shared" si="11"/>
        <v>0</v>
      </c>
      <c r="BK217" s="136">
        <f t="shared" si="19"/>
        <v>0</v>
      </c>
      <c r="BL217" s="136">
        <f t="shared" si="20"/>
        <v>0</v>
      </c>
      <c r="BM217" s="136">
        <f t="shared" si="21"/>
        <v>0</v>
      </c>
      <c r="BN217" s="136">
        <f t="shared" si="22"/>
        <v>0</v>
      </c>
      <c r="BO217" s="136">
        <f t="shared" si="23"/>
        <v>0</v>
      </c>
      <c r="BP217" s="136">
        <f t="shared" si="24"/>
        <v>0</v>
      </c>
      <c r="BQ217" s="136">
        <f t="shared" si="12"/>
        <v>0</v>
      </c>
      <c r="BR217" s="136">
        <f t="shared" si="25"/>
        <v>0</v>
      </c>
      <c r="BS217" s="136">
        <f t="shared" si="26"/>
        <v>0</v>
      </c>
      <c r="BT217" s="136">
        <f t="shared" si="27"/>
        <v>0</v>
      </c>
      <c r="BU217" s="136">
        <f t="shared" si="28"/>
        <v>0</v>
      </c>
      <c r="BV217" s="136">
        <f t="shared" si="29"/>
        <v>0</v>
      </c>
      <c r="BW217" s="136">
        <f t="shared" si="30"/>
        <v>0</v>
      </c>
      <c r="BX217" s="136">
        <f t="shared" si="33"/>
        <v>1</v>
      </c>
    </row>
    <row r="218" spans="53:79" x14ac:dyDescent="0.25">
      <c r="BA218" s="175"/>
      <c r="BB218" s="521" t="str">
        <f t="shared" si="32"/>
        <v>8.1 Building</v>
      </c>
      <c r="BC218" s="136">
        <f t="shared" si="10"/>
        <v>0</v>
      </c>
      <c r="BD218" s="136">
        <f t="shared" si="13"/>
        <v>0</v>
      </c>
      <c r="BE218" s="136">
        <f t="shared" si="14"/>
        <v>0</v>
      </c>
      <c r="BF218" s="136">
        <f t="shared" si="15"/>
        <v>0</v>
      </c>
      <c r="BG218" s="136">
        <f t="shared" si="16"/>
        <v>1</v>
      </c>
      <c r="BH218" s="136">
        <f t="shared" si="17"/>
        <v>0</v>
      </c>
      <c r="BI218" s="136">
        <f t="shared" si="18"/>
        <v>1</v>
      </c>
      <c r="BJ218" s="136">
        <f t="shared" si="11"/>
        <v>0</v>
      </c>
      <c r="BK218" s="136">
        <f t="shared" si="19"/>
        <v>0</v>
      </c>
      <c r="BL218" s="136">
        <f t="shared" si="20"/>
        <v>0</v>
      </c>
      <c r="BM218" s="136">
        <f t="shared" si="21"/>
        <v>0</v>
      </c>
      <c r="BN218" s="136">
        <f t="shared" si="22"/>
        <v>0</v>
      </c>
      <c r="BO218" s="136">
        <f t="shared" si="23"/>
        <v>0</v>
      </c>
      <c r="BP218" s="136">
        <f t="shared" si="24"/>
        <v>0</v>
      </c>
      <c r="BQ218" s="136">
        <f t="shared" si="12"/>
        <v>0</v>
      </c>
      <c r="BR218" s="136">
        <f t="shared" si="25"/>
        <v>0</v>
      </c>
      <c r="BS218" s="136">
        <f t="shared" si="26"/>
        <v>0</v>
      </c>
      <c r="BT218" s="136">
        <f t="shared" si="27"/>
        <v>0</v>
      </c>
      <c r="BU218" s="136">
        <f t="shared" si="28"/>
        <v>0</v>
      </c>
      <c r="BV218" s="136">
        <f t="shared" si="29"/>
        <v>0</v>
      </c>
      <c r="BW218" s="136">
        <f t="shared" si="30"/>
        <v>0</v>
      </c>
      <c r="BX218" s="136">
        <f t="shared" si="33"/>
        <v>1</v>
      </c>
    </row>
    <row r="219" spans="53:79" x14ac:dyDescent="0.25">
      <c r="BA219" s="175"/>
      <c r="BB219" s="521" t="str">
        <f t="shared" si="32"/>
        <v>8.2 Other sites</v>
      </c>
      <c r="BC219" s="136">
        <f t="shared" si="10"/>
        <v>0</v>
      </c>
      <c r="BD219" s="136">
        <f t="shared" si="13"/>
        <v>0</v>
      </c>
      <c r="BE219" s="136">
        <f t="shared" si="14"/>
        <v>0</v>
      </c>
      <c r="BF219" s="136">
        <f t="shared" si="15"/>
        <v>0</v>
      </c>
      <c r="BG219" s="136">
        <f t="shared" si="16"/>
        <v>0</v>
      </c>
      <c r="BH219" s="136">
        <f t="shared" si="17"/>
        <v>0</v>
      </c>
      <c r="BI219" s="136">
        <f t="shared" si="18"/>
        <v>0</v>
      </c>
      <c r="BJ219" s="136">
        <f t="shared" si="11"/>
        <v>0</v>
      </c>
      <c r="BK219" s="136">
        <f t="shared" si="19"/>
        <v>0</v>
      </c>
      <c r="BL219" s="136">
        <f t="shared" si="20"/>
        <v>0</v>
      </c>
      <c r="BM219" s="136">
        <f t="shared" si="21"/>
        <v>0</v>
      </c>
      <c r="BN219" s="136">
        <f t="shared" si="22"/>
        <v>0</v>
      </c>
      <c r="BO219" s="136">
        <f t="shared" si="23"/>
        <v>0</v>
      </c>
      <c r="BP219" s="136">
        <f t="shared" si="24"/>
        <v>0</v>
      </c>
      <c r="BQ219" s="136">
        <f t="shared" si="12"/>
        <v>0</v>
      </c>
      <c r="BR219" s="136">
        <f t="shared" si="25"/>
        <v>0</v>
      </c>
      <c r="BS219" s="136">
        <f t="shared" si="26"/>
        <v>0</v>
      </c>
      <c r="BT219" s="136">
        <f t="shared" si="27"/>
        <v>0</v>
      </c>
      <c r="BU219" s="136">
        <f t="shared" si="28"/>
        <v>0</v>
      </c>
      <c r="BV219" s="136">
        <f t="shared" si="29"/>
        <v>0</v>
      </c>
      <c r="BW219" s="136">
        <f t="shared" si="30"/>
        <v>0</v>
      </c>
      <c r="BX219" s="136">
        <f t="shared" si="33"/>
        <v>0</v>
      </c>
    </row>
    <row r="220" spans="53:79" x14ac:dyDescent="0.25">
      <c r="BA220" s="175"/>
      <c r="BB220" s="521" t="str">
        <f t="shared" si="32"/>
        <v>8.3 by Jumping off moving trains/ vehicles</v>
      </c>
      <c r="BC220" s="136">
        <f t="shared" si="10"/>
        <v>0</v>
      </c>
      <c r="BD220" s="136">
        <f t="shared" si="13"/>
        <v>0</v>
      </c>
      <c r="BE220" s="136">
        <f t="shared" si="14"/>
        <v>0</v>
      </c>
      <c r="BF220" s="136">
        <f t="shared" si="15"/>
        <v>0</v>
      </c>
      <c r="BG220" s="136">
        <f t="shared" si="16"/>
        <v>0</v>
      </c>
      <c r="BH220" s="136">
        <f t="shared" si="17"/>
        <v>0</v>
      </c>
      <c r="BI220" s="136">
        <f t="shared" si="18"/>
        <v>0</v>
      </c>
      <c r="BJ220" s="136">
        <f t="shared" si="11"/>
        <v>0</v>
      </c>
      <c r="BK220" s="136">
        <f t="shared" si="19"/>
        <v>0</v>
      </c>
      <c r="BL220" s="136">
        <f t="shared" si="20"/>
        <v>0</v>
      </c>
      <c r="BM220" s="136">
        <f t="shared" si="21"/>
        <v>0</v>
      </c>
      <c r="BN220" s="136">
        <f t="shared" si="22"/>
        <v>0</v>
      </c>
      <c r="BO220" s="136">
        <f t="shared" si="23"/>
        <v>0</v>
      </c>
      <c r="BP220" s="136">
        <f t="shared" si="24"/>
        <v>0</v>
      </c>
      <c r="BQ220" s="136">
        <f t="shared" si="12"/>
        <v>0</v>
      </c>
      <c r="BR220" s="136">
        <f t="shared" si="25"/>
        <v>0</v>
      </c>
      <c r="BS220" s="136">
        <f t="shared" si="26"/>
        <v>0</v>
      </c>
      <c r="BT220" s="136">
        <f t="shared" si="27"/>
        <v>0</v>
      </c>
      <c r="BU220" s="136">
        <f t="shared" si="28"/>
        <v>0</v>
      </c>
      <c r="BV220" s="136">
        <f t="shared" si="29"/>
        <v>0</v>
      </c>
      <c r="BW220" s="136">
        <f t="shared" si="30"/>
        <v>0</v>
      </c>
      <c r="BX220" s="136">
        <f t="shared" si="33"/>
        <v>0</v>
      </c>
    </row>
    <row r="221" spans="53:79" x14ac:dyDescent="0.25">
      <c r="BA221" s="175">
        <f t="shared" si="31"/>
        <v>9</v>
      </c>
      <c r="BB221" s="136" t="str">
        <f t="shared" si="32"/>
        <v>By Coming under running vehicles/trains</v>
      </c>
      <c r="BC221" s="136">
        <f t="shared" si="10"/>
        <v>0</v>
      </c>
      <c r="BD221" s="136">
        <f t="shared" si="13"/>
        <v>0</v>
      </c>
      <c r="BE221" s="136">
        <f t="shared" si="14"/>
        <v>1</v>
      </c>
      <c r="BF221" s="136">
        <f t="shared" si="15"/>
        <v>0</v>
      </c>
      <c r="BG221" s="136">
        <f t="shared" si="16"/>
        <v>1</v>
      </c>
      <c r="BH221" s="136">
        <f t="shared" si="17"/>
        <v>0</v>
      </c>
      <c r="BI221" s="136">
        <f t="shared" si="18"/>
        <v>2</v>
      </c>
      <c r="BJ221" s="136">
        <f t="shared" si="11"/>
        <v>0</v>
      </c>
      <c r="BK221" s="136">
        <f t="shared" si="19"/>
        <v>0</v>
      </c>
      <c r="BL221" s="136">
        <f t="shared" si="20"/>
        <v>0</v>
      </c>
      <c r="BM221" s="136">
        <f t="shared" si="21"/>
        <v>0</v>
      </c>
      <c r="BN221" s="136">
        <f t="shared" si="22"/>
        <v>0</v>
      </c>
      <c r="BO221" s="136">
        <f t="shared" si="23"/>
        <v>0</v>
      </c>
      <c r="BP221" s="136">
        <f t="shared" si="24"/>
        <v>0</v>
      </c>
      <c r="BQ221" s="136">
        <f t="shared" si="12"/>
        <v>0</v>
      </c>
      <c r="BR221" s="136">
        <f t="shared" si="25"/>
        <v>0</v>
      </c>
      <c r="BS221" s="136">
        <f t="shared" si="26"/>
        <v>0</v>
      </c>
      <c r="BT221" s="136">
        <f t="shared" si="27"/>
        <v>0</v>
      </c>
      <c r="BU221" s="136">
        <f t="shared" si="28"/>
        <v>0</v>
      </c>
      <c r="BV221" s="136">
        <f t="shared" si="29"/>
        <v>0</v>
      </c>
      <c r="BW221" s="136">
        <f t="shared" si="30"/>
        <v>0</v>
      </c>
      <c r="BX221" s="136">
        <f t="shared" si="33"/>
        <v>2</v>
      </c>
    </row>
    <row r="222" spans="53:79" x14ac:dyDescent="0.25">
      <c r="BA222" s="175">
        <f t="shared" si="31"/>
        <v>10</v>
      </c>
      <c r="BB222" s="136" t="str">
        <f t="shared" si="32"/>
        <v>By touching electric wire</v>
      </c>
      <c r="BC222" s="136">
        <f t="shared" si="10"/>
        <v>0</v>
      </c>
      <c r="BD222" s="136">
        <f t="shared" si="13"/>
        <v>0</v>
      </c>
      <c r="BE222" s="136">
        <f t="shared" si="14"/>
        <v>0</v>
      </c>
      <c r="BF222" s="136">
        <f t="shared" si="15"/>
        <v>0</v>
      </c>
      <c r="BG222" s="136">
        <f t="shared" si="16"/>
        <v>0</v>
      </c>
      <c r="BH222" s="136">
        <f t="shared" si="17"/>
        <v>0</v>
      </c>
      <c r="BI222" s="136">
        <f t="shared" si="18"/>
        <v>0</v>
      </c>
      <c r="BJ222" s="136">
        <f t="shared" si="11"/>
        <v>0</v>
      </c>
      <c r="BK222" s="136">
        <f t="shared" si="19"/>
        <v>0</v>
      </c>
      <c r="BL222" s="136">
        <f t="shared" si="20"/>
        <v>0</v>
      </c>
      <c r="BM222" s="136">
        <f t="shared" si="21"/>
        <v>0</v>
      </c>
      <c r="BN222" s="136">
        <f t="shared" si="22"/>
        <v>0</v>
      </c>
      <c r="BO222" s="136">
        <f t="shared" si="23"/>
        <v>0</v>
      </c>
      <c r="BP222" s="136">
        <f t="shared" si="24"/>
        <v>0</v>
      </c>
      <c r="BQ222" s="136">
        <f t="shared" si="12"/>
        <v>0</v>
      </c>
      <c r="BR222" s="136">
        <f t="shared" si="25"/>
        <v>0</v>
      </c>
      <c r="BS222" s="136">
        <f t="shared" si="26"/>
        <v>0</v>
      </c>
      <c r="BT222" s="136">
        <f t="shared" si="27"/>
        <v>0</v>
      </c>
      <c r="BU222" s="136">
        <f t="shared" si="28"/>
        <v>0</v>
      </c>
      <c r="BV222" s="136">
        <f t="shared" si="29"/>
        <v>0</v>
      </c>
      <c r="BW222" s="136">
        <f t="shared" si="30"/>
        <v>0</v>
      </c>
      <c r="BX222" s="136">
        <f t="shared" si="33"/>
        <v>0</v>
      </c>
    </row>
    <row r="223" spans="53:79" x14ac:dyDescent="0.25">
      <c r="BA223" s="175">
        <f t="shared" si="31"/>
        <v>11</v>
      </c>
      <c r="BB223" s="136" t="str">
        <f t="shared" si="32"/>
        <v>By Other Means</v>
      </c>
      <c r="BC223" s="136">
        <f t="shared" si="10"/>
        <v>0</v>
      </c>
      <c r="BD223" s="136">
        <f t="shared" si="13"/>
        <v>0</v>
      </c>
      <c r="BE223" s="136">
        <f t="shared" si="14"/>
        <v>0</v>
      </c>
      <c r="BF223" s="136">
        <f t="shared" si="15"/>
        <v>0</v>
      </c>
      <c r="BG223" s="136">
        <f t="shared" si="16"/>
        <v>0</v>
      </c>
      <c r="BH223" s="136">
        <f t="shared" si="17"/>
        <v>0</v>
      </c>
      <c r="BI223" s="136">
        <f t="shared" si="18"/>
        <v>0</v>
      </c>
      <c r="BJ223" s="136">
        <f t="shared" si="11"/>
        <v>0</v>
      </c>
      <c r="BK223" s="136">
        <f t="shared" si="19"/>
        <v>0</v>
      </c>
      <c r="BL223" s="136">
        <f t="shared" si="20"/>
        <v>0</v>
      </c>
      <c r="BM223" s="136">
        <f t="shared" si="21"/>
        <v>0</v>
      </c>
      <c r="BN223" s="136">
        <f t="shared" si="22"/>
        <v>0</v>
      </c>
      <c r="BO223" s="136">
        <f t="shared" si="23"/>
        <v>0</v>
      </c>
      <c r="BP223" s="136">
        <f t="shared" si="24"/>
        <v>0</v>
      </c>
      <c r="BQ223" s="136">
        <f t="shared" si="12"/>
        <v>0</v>
      </c>
      <c r="BR223" s="136">
        <f t="shared" si="25"/>
        <v>0</v>
      </c>
      <c r="BS223" s="136">
        <f t="shared" si="26"/>
        <v>0</v>
      </c>
      <c r="BT223" s="136">
        <f t="shared" si="27"/>
        <v>0</v>
      </c>
      <c r="BU223" s="136">
        <f t="shared" si="28"/>
        <v>0</v>
      </c>
      <c r="BV223" s="136">
        <f t="shared" si="29"/>
        <v>0</v>
      </c>
      <c r="BW223" s="136">
        <f t="shared" si="30"/>
        <v>0</v>
      </c>
      <c r="BX223" s="136">
        <f t="shared" si="33"/>
        <v>0</v>
      </c>
    </row>
    <row r="224" spans="53:79" x14ac:dyDescent="0.25">
      <c r="BA224" s="175">
        <f t="shared" si="31"/>
        <v>12</v>
      </c>
      <c r="BB224" s="136" t="str">
        <f t="shared" si="32"/>
        <v>Total (sum of Sl. 1 to 11)</v>
      </c>
      <c r="BC224" s="136">
        <f t="shared" si="10"/>
        <v>2</v>
      </c>
      <c r="BD224" s="136">
        <f t="shared" si="13"/>
        <v>6</v>
      </c>
      <c r="BE224" s="136">
        <f t="shared" si="14"/>
        <v>65</v>
      </c>
      <c r="BF224" s="136">
        <f t="shared" si="15"/>
        <v>79</v>
      </c>
      <c r="BG224" s="136">
        <f t="shared" si="16"/>
        <v>81</v>
      </c>
      <c r="BH224" s="136">
        <f t="shared" si="17"/>
        <v>16</v>
      </c>
      <c r="BI224" s="136">
        <f t="shared" si="18"/>
        <v>249</v>
      </c>
      <c r="BJ224" s="136">
        <f t="shared" si="11"/>
        <v>1</v>
      </c>
      <c r="BK224" s="136">
        <f t="shared" si="19"/>
        <v>4</v>
      </c>
      <c r="BL224" s="136">
        <f t="shared" si="20"/>
        <v>19</v>
      </c>
      <c r="BM224" s="136">
        <f t="shared" si="21"/>
        <v>21</v>
      </c>
      <c r="BN224" s="136">
        <f t="shared" si="22"/>
        <v>11</v>
      </c>
      <c r="BO224" s="136">
        <f t="shared" si="23"/>
        <v>16</v>
      </c>
      <c r="BP224" s="136">
        <f t="shared" si="24"/>
        <v>72</v>
      </c>
      <c r="BQ224" s="136">
        <f t="shared" si="12"/>
        <v>0</v>
      </c>
      <c r="BR224" s="136">
        <f t="shared" si="25"/>
        <v>0</v>
      </c>
      <c r="BS224" s="136">
        <f t="shared" si="26"/>
        <v>0</v>
      </c>
      <c r="BT224" s="136">
        <f t="shared" si="27"/>
        <v>0</v>
      </c>
      <c r="BU224" s="136">
        <f t="shared" si="28"/>
        <v>0</v>
      </c>
      <c r="BV224" s="136">
        <f t="shared" si="29"/>
        <v>0</v>
      </c>
      <c r="BW224" s="136">
        <f t="shared" si="30"/>
        <v>0</v>
      </c>
      <c r="BX224" s="136">
        <f t="shared" si="33"/>
        <v>321</v>
      </c>
    </row>
    <row r="225" spans="53:76" x14ac:dyDescent="0.25">
      <c r="BA225" s="136" t="str">
        <f>A26</f>
        <v xml:space="preserve"> PROFORMA–XIV VALUES [Sl.–21 (Total)]</v>
      </c>
      <c r="BB225" s="136"/>
      <c r="BC225" s="136">
        <f t="shared" ref="BC225:BC226" si="34">D26</f>
        <v>2</v>
      </c>
      <c r="BD225" s="136">
        <f t="shared" ref="BD225:BD229" si="35">E26</f>
        <v>6</v>
      </c>
      <c r="BE225" s="136">
        <f t="shared" ref="BE225:BE229" si="36">F26</f>
        <v>65</v>
      </c>
      <c r="BF225" s="136">
        <f t="shared" ref="BF225:BF229" si="37">G26</f>
        <v>79</v>
      </c>
      <c r="BG225" s="136">
        <f t="shared" ref="BG225:BG229" si="38">H26</f>
        <v>81</v>
      </c>
      <c r="BH225" s="136">
        <f t="shared" ref="BH225:BH229" si="39">I26</f>
        <v>16</v>
      </c>
      <c r="BI225" s="136">
        <f t="shared" ref="BI225:BI229" si="40">J26</f>
        <v>249</v>
      </c>
      <c r="BJ225" s="136">
        <f t="shared" ref="BJ225:BJ229" si="41">K26</f>
        <v>1</v>
      </c>
      <c r="BK225" s="136">
        <f t="shared" ref="BK225:BK229" si="42">L26</f>
        <v>4</v>
      </c>
      <c r="BL225" s="136">
        <f t="shared" ref="BL225:BL229" si="43">M26</f>
        <v>19</v>
      </c>
      <c r="BM225" s="136">
        <f t="shared" ref="BM225:BM229" si="44">N26</f>
        <v>21</v>
      </c>
      <c r="BN225" s="136">
        <f t="shared" ref="BN225:BN229" si="45">O26</f>
        <v>11</v>
      </c>
      <c r="BO225" s="136">
        <f t="shared" ref="BO225:BO229" si="46">P26</f>
        <v>16</v>
      </c>
      <c r="BP225" s="136">
        <f t="shared" ref="BP225:BP229" si="47">Q26</f>
        <v>72</v>
      </c>
      <c r="BQ225" s="136">
        <f t="shared" ref="BQ225:BQ229" si="48">R26</f>
        <v>0</v>
      </c>
      <c r="BR225" s="136">
        <f t="shared" ref="BR225:BR229" si="49">S26</f>
        <v>0</v>
      </c>
      <c r="BS225" s="136">
        <f t="shared" ref="BS225:BS229" si="50">T26</f>
        <v>0</v>
      </c>
      <c r="BT225" s="136">
        <f t="shared" ref="BT225:BT229" si="51">U26</f>
        <v>0</v>
      </c>
      <c r="BU225" s="136">
        <f t="shared" ref="BU225:BU229" si="52">V26</f>
        <v>0</v>
      </c>
      <c r="BV225" s="136">
        <f t="shared" ref="BV225:BV229" si="53">W26</f>
        <v>0</v>
      </c>
      <c r="BW225" s="136">
        <f t="shared" ref="BW225:BW229" si="54">X26</f>
        <v>0</v>
      </c>
      <c r="BX225" s="136">
        <f t="shared" ref="BX225:BX229" si="55">Y26</f>
        <v>321</v>
      </c>
    </row>
    <row r="226" spans="53:76" x14ac:dyDescent="0.25">
      <c r="BA226" s="136" t="str">
        <f>A27</f>
        <v>VALIDATION WITH PROFORMA–XIV [Sl.–21 (Total)]</v>
      </c>
      <c r="BB226" s="136"/>
      <c r="BC226" s="136" t="str">
        <f t="shared" si="34"/>
        <v/>
      </c>
      <c r="BD226" s="136" t="str">
        <f t="shared" si="35"/>
        <v/>
      </c>
      <c r="BE226" s="136" t="str">
        <f t="shared" si="36"/>
        <v/>
      </c>
      <c r="BF226" s="136" t="str">
        <f t="shared" si="37"/>
        <v/>
      </c>
      <c r="BG226" s="136" t="str">
        <f t="shared" si="38"/>
        <v/>
      </c>
      <c r="BH226" s="136" t="str">
        <f t="shared" si="39"/>
        <v/>
      </c>
      <c r="BI226" s="136" t="str">
        <f t="shared" si="40"/>
        <v/>
      </c>
      <c r="BJ226" s="136" t="str">
        <f t="shared" si="41"/>
        <v/>
      </c>
      <c r="BK226" s="136" t="str">
        <f t="shared" si="42"/>
        <v/>
      </c>
      <c r="BL226" s="136" t="str">
        <f t="shared" si="43"/>
        <v/>
      </c>
      <c r="BM226" s="136" t="str">
        <f t="shared" si="44"/>
        <v/>
      </c>
      <c r="BN226" s="136" t="str">
        <f t="shared" si="45"/>
        <v/>
      </c>
      <c r="BO226" s="136" t="str">
        <f t="shared" si="46"/>
        <v/>
      </c>
      <c r="BP226" s="136" t="str">
        <f t="shared" si="47"/>
        <v/>
      </c>
      <c r="BQ226" s="136" t="str">
        <f t="shared" si="48"/>
        <v/>
      </c>
      <c r="BR226" s="136" t="str">
        <f t="shared" si="49"/>
        <v/>
      </c>
      <c r="BS226" s="136" t="str">
        <f t="shared" si="50"/>
        <v/>
      </c>
      <c r="BT226" s="136" t="str">
        <f t="shared" si="51"/>
        <v/>
      </c>
      <c r="BU226" s="136" t="str">
        <f t="shared" si="52"/>
        <v/>
      </c>
      <c r="BV226" s="136" t="str">
        <f t="shared" si="53"/>
        <v/>
      </c>
      <c r="BW226" s="136" t="str">
        <f t="shared" si="54"/>
        <v/>
      </c>
      <c r="BX226" s="136" t="str">
        <f t="shared" si="55"/>
        <v/>
      </c>
    </row>
    <row r="227" spans="53:76" ht="24.95" customHeight="1" x14ac:dyDescent="0.25">
      <c r="BA227" s="678" t="str">
        <f>A28</f>
        <v>SL-6.2 ABNORMAL VARIATION IN "BY CONSUMING OTHER POISON" DATA</v>
      </c>
      <c r="BB227" s="679"/>
      <c r="BC227" s="310" t="str">
        <f>D28</f>
        <v/>
      </c>
      <c r="BD227" s="310" t="str">
        <f t="shared" si="35"/>
        <v/>
      </c>
      <c r="BE227" s="310" t="str">
        <f t="shared" si="36"/>
        <v>ABVAR</v>
      </c>
      <c r="BF227" s="310" t="str">
        <f t="shared" si="37"/>
        <v>ABVAR</v>
      </c>
      <c r="BG227" s="310" t="str">
        <f t="shared" si="38"/>
        <v>ABVAR</v>
      </c>
      <c r="BH227" s="310" t="str">
        <f t="shared" si="39"/>
        <v/>
      </c>
      <c r="BI227" s="310" t="str">
        <f t="shared" si="40"/>
        <v>ABVAR</v>
      </c>
      <c r="BJ227" s="310" t="str">
        <f t="shared" si="41"/>
        <v/>
      </c>
      <c r="BK227" s="310" t="str">
        <f t="shared" si="42"/>
        <v/>
      </c>
      <c r="BL227" s="310" t="str">
        <f t="shared" si="43"/>
        <v>ABVAR</v>
      </c>
      <c r="BM227" s="310" t="str">
        <f t="shared" si="44"/>
        <v>ABVAR</v>
      </c>
      <c r="BN227" s="310" t="str">
        <f t="shared" si="45"/>
        <v>ABVAR</v>
      </c>
      <c r="BO227" s="310" t="str">
        <f t="shared" si="46"/>
        <v/>
      </c>
      <c r="BP227" s="310" t="str">
        <f t="shared" si="47"/>
        <v>ABVAR</v>
      </c>
      <c r="BQ227" s="310" t="str">
        <f t="shared" si="48"/>
        <v/>
      </c>
      <c r="BR227" s="310" t="str">
        <f t="shared" si="49"/>
        <v/>
      </c>
      <c r="BS227" s="310" t="str">
        <f t="shared" si="50"/>
        <v/>
      </c>
      <c r="BT227" s="310" t="str">
        <f t="shared" si="51"/>
        <v/>
      </c>
      <c r="BU227" s="310" t="str">
        <f t="shared" si="52"/>
        <v/>
      </c>
      <c r="BV227" s="310" t="str">
        <f t="shared" si="53"/>
        <v/>
      </c>
      <c r="BW227" s="310" t="str">
        <f t="shared" si="54"/>
        <v/>
      </c>
      <c r="BX227" s="310" t="str">
        <f t="shared" si="55"/>
        <v>ABVAR</v>
      </c>
    </row>
    <row r="228" spans="53:76" ht="24.95" customHeight="1" x14ac:dyDescent="0.25">
      <c r="BA228" s="678" t="str">
        <f t="shared" ref="BA228:BA229" si="56">A29</f>
        <v>SL-8.2 ABNORMAL VARIATION IN "OTHER SITES" DATA</v>
      </c>
      <c r="BB228" s="679"/>
      <c r="BC228" s="310" t="str">
        <f t="shared" ref="BC228:BC229" si="57">D29</f>
        <v/>
      </c>
      <c r="BD228" s="310" t="str">
        <f t="shared" si="35"/>
        <v/>
      </c>
      <c r="BE228" s="310" t="str">
        <f t="shared" si="36"/>
        <v/>
      </c>
      <c r="BF228" s="310" t="str">
        <f t="shared" si="37"/>
        <v/>
      </c>
      <c r="BG228" s="310" t="str">
        <f t="shared" si="38"/>
        <v/>
      </c>
      <c r="BH228" s="310" t="str">
        <f t="shared" si="39"/>
        <v/>
      </c>
      <c r="BI228" s="310" t="str">
        <f t="shared" si="40"/>
        <v/>
      </c>
      <c r="BJ228" s="310" t="str">
        <f t="shared" si="41"/>
        <v/>
      </c>
      <c r="BK228" s="310" t="str">
        <f t="shared" si="42"/>
        <v/>
      </c>
      <c r="BL228" s="310" t="str">
        <f t="shared" si="43"/>
        <v/>
      </c>
      <c r="BM228" s="310" t="str">
        <f t="shared" si="44"/>
        <v/>
      </c>
      <c r="BN228" s="310" t="str">
        <f t="shared" si="45"/>
        <v/>
      </c>
      <c r="BO228" s="310" t="str">
        <f t="shared" si="46"/>
        <v/>
      </c>
      <c r="BP228" s="310" t="str">
        <f t="shared" si="47"/>
        <v/>
      </c>
      <c r="BQ228" s="310" t="str">
        <f t="shared" si="48"/>
        <v/>
      </c>
      <c r="BR228" s="310" t="str">
        <f t="shared" si="49"/>
        <v/>
      </c>
      <c r="BS228" s="310" t="str">
        <f t="shared" si="50"/>
        <v/>
      </c>
      <c r="BT228" s="310" t="str">
        <f t="shared" si="51"/>
        <v/>
      </c>
      <c r="BU228" s="310" t="str">
        <f t="shared" si="52"/>
        <v/>
      </c>
      <c r="BV228" s="310" t="str">
        <f t="shared" si="53"/>
        <v/>
      </c>
      <c r="BW228" s="310" t="str">
        <f t="shared" si="54"/>
        <v/>
      </c>
      <c r="BX228" s="310" t="str">
        <f t="shared" si="55"/>
        <v/>
      </c>
    </row>
    <row r="229" spans="53:76" ht="24.95" customHeight="1" x14ac:dyDescent="0.25">
      <c r="BA229" s="678" t="str">
        <f t="shared" si="56"/>
        <v>SL-11 ABNORMAL VARIATION IN "BY OTHER MEANS" DATA</v>
      </c>
      <c r="BB229" s="679"/>
      <c r="BC229" s="310" t="str">
        <f t="shared" si="57"/>
        <v/>
      </c>
      <c r="BD229" s="310" t="str">
        <f t="shared" si="35"/>
        <v/>
      </c>
      <c r="BE229" s="310" t="str">
        <f t="shared" si="36"/>
        <v/>
      </c>
      <c r="BF229" s="310" t="str">
        <f t="shared" si="37"/>
        <v/>
      </c>
      <c r="BG229" s="310" t="str">
        <f t="shared" si="38"/>
        <v/>
      </c>
      <c r="BH229" s="310" t="str">
        <f t="shared" si="39"/>
        <v/>
      </c>
      <c r="BI229" s="310" t="str">
        <f t="shared" si="40"/>
        <v/>
      </c>
      <c r="BJ229" s="310" t="str">
        <f t="shared" si="41"/>
        <v/>
      </c>
      <c r="BK229" s="310" t="str">
        <f t="shared" si="42"/>
        <v/>
      </c>
      <c r="BL229" s="310" t="str">
        <f t="shared" si="43"/>
        <v/>
      </c>
      <c r="BM229" s="310" t="str">
        <f t="shared" si="44"/>
        <v/>
      </c>
      <c r="BN229" s="310" t="str">
        <f t="shared" si="45"/>
        <v/>
      </c>
      <c r="BO229" s="310" t="str">
        <f t="shared" si="46"/>
        <v/>
      </c>
      <c r="BP229" s="310" t="str">
        <f t="shared" si="47"/>
        <v/>
      </c>
      <c r="BQ229" s="310" t="str">
        <f t="shared" si="48"/>
        <v/>
      </c>
      <c r="BR229" s="310" t="str">
        <f t="shared" si="49"/>
        <v/>
      </c>
      <c r="BS229" s="310" t="str">
        <f t="shared" si="50"/>
        <v/>
      </c>
      <c r="BT229" s="310" t="str">
        <f t="shared" si="51"/>
        <v/>
      </c>
      <c r="BU229" s="310" t="str">
        <f t="shared" si="52"/>
        <v/>
      </c>
      <c r="BV229" s="310" t="str">
        <f t="shared" si="53"/>
        <v/>
      </c>
      <c r="BW229" s="310" t="str">
        <f t="shared" si="54"/>
        <v/>
      </c>
      <c r="BX229" s="310" t="str">
        <f t="shared" si="55"/>
        <v/>
      </c>
    </row>
    <row r="230" spans="53:76" x14ac:dyDescent="0.25">
      <c r="BA230" s="132"/>
    </row>
    <row r="500" spans="1:26" s="365" customFormat="1" x14ac:dyDescent="0.25">
      <c r="A500" s="203" t="s">
        <v>450</v>
      </c>
      <c r="B500" s="203" t="s">
        <v>451</v>
      </c>
      <c r="C500" s="203" t="s">
        <v>452</v>
      </c>
      <c r="D500" s="203" t="s">
        <v>453</v>
      </c>
      <c r="E500" s="203" t="s">
        <v>1365</v>
      </c>
      <c r="F500" s="203" t="s">
        <v>454</v>
      </c>
      <c r="G500" s="203" t="s">
        <v>455</v>
      </c>
      <c r="H500" s="203" t="s">
        <v>456</v>
      </c>
      <c r="I500" s="203" t="s">
        <v>457</v>
      </c>
      <c r="J500" s="203" t="s">
        <v>458</v>
      </c>
      <c r="K500" s="203" t="s">
        <v>459</v>
      </c>
      <c r="L500" s="203" t="s">
        <v>1366</v>
      </c>
      <c r="M500" s="203" t="s">
        <v>460</v>
      </c>
      <c r="N500" s="203" t="s">
        <v>461</v>
      </c>
      <c r="O500" s="203" t="s">
        <v>462</v>
      </c>
      <c r="P500" s="203" t="s">
        <v>463</v>
      </c>
      <c r="Q500" s="203" t="s">
        <v>464</v>
      </c>
      <c r="R500" s="203" t="s">
        <v>465</v>
      </c>
      <c r="S500" s="203" t="s">
        <v>1367</v>
      </c>
      <c r="T500" s="203" t="s">
        <v>466</v>
      </c>
      <c r="U500" s="203" t="s">
        <v>467</v>
      </c>
      <c r="V500" s="203" t="s">
        <v>468</v>
      </c>
      <c r="W500" s="203" t="s">
        <v>469</v>
      </c>
      <c r="X500" s="203" t="s">
        <v>470</v>
      </c>
      <c r="Y500" s="203" t="s">
        <v>471</v>
      </c>
      <c r="Z500" s="203" t="s">
        <v>150</v>
      </c>
    </row>
    <row r="501" spans="1:26" s="365" customFormat="1" ht="12.75" x14ac:dyDescent="0.2">
      <c r="A501" s="348">
        <f>IF(ADSI!$G$12="",ADSI!$H$16,ADSI!$H$12)</f>
        <v>6</v>
      </c>
      <c r="B501" s="348" t="str">
        <f ca="1">IF(ADSI!$G$12="",ADSI!$H$16,ADSI!$H$14)</f>
        <v/>
      </c>
      <c r="C501" s="403">
        <f>A9</f>
        <v>925</v>
      </c>
      <c r="D501" s="348">
        <f>ADSI!$K$12</f>
        <v>2021</v>
      </c>
      <c r="E501" s="367">
        <f>D9</f>
        <v>0</v>
      </c>
      <c r="F501" s="367">
        <f t="shared" ref="F501:Z501" si="58">E9</f>
        <v>0</v>
      </c>
      <c r="G501" s="367">
        <f t="shared" si="58"/>
        <v>0</v>
      </c>
      <c r="H501" s="367">
        <f t="shared" si="58"/>
        <v>0</v>
      </c>
      <c r="I501" s="367">
        <f t="shared" si="58"/>
        <v>0</v>
      </c>
      <c r="J501" s="367">
        <f t="shared" si="58"/>
        <v>0</v>
      </c>
      <c r="K501" s="367">
        <f t="shared" si="58"/>
        <v>0</v>
      </c>
      <c r="L501" s="367">
        <f t="shared" si="58"/>
        <v>0</v>
      </c>
      <c r="M501" s="367">
        <f t="shared" si="58"/>
        <v>0</v>
      </c>
      <c r="N501" s="367">
        <f t="shared" si="58"/>
        <v>0</v>
      </c>
      <c r="O501" s="367">
        <f t="shared" si="58"/>
        <v>0</v>
      </c>
      <c r="P501" s="367">
        <f t="shared" si="58"/>
        <v>0</v>
      </c>
      <c r="Q501" s="367">
        <f t="shared" si="58"/>
        <v>0</v>
      </c>
      <c r="R501" s="367">
        <f t="shared" si="58"/>
        <v>0</v>
      </c>
      <c r="S501" s="367">
        <f t="shared" si="58"/>
        <v>0</v>
      </c>
      <c r="T501" s="367">
        <f t="shared" si="58"/>
        <v>0</v>
      </c>
      <c r="U501" s="367">
        <f t="shared" si="58"/>
        <v>0</v>
      </c>
      <c r="V501" s="367">
        <f t="shared" si="58"/>
        <v>0</v>
      </c>
      <c r="W501" s="367">
        <f t="shared" si="58"/>
        <v>0</v>
      </c>
      <c r="X501" s="367">
        <f t="shared" si="58"/>
        <v>0</v>
      </c>
      <c r="Y501" s="367">
        <f t="shared" si="58"/>
        <v>0</v>
      </c>
      <c r="Z501" s="367">
        <f t="shared" si="58"/>
        <v>0</v>
      </c>
    </row>
    <row r="502" spans="1:26" s="365" customFormat="1" ht="12.75" x14ac:dyDescent="0.2">
      <c r="A502" s="348">
        <f>IF(ADSI!$G$12="",ADSI!$H$16,ADSI!$H$12)</f>
        <v>6</v>
      </c>
      <c r="B502" s="348" t="str">
        <f ca="1">IF(ADSI!$G$12="",ADSI!$H$16,ADSI!$H$14)</f>
        <v/>
      </c>
      <c r="C502" s="403">
        <f t="shared" ref="C502:C517" si="59">A10</f>
        <v>926</v>
      </c>
      <c r="D502" s="348">
        <f>ADSI!$K$12</f>
        <v>2021</v>
      </c>
      <c r="E502" s="367">
        <f t="shared" ref="E502:Z502" si="60">D10</f>
        <v>0</v>
      </c>
      <c r="F502" s="367">
        <f t="shared" si="60"/>
        <v>1</v>
      </c>
      <c r="G502" s="367">
        <f t="shared" si="60"/>
        <v>2</v>
      </c>
      <c r="H502" s="367">
        <f t="shared" si="60"/>
        <v>10</v>
      </c>
      <c r="I502" s="367">
        <f t="shared" si="60"/>
        <v>9</v>
      </c>
      <c r="J502" s="367">
        <f t="shared" si="60"/>
        <v>1</v>
      </c>
      <c r="K502" s="367">
        <f t="shared" si="60"/>
        <v>23</v>
      </c>
      <c r="L502" s="367">
        <f t="shared" si="60"/>
        <v>0</v>
      </c>
      <c r="M502" s="367">
        <f t="shared" si="60"/>
        <v>1</v>
      </c>
      <c r="N502" s="367">
        <f t="shared" si="60"/>
        <v>3</v>
      </c>
      <c r="O502" s="367">
        <f t="shared" si="60"/>
        <v>1</v>
      </c>
      <c r="P502" s="367">
        <f t="shared" si="60"/>
        <v>2</v>
      </c>
      <c r="Q502" s="367">
        <f t="shared" si="60"/>
        <v>0</v>
      </c>
      <c r="R502" s="367">
        <f t="shared" si="60"/>
        <v>7</v>
      </c>
      <c r="S502" s="367">
        <f t="shared" si="60"/>
        <v>0</v>
      </c>
      <c r="T502" s="367">
        <f t="shared" si="60"/>
        <v>0</v>
      </c>
      <c r="U502" s="367">
        <f t="shared" si="60"/>
        <v>0</v>
      </c>
      <c r="V502" s="367">
        <f t="shared" si="60"/>
        <v>0</v>
      </c>
      <c r="W502" s="367">
        <f t="shared" si="60"/>
        <v>0</v>
      </c>
      <c r="X502" s="367">
        <f t="shared" si="60"/>
        <v>0</v>
      </c>
      <c r="Y502" s="367">
        <f t="shared" si="60"/>
        <v>0</v>
      </c>
      <c r="Z502" s="367">
        <f t="shared" si="60"/>
        <v>30</v>
      </c>
    </row>
    <row r="503" spans="1:26" s="365" customFormat="1" ht="12.75" x14ac:dyDescent="0.2">
      <c r="A503" s="348">
        <f>IF(ADSI!$G$12="",ADSI!$H$16,ADSI!$H$12)</f>
        <v>6</v>
      </c>
      <c r="B503" s="348" t="str">
        <f ca="1">IF(ADSI!$G$12="",ADSI!$H$16,ADSI!$H$14)</f>
        <v/>
      </c>
      <c r="C503" s="403">
        <f t="shared" si="59"/>
        <v>927</v>
      </c>
      <c r="D503" s="348">
        <f>ADSI!$K$12</f>
        <v>2021</v>
      </c>
      <c r="E503" s="367">
        <f t="shared" ref="E503:Z503" si="61">D11</f>
        <v>0</v>
      </c>
      <c r="F503" s="367">
        <f t="shared" si="61"/>
        <v>0</v>
      </c>
      <c r="G503" s="367">
        <f t="shared" si="61"/>
        <v>0</v>
      </c>
      <c r="H503" s="367">
        <f t="shared" si="61"/>
        <v>0</v>
      </c>
      <c r="I503" s="367">
        <f t="shared" si="61"/>
        <v>2</v>
      </c>
      <c r="J503" s="367">
        <f t="shared" si="61"/>
        <v>1</v>
      </c>
      <c r="K503" s="367">
        <f t="shared" si="61"/>
        <v>3</v>
      </c>
      <c r="L503" s="367">
        <f t="shared" si="61"/>
        <v>0</v>
      </c>
      <c r="M503" s="367">
        <f t="shared" si="61"/>
        <v>0</v>
      </c>
      <c r="N503" s="367">
        <f t="shared" si="61"/>
        <v>0</v>
      </c>
      <c r="O503" s="367">
        <f t="shared" si="61"/>
        <v>1</v>
      </c>
      <c r="P503" s="367">
        <f t="shared" si="61"/>
        <v>0</v>
      </c>
      <c r="Q503" s="367">
        <f t="shared" si="61"/>
        <v>2</v>
      </c>
      <c r="R503" s="367">
        <f t="shared" si="61"/>
        <v>3</v>
      </c>
      <c r="S503" s="367">
        <f t="shared" si="61"/>
        <v>0</v>
      </c>
      <c r="T503" s="367">
        <f t="shared" si="61"/>
        <v>0</v>
      </c>
      <c r="U503" s="367">
        <f t="shared" si="61"/>
        <v>0</v>
      </c>
      <c r="V503" s="367">
        <f t="shared" si="61"/>
        <v>0</v>
      </c>
      <c r="W503" s="367">
        <f t="shared" si="61"/>
        <v>0</v>
      </c>
      <c r="X503" s="367">
        <f t="shared" si="61"/>
        <v>0</v>
      </c>
      <c r="Y503" s="367">
        <f t="shared" si="61"/>
        <v>0</v>
      </c>
      <c r="Z503" s="367">
        <f t="shared" si="61"/>
        <v>6</v>
      </c>
    </row>
    <row r="504" spans="1:26" s="365" customFormat="1" ht="12.75" x14ac:dyDescent="0.2">
      <c r="A504" s="348">
        <f>IF(ADSI!$G$12="",ADSI!$H$16,ADSI!$H$12)</f>
        <v>6</v>
      </c>
      <c r="B504" s="348" t="str">
        <f ca="1">IF(ADSI!$G$12="",ADSI!$H$16,ADSI!$H$14)</f>
        <v/>
      </c>
      <c r="C504" s="403">
        <f t="shared" si="59"/>
        <v>928</v>
      </c>
      <c r="D504" s="348">
        <f>ADSI!$K$12</f>
        <v>2021</v>
      </c>
      <c r="E504" s="367">
        <f t="shared" ref="E504:Z504" si="62">D12</f>
        <v>0</v>
      </c>
      <c r="F504" s="367">
        <f t="shared" si="62"/>
        <v>0</v>
      </c>
      <c r="G504" s="367">
        <f t="shared" si="62"/>
        <v>0</v>
      </c>
      <c r="H504" s="367">
        <f t="shared" si="62"/>
        <v>0</v>
      </c>
      <c r="I504" s="367">
        <f t="shared" si="62"/>
        <v>0</v>
      </c>
      <c r="J504" s="367">
        <f t="shared" si="62"/>
        <v>0</v>
      </c>
      <c r="K504" s="367">
        <f t="shared" si="62"/>
        <v>0</v>
      </c>
      <c r="L504" s="367">
        <f t="shared" si="62"/>
        <v>0</v>
      </c>
      <c r="M504" s="367">
        <f t="shared" si="62"/>
        <v>0</v>
      </c>
      <c r="N504" s="367">
        <f t="shared" si="62"/>
        <v>0</v>
      </c>
      <c r="O504" s="367">
        <f t="shared" si="62"/>
        <v>0</v>
      </c>
      <c r="P504" s="367">
        <f t="shared" si="62"/>
        <v>0</v>
      </c>
      <c r="Q504" s="367">
        <f t="shared" si="62"/>
        <v>0</v>
      </c>
      <c r="R504" s="367">
        <f t="shared" si="62"/>
        <v>0</v>
      </c>
      <c r="S504" s="367">
        <f t="shared" si="62"/>
        <v>0</v>
      </c>
      <c r="T504" s="367">
        <f t="shared" si="62"/>
        <v>0</v>
      </c>
      <c r="U504" s="367">
        <f t="shared" si="62"/>
        <v>0</v>
      </c>
      <c r="V504" s="367">
        <f t="shared" si="62"/>
        <v>0</v>
      </c>
      <c r="W504" s="367">
        <f t="shared" si="62"/>
        <v>0</v>
      </c>
      <c r="X504" s="367">
        <f t="shared" si="62"/>
        <v>0</v>
      </c>
      <c r="Y504" s="367">
        <f t="shared" si="62"/>
        <v>0</v>
      </c>
      <c r="Z504" s="367">
        <f t="shared" si="62"/>
        <v>0</v>
      </c>
    </row>
    <row r="505" spans="1:26" s="365" customFormat="1" ht="12.75" x14ac:dyDescent="0.2">
      <c r="A505" s="348">
        <f>IF(ADSI!$G$12="",ADSI!$H$16,ADSI!$H$12)</f>
        <v>6</v>
      </c>
      <c r="B505" s="348" t="str">
        <f ca="1">IF(ADSI!$G$12="",ADSI!$H$16,ADSI!$H$14)</f>
        <v/>
      </c>
      <c r="C505" s="403">
        <f t="shared" si="59"/>
        <v>929</v>
      </c>
      <c r="D505" s="348">
        <f>ADSI!$K$12</f>
        <v>2021</v>
      </c>
      <c r="E505" s="367">
        <f t="shared" ref="E505:Z505" si="63">D13</f>
        <v>2</v>
      </c>
      <c r="F505" s="367">
        <f t="shared" si="63"/>
        <v>5</v>
      </c>
      <c r="G505" s="367">
        <f t="shared" si="63"/>
        <v>57</v>
      </c>
      <c r="H505" s="367">
        <f t="shared" si="63"/>
        <v>64</v>
      </c>
      <c r="I505" s="367">
        <f t="shared" si="63"/>
        <v>63</v>
      </c>
      <c r="J505" s="367">
        <f t="shared" si="63"/>
        <v>13</v>
      </c>
      <c r="K505" s="367">
        <f t="shared" si="63"/>
        <v>204</v>
      </c>
      <c r="L505" s="367">
        <f t="shared" si="63"/>
        <v>1</v>
      </c>
      <c r="M505" s="367">
        <f t="shared" si="63"/>
        <v>3</v>
      </c>
      <c r="N505" s="367">
        <f t="shared" si="63"/>
        <v>12</v>
      </c>
      <c r="O505" s="367">
        <f t="shared" si="63"/>
        <v>16</v>
      </c>
      <c r="P505" s="367">
        <f t="shared" si="63"/>
        <v>6</v>
      </c>
      <c r="Q505" s="367">
        <f t="shared" si="63"/>
        <v>11</v>
      </c>
      <c r="R505" s="367">
        <f t="shared" si="63"/>
        <v>49</v>
      </c>
      <c r="S505" s="367">
        <f t="shared" si="63"/>
        <v>0</v>
      </c>
      <c r="T505" s="367">
        <f t="shared" si="63"/>
        <v>0</v>
      </c>
      <c r="U505" s="367">
        <f t="shared" si="63"/>
        <v>0</v>
      </c>
      <c r="V505" s="367">
        <f t="shared" si="63"/>
        <v>0</v>
      </c>
      <c r="W505" s="367">
        <f t="shared" si="63"/>
        <v>0</v>
      </c>
      <c r="X505" s="367">
        <f t="shared" si="63"/>
        <v>0</v>
      </c>
      <c r="Y505" s="367">
        <f t="shared" si="63"/>
        <v>0</v>
      </c>
      <c r="Z505" s="367">
        <f t="shared" si="63"/>
        <v>253</v>
      </c>
    </row>
    <row r="506" spans="1:26" s="365" customFormat="1" ht="12.75" x14ac:dyDescent="0.2">
      <c r="A506" s="348">
        <f>IF(ADSI!$G$12="",ADSI!$H$16,ADSI!$H$12)</f>
        <v>6</v>
      </c>
      <c r="B506" s="348" t="str">
        <f ca="1">IF(ADSI!$G$12="",ADSI!$H$16,ADSI!$H$14)</f>
        <v/>
      </c>
      <c r="C506" s="403">
        <f t="shared" si="59"/>
        <v>930</v>
      </c>
      <c r="D506" s="348">
        <f>ADSI!$K$12</f>
        <v>2021</v>
      </c>
      <c r="E506" s="367">
        <f t="shared" ref="E506:Z506" si="64">D14</f>
        <v>0</v>
      </c>
      <c r="F506" s="367">
        <f t="shared" si="64"/>
        <v>0</v>
      </c>
      <c r="G506" s="367">
        <f t="shared" si="64"/>
        <v>5</v>
      </c>
      <c r="H506" s="367">
        <f t="shared" si="64"/>
        <v>3</v>
      </c>
      <c r="I506" s="367">
        <f t="shared" si="64"/>
        <v>5</v>
      </c>
      <c r="J506" s="367">
        <f t="shared" si="64"/>
        <v>1</v>
      </c>
      <c r="K506" s="367">
        <f t="shared" si="64"/>
        <v>14</v>
      </c>
      <c r="L506" s="367">
        <f t="shared" si="64"/>
        <v>0</v>
      </c>
      <c r="M506" s="367">
        <f t="shared" si="64"/>
        <v>0</v>
      </c>
      <c r="N506" s="367">
        <f t="shared" si="64"/>
        <v>4</v>
      </c>
      <c r="O506" s="367">
        <f t="shared" si="64"/>
        <v>3</v>
      </c>
      <c r="P506" s="367">
        <f t="shared" si="64"/>
        <v>3</v>
      </c>
      <c r="Q506" s="367">
        <f t="shared" si="64"/>
        <v>3</v>
      </c>
      <c r="R506" s="367">
        <f t="shared" si="64"/>
        <v>13</v>
      </c>
      <c r="S506" s="367">
        <f t="shared" si="64"/>
        <v>0</v>
      </c>
      <c r="T506" s="367">
        <f t="shared" si="64"/>
        <v>0</v>
      </c>
      <c r="U506" s="367">
        <f t="shared" si="64"/>
        <v>0</v>
      </c>
      <c r="V506" s="367">
        <f t="shared" si="64"/>
        <v>0</v>
      </c>
      <c r="W506" s="367">
        <f t="shared" si="64"/>
        <v>0</v>
      </c>
      <c r="X506" s="367">
        <f t="shared" si="64"/>
        <v>0</v>
      </c>
      <c r="Y506" s="367">
        <f t="shared" si="64"/>
        <v>0</v>
      </c>
      <c r="Z506" s="367">
        <f t="shared" si="64"/>
        <v>27</v>
      </c>
    </row>
    <row r="507" spans="1:26" s="365" customFormat="1" ht="12.75" x14ac:dyDescent="0.2">
      <c r="A507" s="348">
        <f>IF(ADSI!$G$12="",ADSI!$H$16,ADSI!$H$12)</f>
        <v>6</v>
      </c>
      <c r="B507" s="348" t="str">
        <f ca="1">IF(ADSI!$G$12="",ADSI!$H$16,ADSI!$H$14)</f>
        <v/>
      </c>
      <c r="C507" s="403">
        <f t="shared" si="59"/>
        <v>931</v>
      </c>
      <c r="D507" s="348">
        <f>ADSI!$K$12</f>
        <v>2021</v>
      </c>
      <c r="E507" s="367">
        <f t="shared" ref="E507:Z507" si="65">D15</f>
        <v>0</v>
      </c>
      <c r="F507" s="367">
        <f t="shared" si="65"/>
        <v>0</v>
      </c>
      <c r="G507" s="367">
        <f t="shared" si="65"/>
        <v>2</v>
      </c>
      <c r="H507" s="367">
        <f t="shared" si="65"/>
        <v>1</v>
      </c>
      <c r="I507" s="367">
        <f t="shared" si="65"/>
        <v>0</v>
      </c>
      <c r="J507" s="367">
        <f t="shared" si="65"/>
        <v>1</v>
      </c>
      <c r="K507" s="367">
        <f t="shared" si="65"/>
        <v>4</v>
      </c>
      <c r="L507" s="367">
        <f t="shared" si="65"/>
        <v>0</v>
      </c>
      <c r="M507" s="367">
        <f t="shared" si="65"/>
        <v>0</v>
      </c>
      <c r="N507" s="367">
        <f t="shared" si="65"/>
        <v>2</v>
      </c>
      <c r="O507" s="367">
        <f t="shared" si="65"/>
        <v>2</v>
      </c>
      <c r="P507" s="367">
        <f t="shared" si="65"/>
        <v>1</v>
      </c>
      <c r="Q507" s="367">
        <f t="shared" si="65"/>
        <v>3</v>
      </c>
      <c r="R507" s="367">
        <f t="shared" si="65"/>
        <v>8</v>
      </c>
      <c r="S507" s="367">
        <f t="shared" si="65"/>
        <v>0</v>
      </c>
      <c r="T507" s="367">
        <f t="shared" si="65"/>
        <v>0</v>
      </c>
      <c r="U507" s="367">
        <f t="shared" si="65"/>
        <v>0</v>
      </c>
      <c r="V507" s="367">
        <f t="shared" si="65"/>
        <v>0</v>
      </c>
      <c r="W507" s="367">
        <f t="shared" si="65"/>
        <v>0</v>
      </c>
      <c r="X507" s="367">
        <f t="shared" si="65"/>
        <v>0</v>
      </c>
      <c r="Y507" s="367">
        <f t="shared" si="65"/>
        <v>0</v>
      </c>
      <c r="Z507" s="367">
        <f t="shared" si="65"/>
        <v>12</v>
      </c>
    </row>
    <row r="508" spans="1:26" s="365" customFormat="1" ht="12.75" x14ac:dyDescent="0.2">
      <c r="A508" s="348">
        <f>IF(ADSI!$G$12="",ADSI!$H$16,ADSI!$H$12)</f>
        <v>6</v>
      </c>
      <c r="B508" s="348" t="str">
        <f ca="1">IF(ADSI!$G$12="",ADSI!$H$16,ADSI!$H$14)</f>
        <v/>
      </c>
      <c r="C508" s="403">
        <f t="shared" si="59"/>
        <v>932</v>
      </c>
      <c r="D508" s="348">
        <f>ADSI!$K$12</f>
        <v>2021</v>
      </c>
      <c r="E508" s="367">
        <f t="shared" ref="E508:Z508" si="66">D16</f>
        <v>0</v>
      </c>
      <c r="F508" s="367">
        <f t="shared" si="66"/>
        <v>0</v>
      </c>
      <c r="G508" s="367">
        <f t="shared" si="66"/>
        <v>3</v>
      </c>
      <c r="H508" s="367">
        <f t="shared" si="66"/>
        <v>2</v>
      </c>
      <c r="I508" s="367">
        <f t="shared" si="66"/>
        <v>5</v>
      </c>
      <c r="J508" s="367">
        <f t="shared" si="66"/>
        <v>0</v>
      </c>
      <c r="K508" s="367">
        <f t="shared" si="66"/>
        <v>10</v>
      </c>
      <c r="L508" s="367">
        <f t="shared" si="66"/>
        <v>0</v>
      </c>
      <c r="M508" s="367">
        <f t="shared" si="66"/>
        <v>0</v>
      </c>
      <c r="N508" s="367">
        <f t="shared" si="66"/>
        <v>2</v>
      </c>
      <c r="O508" s="367">
        <f t="shared" si="66"/>
        <v>1</v>
      </c>
      <c r="P508" s="367">
        <f t="shared" si="66"/>
        <v>2</v>
      </c>
      <c r="Q508" s="367">
        <f t="shared" si="66"/>
        <v>0</v>
      </c>
      <c r="R508" s="367">
        <f t="shared" si="66"/>
        <v>5</v>
      </c>
      <c r="S508" s="367">
        <f t="shared" si="66"/>
        <v>0</v>
      </c>
      <c r="T508" s="367">
        <f t="shared" si="66"/>
        <v>0</v>
      </c>
      <c r="U508" s="367">
        <f t="shared" si="66"/>
        <v>0</v>
      </c>
      <c r="V508" s="367">
        <f t="shared" si="66"/>
        <v>0</v>
      </c>
      <c r="W508" s="367">
        <f t="shared" si="66"/>
        <v>0</v>
      </c>
      <c r="X508" s="367">
        <f t="shared" si="66"/>
        <v>0</v>
      </c>
      <c r="Y508" s="367">
        <f t="shared" si="66"/>
        <v>0</v>
      </c>
      <c r="Z508" s="367">
        <f t="shared" si="66"/>
        <v>15</v>
      </c>
    </row>
    <row r="509" spans="1:26" s="365" customFormat="1" ht="12.75" x14ac:dyDescent="0.2">
      <c r="A509" s="348">
        <f>IF(ADSI!$G$12="",ADSI!$H$16,ADSI!$H$12)</f>
        <v>6</v>
      </c>
      <c r="B509" s="348" t="str">
        <f ca="1">IF(ADSI!$G$12="",ADSI!$H$16,ADSI!$H$14)</f>
        <v/>
      </c>
      <c r="C509" s="403">
        <f t="shared" si="59"/>
        <v>933</v>
      </c>
      <c r="D509" s="348">
        <f>ADSI!$K$12</f>
        <v>2021</v>
      </c>
      <c r="E509" s="367">
        <f t="shared" ref="E509:Z509" si="67">D17</f>
        <v>0</v>
      </c>
      <c r="F509" s="367">
        <f t="shared" si="67"/>
        <v>0</v>
      </c>
      <c r="G509" s="367">
        <f t="shared" si="67"/>
        <v>0</v>
      </c>
      <c r="H509" s="367">
        <f t="shared" si="67"/>
        <v>2</v>
      </c>
      <c r="I509" s="367">
        <f t="shared" si="67"/>
        <v>0</v>
      </c>
      <c r="J509" s="367">
        <f t="shared" si="67"/>
        <v>0</v>
      </c>
      <c r="K509" s="367">
        <f t="shared" si="67"/>
        <v>2</v>
      </c>
      <c r="L509" s="367">
        <f t="shared" si="67"/>
        <v>0</v>
      </c>
      <c r="M509" s="367">
        <f t="shared" si="67"/>
        <v>0</v>
      </c>
      <c r="N509" s="367">
        <f t="shared" si="67"/>
        <v>0</v>
      </c>
      <c r="O509" s="367">
        <f t="shared" si="67"/>
        <v>0</v>
      </c>
      <c r="P509" s="367">
        <f t="shared" si="67"/>
        <v>0</v>
      </c>
      <c r="Q509" s="367">
        <f t="shared" si="67"/>
        <v>0</v>
      </c>
      <c r="R509" s="367">
        <f t="shared" si="67"/>
        <v>0</v>
      </c>
      <c r="S509" s="367">
        <f t="shared" si="67"/>
        <v>0</v>
      </c>
      <c r="T509" s="367">
        <f t="shared" si="67"/>
        <v>0</v>
      </c>
      <c r="U509" s="367">
        <f t="shared" si="67"/>
        <v>0</v>
      </c>
      <c r="V509" s="367">
        <f t="shared" si="67"/>
        <v>0</v>
      </c>
      <c r="W509" s="367">
        <f t="shared" si="67"/>
        <v>0</v>
      </c>
      <c r="X509" s="367">
        <f t="shared" si="67"/>
        <v>0</v>
      </c>
      <c r="Y509" s="367">
        <f t="shared" si="67"/>
        <v>0</v>
      </c>
      <c r="Z509" s="367">
        <f t="shared" si="67"/>
        <v>2</v>
      </c>
    </row>
    <row r="510" spans="1:26" s="365" customFormat="1" ht="12.75" x14ac:dyDescent="0.2">
      <c r="A510" s="348">
        <f>IF(ADSI!$G$12="",ADSI!$H$16,ADSI!$H$12)</f>
        <v>6</v>
      </c>
      <c r="B510" s="348" t="str">
        <f ca="1">IF(ADSI!$G$12="",ADSI!$H$16,ADSI!$H$14)</f>
        <v/>
      </c>
      <c r="C510" s="403">
        <f t="shared" si="59"/>
        <v>934</v>
      </c>
      <c r="D510" s="348">
        <f>ADSI!$K$12</f>
        <v>2021</v>
      </c>
      <c r="E510" s="367">
        <f t="shared" ref="E510:Z510" si="68">D18</f>
        <v>0</v>
      </c>
      <c r="F510" s="367">
        <f t="shared" si="68"/>
        <v>0</v>
      </c>
      <c r="G510" s="367">
        <f t="shared" si="68"/>
        <v>0</v>
      </c>
      <c r="H510" s="367">
        <f t="shared" si="68"/>
        <v>0</v>
      </c>
      <c r="I510" s="367">
        <f t="shared" si="68"/>
        <v>1</v>
      </c>
      <c r="J510" s="367">
        <f t="shared" si="68"/>
        <v>0</v>
      </c>
      <c r="K510" s="367">
        <f t="shared" si="68"/>
        <v>1</v>
      </c>
      <c r="L510" s="367">
        <f t="shared" si="68"/>
        <v>0</v>
      </c>
      <c r="M510" s="367">
        <f t="shared" si="68"/>
        <v>0</v>
      </c>
      <c r="N510" s="367">
        <f t="shared" si="68"/>
        <v>0</v>
      </c>
      <c r="O510" s="367">
        <f t="shared" si="68"/>
        <v>0</v>
      </c>
      <c r="P510" s="367">
        <f t="shared" si="68"/>
        <v>0</v>
      </c>
      <c r="Q510" s="367">
        <f t="shared" si="68"/>
        <v>0</v>
      </c>
      <c r="R510" s="367">
        <f t="shared" si="68"/>
        <v>0</v>
      </c>
      <c r="S510" s="367">
        <f t="shared" si="68"/>
        <v>0</v>
      </c>
      <c r="T510" s="367">
        <f t="shared" si="68"/>
        <v>0</v>
      </c>
      <c r="U510" s="367">
        <f t="shared" si="68"/>
        <v>0</v>
      </c>
      <c r="V510" s="367">
        <f t="shared" si="68"/>
        <v>0</v>
      </c>
      <c r="W510" s="367">
        <f t="shared" si="68"/>
        <v>0</v>
      </c>
      <c r="X510" s="367">
        <f t="shared" si="68"/>
        <v>0</v>
      </c>
      <c r="Y510" s="367">
        <f t="shared" si="68"/>
        <v>0</v>
      </c>
      <c r="Z510" s="367">
        <f t="shared" si="68"/>
        <v>1</v>
      </c>
    </row>
    <row r="511" spans="1:26" s="365" customFormat="1" ht="12.75" x14ac:dyDescent="0.2">
      <c r="A511" s="348">
        <f>IF(ADSI!$G$12="",ADSI!$H$16,ADSI!$H$12)</f>
        <v>6</v>
      </c>
      <c r="B511" s="348" t="str">
        <f ca="1">IF(ADSI!$G$12="",ADSI!$H$16,ADSI!$H$14)</f>
        <v/>
      </c>
      <c r="C511" s="403">
        <f t="shared" si="59"/>
        <v>935</v>
      </c>
      <c r="D511" s="348">
        <f>ADSI!$K$12</f>
        <v>2021</v>
      </c>
      <c r="E511" s="367">
        <f t="shared" ref="E511:Z511" si="69">D19</f>
        <v>0</v>
      </c>
      <c r="F511" s="367">
        <f t="shared" si="69"/>
        <v>0</v>
      </c>
      <c r="G511" s="367">
        <f t="shared" si="69"/>
        <v>0</v>
      </c>
      <c r="H511" s="367">
        <f t="shared" si="69"/>
        <v>0</v>
      </c>
      <c r="I511" s="367">
        <f t="shared" si="69"/>
        <v>1</v>
      </c>
      <c r="J511" s="367">
        <f t="shared" si="69"/>
        <v>0</v>
      </c>
      <c r="K511" s="367">
        <f t="shared" si="69"/>
        <v>1</v>
      </c>
      <c r="L511" s="367">
        <f t="shared" si="69"/>
        <v>0</v>
      </c>
      <c r="M511" s="367">
        <f t="shared" si="69"/>
        <v>0</v>
      </c>
      <c r="N511" s="367">
        <f t="shared" si="69"/>
        <v>0</v>
      </c>
      <c r="O511" s="367">
        <f t="shared" si="69"/>
        <v>0</v>
      </c>
      <c r="P511" s="367">
        <f t="shared" si="69"/>
        <v>0</v>
      </c>
      <c r="Q511" s="367">
        <f t="shared" si="69"/>
        <v>0</v>
      </c>
      <c r="R511" s="367">
        <f t="shared" si="69"/>
        <v>0</v>
      </c>
      <c r="S511" s="367">
        <f t="shared" si="69"/>
        <v>0</v>
      </c>
      <c r="T511" s="367">
        <f t="shared" si="69"/>
        <v>0</v>
      </c>
      <c r="U511" s="367">
        <f t="shared" si="69"/>
        <v>0</v>
      </c>
      <c r="V511" s="367">
        <f t="shared" si="69"/>
        <v>0</v>
      </c>
      <c r="W511" s="367">
        <f t="shared" si="69"/>
        <v>0</v>
      </c>
      <c r="X511" s="367">
        <f t="shared" si="69"/>
        <v>0</v>
      </c>
      <c r="Y511" s="367">
        <f t="shared" si="69"/>
        <v>0</v>
      </c>
      <c r="Z511" s="367">
        <f t="shared" si="69"/>
        <v>1</v>
      </c>
    </row>
    <row r="512" spans="1:26" s="365" customFormat="1" ht="12.75" x14ac:dyDescent="0.2">
      <c r="A512" s="348">
        <f>IF(ADSI!$G$12="",ADSI!$H$16,ADSI!$H$12)</f>
        <v>6</v>
      </c>
      <c r="B512" s="348" t="str">
        <f ca="1">IF(ADSI!$G$12="",ADSI!$H$16,ADSI!$H$14)</f>
        <v/>
      </c>
      <c r="C512" s="403">
        <f t="shared" si="59"/>
        <v>936</v>
      </c>
      <c r="D512" s="348">
        <f>ADSI!$K$12</f>
        <v>2021</v>
      </c>
      <c r="E512" s="367">
        <f t="shared" ref="E512:Z512" si="70">D20</f>
        <v>0</v>
      </c>
      <c r="F512" s="367">
        <f t="shared" si="70"/>
        <v>0</v>
      </c>
      <c r="G512" s="367">
        <f t="shared" si="70"/>
        <v>0</v>
      </c>
      <c r="H512" s="367">
        <f t="shared" si="70"/>
        <v>0</v>
      </c>
      <c r="I512" s="367">
        <f t="shared" si="70"/>
        <v>0</v>
      </c>
      <c r="J512" s="367">
        <f t="shared" si="70"/>
        <v>0</v>
      </c>
      <c r="K512" s="367">
        <f t="shared" si="70"/>
        <v>0</v>
      </c>
      <c r="L512" s="367">
        <f t="shared" si="70"/>
        <v>0</v>
      </c>
      <c r="M512" s="367">
        <f t="shared" si="70"/>
        <v>0</v>
      </c>
      <c r="N512" s="367">
        <f t="shared" si="70"/>
        <v>0</v>
      </c>
      <c r="O512" s="367">
        <f t="shared" si="70"/>
        <v>0</v>
      </c>
      <c r="P512" s="367">
        <f t="shared" si="70"/>
        <v>0</v>
      </c>
      <c r="Q512" s="367">
        <f t="shared" si="70"/>
        <v>0</v>
      </c>
      <c r="R512" s="367">
        <f t="shared" si="70"/>
        <v>0</v>
      </c>
      <c r="S512" s="367">
        <f t="shared" si="70"/>
        <v>0</v>
      </c>
      <c r="T512" s="367">
        <f t="shared" si="70"/>
        <v>0</v>
      </c>
      <c r="U512" s="367">
        <f t="shared" si="70"/>
        <v>0</v>
      </c>
      <c r="V512" s="367">
        <f t="shared" si="70"/>
        <v>0</v>
      </c>
      <c r="W512" s="367">
        <f t="shared" si="70"/>
        <v>0</v>
      </c>
      <c r="X512" s="367">
        <f t="shared" si="70"/>
        <v>0</v>
      </c>
      <c r="Y512" s="367">
        <f t="shared" si="70"/>
        <v>0</v>
      </c>
      <c r="Z512" s="367">
        <f t="shared" si="70"/>
        <v>0</v>
      </c>
    </row>
    <row r="513" spans="1:26" s="365" customFormat="1" ht="12.75" x14ac:dyDescent="0.2">
      <c r="A513" s="348">
        <f>IF(ADSI!$G$12="",ADSI!$H$16,ADSI!$H$12)</f>
        <v>6</v>
      </c>
      <c r="B513" s="348" t="str">
        <f ca="1">IF(ADSI!$G$12="",ADSI!$H$16,ADSI!$H$14)</f>
        <v/>
      </c>
      <c r="C513" s="403">
        <f t="shared" si="59"/>
        <v>937</v>
      </c>
      <c r="D513" s="348">
        <f>ADSI!$K$12</f>
        <v>2021</v>
      </c>
      <c r="E513" s="367">
        <f t="shared" ref="E513:Z513" si="71">D21</f>
        <v>0</v>
      </c>
      <c r="F513" s="367">
        <f t="shared" si="71"/>
        <v>0</v>
      </c>
      <c r="G513" s="367">
        <f t="shared" si="71"/>
        <v>0</v>
      </c>
      <c r="H513" s="367">
        <f t="shared" si="71"/>
        <v>0</v>
      </c>
      <c r="I513" s="367">
        <f t="shared" si="71"/>
        <v>0</v>
      </c>
      <c r="J513" s="367">
        <f t="shared" si="71"/>
        <v>0</v>
      </c>
      <c r="K513" s="367">
        <f t="shared" si="71"/>
        <v>0</v>
      </c>
      <c r="L513" s="367">
        <f t="shared" si="71"/>
        <v>0</v>
      </c>
      <c r="M513" s="367">
        <f t="shared" si="71"/>
        <v>0</v>
      </c>
      <c r="N513" s="367">
        <f t="shared" si="71"/>
        <v>0</v>
      </c>
      <c r="O513" s="367">
        <f t="shared" si="71"/>
        <v>0</v>
      </c>
      <c r="P513" s="367">
        <f t="shared" si="71"/>
        <v>0</v>
      </c>
      <c r="Q513" s="367">
        <f t="shared" si="71"/>
        <v>0</v>
      </c>
      <c r="R513" s="367">
        <f t="shared" si="71"/>
        <v>0</v>
      </c>
      <c r="S513" s="367">
        <f t="shared" si="71"/>
        <v>0</v>
      </c>
      <c r="T513" s="367">
        <f t="shared" si="71"/>
        <v>0</v>
      </c>
      <c r="U513" s="367">
        <f t="shared" si="71"/>
        <v>0</v>
      </c>
      <c r="V513" s="367">
        <f t="shared" si="71"/>
        <v>0</v>
      </c>
      <c r="W513" s="367">
        <f t="shared" si="71"/>
        <v>0</v>
      </c>
      <c r="X513" s="367">
        <f t="shared" si="71"/>
        <v>0</v>
      </c>
      <c r="Y513" s="367">
        <f t="shared" si="71"/>
        <v>0</v>
      </c>
      <c r="Z513" s="367">
        <f t="shared" si="71"/>
        <v>0</v>
      </c>
    </row>
    <row r="514" spans="1:26" s="365" customFormat="1" ht="12.75" x14ac:dyDescent="0.2">
      <c r="A514" s="348">
        <f>IF(ADSI!$G$12="",ADSI!$H$16,ADSI!$H$12)</f>
        <v>6</v>
      </c>
      <c r="B514" s="348" t="str">
        <f ca="1">IF(ADSI!$G$12="",ADSI!$H$16,ADSI!$H$14)</f>
        <v/>
      </c>
      <c r="C514" s="403">
        <f t="shared" si="59"/>
        <v>938</v>
      </c>
      <c r="D514" s="348">
        <f>ADSI!$K$12</f>
        <v>2021</v>
      </c>
      <c r="E514" s="367">
        <f t="shared" ref="E514:Z514" si="72">D22</f>
        <v>0</v>
      </c>
      <c r="F514" s="367">
        <f t="shared" si="72"/>
        <v>0</v>
      </c>
      <c r="G514" s="367">
        <f t="shared" si="72"/>
        <v>1</v>
      </c>
      <c r="H514" s="367">
        <f t="shared" si="72"/>
        <v>0</v>
      </c>
      <c r="I514" s="367">
        <f t="shared" si="72"/>
        <v>1</v>
      </c>
      <c r="J514" s="367">
        <f t="shared" si="72"/>
        <v>0</v>
      </c>
      <c r="K514" s="367">
        <f t="shared" si="72"/>
        <v>2</v>
      </c>
      <c r="L514" s="367">
        <f t="shared" si="72"/>
        <v>0</v>
      </c>
      <c r="M514" s="367">
        <f t="shared" si="72"/>
        <v>0</v>
      </c>
      <c r="N514" s="367">
        <f t="shared" si="72"/>
        <v>0</v>
      </c>
      <c r="O514" s="367">
        <f t="shared" si="72"/>
        <v>0</v>
      </c>
      <c r="P514" s="367">
        <f t="shared" si="72"/>
        <v>0</v>
      </c>
      <c r="Q514" s="367">
        <f t="shared" si="72"/>
        <v>0</v>
      </c>
      <c r="R514" s="367">
        <f t="shared" si="72"/>
        <v>0</v>
      </c>
      <c r="S514" s="367">
        <f t="shared" si="72"/>
        <v>0</v>
      </c>
      <c r="T514" s="367">
        <f t="shared" si="72"/>
        <v>0</v>
      </c>
      <c r="U514" s="367">
        <f t="shared" si="72"/>
        <v>0</v>
      </c>
      <c r="V514" s="367">
        <f t="shared" si="72"/>
        <v>0</v>
      </c>
      <c r="W514" s="367">
        <f t="shared" si="72"/>
        <v>0</v>
      </c>
      <c r="X514" s="367">
        <f t="shared" si="72"/>
        <v>0</v>
      </c>
      <c r="Y514" s="367">
        <f t="shared" si="72"/>
        <v>0</v>
      </c>
      <c r="Z514" s="367">
        <f t="shared" si="72"/>
        <v>2</v>
      </c>
    </row>
    <row r="515" spans="1:26" s="365" customFormat="1" ht="12.75" x14ac:dyDescent="0.2">
      <c r="A515" s="348">
        <f>IF(ADSI!$G$12="",ADSI!$H$16,ADSI!$H$12)</f>
        <v>6</v>
      </c>
      <c r="B515" s="348" t="str">
        <f ca="1">IF(ADSI!$G$12="",ADSI!$H$16,ADSI!$H$14)</f>
        <v/>
      </c>
      <c r="C515" s="403">
        <f t="shared" si="59"/>
        <v>939</v>
      </c>
      <c r="D515" s="348">
        <f>ADSI!$K$12</f>
        <v>2021</v>
      </c>
      <c r="E515" s="367">
        <f t="shared" ref="E515:Z515" si="73">D23</f>
        <v>0</v>
      </c>
      <c r="F515" s="367">
        <f t="shared" si="73"/>
        <v>0</v>
      </c>
      <c r="G515" s="367">
        <f t="shared" si="73"/>
        <v>0</v>
      </c>
      <c r="H515" s="367">
        <f t="shared" si="73"/>
        <v>0</v>
      </c>
      <c r="I515" s="367">
        <f t="shared" si="73"/>
        <v>0</v>
      </c>
      <c r="J515" s="367">
        <f t="shared" si="73"/>
        <v>0</v>
      </c>
      <c r="K515" s="367">
        <f t="shared" si="73"/>
        <v>0</v>
      </c>
      <c r="L515" s="367">
        <f t="shared" si="73"/>
        <v>0</v>
      </c>
      <c r="M515" s="367">
        <f t="shared" si="73"/>
        <v>0</v>
      </c>
      <c r="N515" s="367">
        <f t="shared" si="73"/>
        <v>0</v>
      </c>
      <c r="O515" s="367">
        <f t="shared" si="73"/>
        <v>0</v>
      </c>
      <c r="P515" s="367">
        <f t="shared" si="73"/>
        <v>0</v>
      </c>
      <c r="Q515" s="367">
        <f t="shared" si="73"/>
        <v>0</v>
      </c>
      <c r="R515" s="367">
        <f t="shared" si="73"/>
        <v>0</v>
      </c>
      <c r="S515" s="367">
        <f t="shared" si="73"/>
        <v>0</v>
      </c>
      <c r="T515" s="367">
        <f t="shared" si="73"/>
        <v>0</v>
      </c>
      <c r="U515" s="367">
        <f t="shared" si="73"/>
        <v>0</v>
      </c>
      <c r="V515" s="367">
        <f t="shared" si="73"/>
        <v>0</v>
      </c>
      <c r="W515" s="367">
        <f t="shared" si="73"/>
        <v>0</v>
      </c>
      <c r="X515" s="367">
        <f t="shared" si="73"/>
        <v>0</v>
      </c>
      <c r="Y515" s="367">
        <f t="shared" si="73"/>
        <v>0</v>
      </c>
      <c r="Z515" s="367">
        <f t="shared" si="73"/>
        <v>0</v>
      </c>
    </row>
    <row r="516" spans="1:26" s="365" customFormat="1" ht="12.75" x14ac:dyDescent="0.2">
      <c r="A516" s="348">
        <f>IF(ADSI!$G$12="",ADSI!$H$16,ADSI!$H$12)</f>
        <v>6</v>
      </c>
      <c r="B516" s="348" t="str">
        <f ca="1">IF(ADSI!$G$12="",ADSI!$H$16,ADSI!$H$14)</f>
        <v/>
      </c>
      <c r="C516" s="403">
        <f t="shared" si="59"/>
        <v>940</v>
      </c>
      <c r="D516" s="348">
        <f>ADSI!$K$12</f>
        <v>2021</v>
      </c>
      <c r="E516" s="367">
        <f t="shared" ref="E516:Z516" si="74">D24</f>
        <v>0</v>
      </c>
      <c r="F516" s="367">
        <f t="shared" si="74"/>
        <v>0</v>
      </c>
      <c r="G516" s="367">
        <f t="shared" si="74"/>
        <v>0</v>
      </c>
      <c r="H516" s="367">
        <f t="shared" si="74"/>
        <v>0</v>
      </c>
      <c r="I516" s="367">
        <f t="shared" si="74"/>
        <v>0</v>
      </c>
      <c r="J516" s="367">
        <f t="shared" si="74"/>
        <v>0</v>
      </c>
      <c r="K516" s="367">
        <f t="shared" si="74"/>
        <v>0</v>
      </c>
      <c r="L516" s="367">
        <f t="shared" si="74"/>
        <v>0</v>
      </c>
      <c r="M516" s="367">
        <f t="shared" si="74"/>
        <v>0</v>
      </c>
      <c r="N516" s="367">
        <f t="shared" si="74"/>
        <v>0</v>
      </c>
      <c r="O516" s="367">
        <f t="shared" si="74"/>
        <v>0</v>
      </c>
      <c r="P516" s="367">
        <f t="shared" si="74"/>
        <v>0</v>
      </c>
      <c r="Q516" s="367">
        <f t="shared" si="74"/>
        <v>0</v>
      </c>
      <c r="R516" s="367">
        <f t="shared" si="74"/>
        <v>0</v>
      </c>
      <c r="S516" s="367">
        <f t="shared" si="74"/>
        <v>0</v>
      </c>
      <c r="T516" s="367">
        <f t="shared" si="74"/>
        <v>0</v>
      </c>
      <c r="U516" s="367">
        <f t="shared" si="74"/>
        <v>0</v>
      </c>
      <c r="V516" s="367">
        <f t="shared" si="74"/>
        <v>0</v>
      </c>
      <c r="W516" s="367">
        <f t="shared" si="74"/>
        <v>0</v>
      </c>
      <c r="X516" s="367">
        <f t="shared" si="74"/>
        <v>0</v>
      </c>
      <c r="Y516" s="367">
        <f t="shared" si="74"/>
        <v>0</v>
      </c>
      <c r="Z516" s="367">
        <f t="shared" si="74"/>
        <v>0</v>
      </c>
    </row>
    <row r="517" spans="1:26" s="365" customFormat="1" ht="12.75" x14ac:dyDescent="0.2">
      <c r="A517" s="348">
        <f>IF(ADSI!$G$12="",ADSI!$H$16,ADSI!$H$12)</f>
        <v>6</v>
      </c>
      <c r="B517" s="348" t="str">
        <f ca="1">IF(ADSI!$G$12="",ADSI!$H$16,ADSI!$H$14)</f>
        <v/>
      </c>
      <c r="C517" s="403">
        <f t="shared" si="59"/>
        <v>960</v>
      </c>
      <c r="D517" s="348">
        <f>ADSI!$K$12</f>
        <v>2021</v>
      </c>
      <c r="E517" s="367">
        <f t="shared" ref="E517:Z517" si="75">D25</f>
        <v>2</v>
      </c>
      <c r="F517" s="367">
        <f t="shared" si="75"/>
        <v>6</v>
      </c>
      <c r="G517" s="367">
        <f t="shared" si="75"/>
        <v>65</v>
      </c>
      <c r="H517" s="367">
        <f t="shared" si="75"/>
        <v>79</v>
      </c>
      <c r="I517" s="367">
        <f t="shared" si="75"/>
        <v>81</v>
      </c>
      <c r="J517" s="367">
        <f t="shared" si="75"/>
        <v>16</v>
      </c>
      <c r="K517" s="367">
        <f t="shared" si="75"/>
        <v>249</v>
      </c>
      <c r="L517" s="367">
        <f t="shared" si="75"/>
        <v>1</v>
      </c>
      <c r="M517" s="367">
        <f t="shared" si="75"/>
        <v>4</v>
      </c>
      <c r="N517" s="367">
        <f t="shared" si="75"/>
        <v>19</v>
      </c>
      <c r="O517" s="367">
        <f t="shared" si="75"/>
        <v>21</v>
      </c>
      <c r="P517" s="367">
        <f t="shared" si="75"/>
        <v>11</v>
      </c>
      <c r="Q517" s="367">
        <f t="shared" si="75"/>
        <v>16</v>
      </c>
      <c r="R517" s="367">
        <f t="shared" si="75"/>
        <v>72</v>
      </c>
      <c r="S517" s="367">
        <f t="shared" si="75"/>
        <v>0</v>
      </c>
      <c r="T517" s="367">
        <f t="shared" si="75"/>
        <v>0</v>
      </c>
      <c r="U517" s="367">
        <f t="shared" si="75"/>
        <v>0</v>
      </c>
      <c r="V517" s="367">
        <f t="shared" si="75"/>
        <v>0</v>
      </c>
      <c r="W517" s="367">
        <f t="shared" si="75"/>
        <v>0</v>
      </c>
      <c r="X517" s="367">
        <f t="shared" si="75"/>
        <v>0</v>
      </c>
      <c r="Y517" s="367">
        <f t="shared" si="75"/>
        <v>0</v>
      </c>
      <c r="Z517" s="367">
        <f t="shared" si="75"/>
        <v>321</v>
      </c>
    </row>
    <row r="518" spans="1:26" s="365" customFormat="1" ht="12.75" x14ac:dyDescent="0.2">
      <c r="C518" s="366"/>
    </row>
    <row r="519" spans="1:26" s="365" customFormat="1" ht="12.75" x14ac:dyDescent="0.2">
      <c r="C519" s="366"/>
    </row>
    <row r="520" spans="1:26" s="365" customFormat="1" ht="12.75" x14ac:dyDescent="0.2">
      <c r="C520" s="366"/>
    </row>
    <row r="521" spans="1:26" s="365" customFormat="1" ht="12.75" x14ac:dyDescent="0.2">
      <c r="C521" s="366"/>
    </row>
    <row r="522" spans="1:26" s="365" customFormat="1" ht="12.75" x14ac:dyDescent="0.2">
      <c r="C522" s="366"/>
    </row>
    <row r="523" spans="1:26" s="365" customFormat="1" ht="12.75" x14ac:dyDescent="0.2">
      <c r="C523" s="366"/>
    </row>
    <row r="524" spans="1:26" s="365" customFormat="1" ht="12.75" x14ac:dyDescent="0.2">
      <c r="C524" s="366"/>
    </row>
    <row r="525" spans="1:26" s="365" customFormat="1" ht="12.75" x14ac:dyDescent="0.2">
      <c r="C525" s="366"/>
    </row>
    <row r="526" spans="1:26" s="365" customFormat="1" ht="12.75" x14ac:dyDescent="0.2">
      <c r="C526" s="366"/>
    </row>
    <row r="527" spans="1:26" s="365" customFormat="1" ht="12.75" x14ac:dyDescent="0.2">
      <c r="C527" s="366"/>
    </row>
    <row r="528" spans="1:26" s="365" customFormat="1" ht="12.75" x14ac:dyDescent="0.2">
      <c r="C528" s="366"/>
    </row>
    <row r="529" spans="3:3" s="365" customFormat="1" ht="12.75" x14ac:dyDescent="0.2">
      <c r="C529" s="366"/>
    </row>
    <row r="530" spans="3:3" s="365" customFormat="1" ht="12.75" x14ac:dyDescent="0.2">
      <c r="C530" s="366"/>
    </row>
    <row r="531" spans="3:3" s="365" customFormat="1" ht="12.75" x14ac:dyDescent="0.2">
      <c r="C531" s="366"/>
    </row>
    <row r="532" spans="3:3" s="365" customFormat="1" ht="12.75" x14ac:dyDescent="0.2">
      <c r="C532" s="366"/>
    </row>
    <row r="533" spans="3:3" s="365" customFormat="1" ht="12.75" x14ac:dyDescent="0.2">
      <c r="C533" s="366"/>
    </row>
    <row r="534" spans="3:3" s="365" customFormat="1" ht="12.75" x14ac:dyDescent="0.2"/>
    <row r="535" spans="3:3" s="365" customFormat="1" ht="12.75" x14ac:dyDescent="0.2"/>
    <row r="536" spans="3:3" s="365" customFormat="1" ht="12.75" x14ac:dyDescent="0.2"/>
    <row r="537" spans="3:3" s="365" customFormat="1" ht="12.75" x14ac:dyDescent="0.2"/>
    <row r="538" spans="3:3" s="365" customFormat="1" ht="12.75" x14ac:dyDescent="0.2"/>
    <row r="539" spans="3:3" s="365" customFormat="1" ht="12.75" x14ac:dyDescent="0.2"/>
    <row r="540" spans="3:3" s="365" customFormat="1" ht="12.75" x14ac:dyDescent="0.2"/>
    <row r="541" spans="3:3" s="365" customFormat="1" ht="12.75" x14ac:dyDescent="0.2"/>
    <row r="542" spans="3:3" s="365" customFormat="1" ht="12.75" x14ac:dyDescent="0.2"/>
    <row r="543" spans="3:3" s="365" customFormat="1" ht="12.75" x14ac:dyDescent="0.2"/>
    <row r="544" spans="3:3" s="365" customFormat="1" ht="12.75" x14ac:dyDescent="0.2"/>
    <row r="545" s="365" customFormat="1" ht="12.75" x14ac:dyDescent="0.2"/>
    <row r="546" s="365" customFormat="1" ht="12.75" x14ac:dyDescent="0.2"/>
    <row r="547" s="365" customFormat="1" ht="12.75" x14ac:dyDescent="0.2"/>
    <row r="548" s="365" customFormat="1" ht="12.75" x14ac:dyDescent="0.2"/>
    <row r="549" s="365" customFormat="1" ht="12.75" x14ac:dyDescent="0.2"/>
    <row r="550" s="365" customFormat="1" ht="12.75" x14ac:dyDescent="0.2"/>
    <row r="551" s="365" customFormat="1" ht="12.75" x14ac:dyDescent="0.2"/>
  </sheetData>
  <sheetProtection password="C614" sheet="1" objects="1" scenarios="1" selectLockedCells="1"/>
  <mergeCells count="24">
    <mergeCell ref="BA227:BB227"/>
    <mergeCell ref="BA228:BB228"/>
    <mergeCell ref="BA229:BB229"/>
    <mergeCell ref="A28:C28"/>
    <mergeCell ref="A29:C29"/>
    <mergeCell ref="A30:C30"/>
    <mergeCell ref="BA204:BA206"/>
    <mergeCell ref="BB204:BB206"/>
    <mergeCell ref="A27:C27"/>
    <mergeCell ref="Y5:Y7"/>
    <mergeCell ref="D6:J6"/>
    <mergeCell ref="K6:Q6"/>
    <mergeCell ref="B5:B7"/>
    <mergeCell ref="C5:C7"/>
    <mergeCell ref="R6:X6"/>
    <mergeCell ref="D5:X5"/>
    <mergeCell ref="A26:C26"/>
    <mergeCell ref="A5:A7"/>
    <mergeCell ref="BX204:BX206"/>
    <mergeCell ref="BQ205:BW205"/>
    <mergeCell ref="BJ205:BP205"/>
    <mergeCell ref="BC205:BI205"/>
    <mergeCell ref="BC204:BP204"/>
    <mergeCell ref="BQ204:BW204"/>
  </mergeCells>
  <conditionalFormatting sqref="D27:Y27">
    <cfRule type="cellIs" dxfId="27" priority="3" operator="equal">
      <formula>FALSE</formula>
    </cfRule>
  </conditionalFormatting>
  <conditionalFormatting sqref="D28:Y30">
    <cfRule type="cellIs" dxfId="26" priority="1" operator="equal">
      <formula>"ABVAR"</formula>
    </cfRule>
    <cfRule type="cellIs" dxfId="25" priority="2" operator="equal">
      <formula>FALSE</formula>
    </cfRule>
  </conditionalFormatting>
  <dataValidations count="1">
    <dataValidation type="whole" allowBlank="1" showInputMessage="1" showErrorMessage="1" sqref="D9:I13 D15:I17 D19:I24 K9:P13 K15:P17 K19:P24 R9:W13 R15:W17 R19:W24">
      <formula1>0</formula1>
      <formula2>999999999</formula2>
    </dataValidation>
  </dataValidations>
  <pageMargins left="0.70866141732283472" right="0.39370078740157483" top="0.74803149606299213" bottom="0.74803149606299213" header="0.31496062992125984" footer="0.19685039370078741"/>
  <pageSetup paperSize="5" orientation="landscape" r:id="rId1"/>
  <headerFooter>
    <oddFooter>&amp;L&amp;9ADSI - &amp;A&amp;C&amp;9&amp;D &amp;T&amp;R&amp;9Page &amp;P of &amp;N</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A530"/>
  <sheetViews>
    <sheetView showGridLines="0" zoomScaleNormal="100" workbookViewId="0">
      <pane xSplit="3" ySplit="8" topLeftCell="D9" activePane="bottomRight" state="frozen"/>
      <selection activeCell="D9" sqref="D9"/>
      <selection pane="topRight" activeCell="D9" sqref="D9"/>
      <selection pane="bottomLeft" activeCell="D9" sqref="D9"/>
      <selection pane="bottomRight" activeCell="D9" sqref="D9"/>
    </sheetView>
  </sheetViews>
  <sheetFormatPr defaultRowHeight="15" x14ac:dyDescent="0.25"/>
  <cols>
    <col min="1" max="2" width="6.7109375" style="2" customWidth="1"/>
    <col min="3" max="3" width="31.7109375" style="2" customWidth="1"/>
    <col min="4" max="9" width="12.7109375" style="2" customWidth="1"/>
    <col min="10" max="10" width="15.7109375" style="2" customWidth="1"/>
    <col min="11" max="16" width="12.7109375" style="2" customWidth="1"/>
    <col min="17" max="17" width="15.7109375" style="2" customWidth="1"/>
    <col min="18" max="23" width="12.7109375" style="2" customWidth="1"/>
    <col min="24" max="25" width="15.7109375" style="2" customWidth="1"/>
    <col min="26" max="26" width="8.7109375" style="2" customWidth="1"/>
    <col min="27" max="52" width="9.140625" style="2"/>
    <col min="53" max="53" width="5" style="2" customWidth="1"/>
    <col min="54" max="54" width="27.7109375" style="2" bestFit="1" customWidth="1"/>
    <col min="55" max="16384" width="9.140625" style="2"/>
  </cols>
  <sheetData>
    <row r="1" spans="1:26" ht="15.75" x14ac:dyDescent="0.25">
      <c r="A1" s="285" t="str">
        <f>ADSI!$B$1</f>
        <v>Goa, , ADSI-2021</v>
      </c>
    </row>
    <row r="2" spans="1:26" ht="15.75" x14ac:dyDescent="0.25">
      <c r="A2" s="286" t="s">
        <v>657</v>
      </c>
      <c r="C2" s="291">
        <f>COUNTIF(D39:Y39,FALSE)+COUNTIF(D41:Y41,FALSE)</f>
        <v>0</v>
      </c>
      <c r="E2" s="465" t="s">
        <v>1570</v>
      </c>
      <c r="F2" s="464">
        <f>COUNTIF(D42:Y43,"ABVAR")</f>
        <v>0</v>
      </c>
    </row>
    <row r="3" spans="1:26" ht="15.75" x14ac:dyDescent="0.25">
      <c r="A3" s="296" t="s">
        <v>644</v>
      </c>
      <c r="C3" s="61"/>
      <c r="D3" s="61"/>
      <c r="E3" s="61"/>
      <c r="F3" s="61"/>
      <c r="G3" s="61"/>
      <c r="H3" s="61"/>
      <c r="I3" s="61"/>
      <c r="J3" s="61"/>
      <c r="K3" s="61"/>
      <c r="L3" s="61"/>
      <c r="M3" s="61"/>
      <c r="N3" s="35"/>
      <c r="P3" s="61"/>
      <c r="Q3" s="61"/>
      <c r="R3" s="61"/>
      <c r="S3" s="61"/>
      <c r="T3" s="61"/>
      <c r="U3" s="61"/>
      <c r="V3" s="61"/>
      <c r="W3" s="61"/>
      <c r="X3" s="61"/>
      <c r="Y3" s="61"/>
    </row>
    <row r="4" spans="1:26" x14ac:dyDescent="0.25">
      <c r="A4" s="296" t="s">
        <v>1660</v>
      </c>
      <c r="C4" s="61"/>
      <c r="D4" s="61"/>
      <c r="E4" s="61"/>
      <c r="F4" s="61"/>
      <c r="G4" s="61"/>
      <c r="H4" s="61"/>
      <c r="I4" s="61"/>
      <c r="J4" s="61"/>
      <c r="K4" s="61"/>
      <c r="L4" s="61"/>
      <c r="M4" s="61"/>
      <c r="P4" s="61"/>
      <c r="Q4" s="61"/>
      <c r="R4" s="61"/>
      <c r="S4" s="61"/>
      <c r="T4" s="61"/>
      <c r="U4" s="61"/>
      <c r="V4" s="61"/>
      <c r="W4" s="61"/>
      <c r="X4" s="61"/>
      <c r="Y4" s="61"/>
    </row>
    <row r="5" spans="1:26" ht="20.100000000000001" customHeight="1" x14ac:dyDescent="0.25">
      <c r="A5" s="725" t="s">
        <v>249</v>
      </c>
      <c r="B5" s="725" t="s">
        <v>0</v>
      </c>
      <c r="C5" s="728" t="s">
        <v>34</v>
      </c>
      <c r="D5" s="641" t="s">
        <v>139</v>
      </c>
      <c r="E5" s="642"/>
      <c r="F5" s="642"/>
      <c r="G5" s="642"/>
      <c r="H5" s="642"/>
      <c r="I5" s="642"/>
      <c r="J5" s="642"/>
      <c r="K5" s="642"/>
      <c r="L5" s="642"/>
      <c r="M5" s="642"/>
      <c r="N5" s="642"/>
      <c r="O5" s="642"/>
      <c r="P5" s="642"/>
      <c r="Q5" s="642"/>
      <c r="R5" s="642"/>
      <c r="S5" s="642"/>
      <c r="T5" s="642"/>
      <c r="U5" s="642"/>
      <c r="V5" s="642"/>
      <c r="W5" s="642"/>
      <c r="X5" s="643"/>
      <c r="Y5" s="698" t="s">
        <v>284</v>
      </c>
    </row>
    <row r="6" spans="1:26" ht="20.100000000000001" customHeight="1" x14ac:dyDescent="0.25">
      <c r="A6" s="726"/>
      <c r="B6" s="726"/>
      <c r="C6" s="729"/>
      <c r="D6" s="646" t="s">
        <v>38</v>
      </c>
      <c r="E6" s="646"/>
      <c r="F6" s="646"/>
      <c r="G6" s="646"/>
      <c r="H6" s="646"/>
      <c r="I6" s="646"/>
      <c r="J6" s="646"/>
      <c r="K6" s="698" t="s">
        <v>39</v>
      </c>
      <c r="L6" s="698"/>
      <c r="M6" s="698"/>
      <c r="N6" s="698"/>
      <c r="O6" s="698"/>
      <c r="P6" s="698"/>
      <c r="Q6" s="698"/>
      <c r="R6" s="641" t="s">
        <v>240</v>
      </c>
      <c r="S6" s="642"/>
      <c r="T6" s="642"/>
      <c r="U6" s="642"/>
      <c r="V6" s="642"/>
      <c r="W6" s="642"/>
      <c r="X6" s="643"/>
      <c r="Y6" s="698"/>
    </row>
    <row r="7" spans="1:26" ht="45" x14ac:dyDescent="0.25">
      <c r="A7" s="727"/>
      <c r="B7" s="727"/>
      <c r="C7" s="730"/>
      <c r="D7" s="75" t="s">
        <v>169</v>
      </c>
      <c r="E7" s="75" t="s">
        <v>31</v>
      </c>
      <c r="F7" s="75" t="s">
        <v>171</v>
      </c>
      <c r="G7" s="75" t="s">
        <v>15</v>
      </c>
      <c r="H7" s="75" t="s">
        <v>178</v>
      </c>
      <c r="I7" s="75" t="s">
        <v>16</v>
      </c>
      <c r="J7" s="75" t="s">
        <v>198</v>
      </c>
      <c r="K7" s="225" t="s">
        <v>169</v>
      </c>
      <c r="L7" s="225" t="s">
        <v>31</v>
      </c>
      <c r="M7" s="225" t="s">
        <v>171</v>
      </c>
      <c r="N7" s="225" t="s">
        <v>15</v>
      </c>
      <c r="O7" s="225" t="s">
        <v>178</v>
      </c>
      <c r="P7" s="225" t="s">
        <v>16</v>
      </c>
      <c r="Q7" s="225" t="s">
        <v>202</v>
      </c>
      <c r="R7" s="75" t="s">
        <v>169</v>
      </c>
      <c r="S7" s="75" t="s">
        <v>31</v>
      </c>
      <c r="T7" s="75" t="s">
        <v>171</v>
      </c>
      <c r="U7" s="75" t="s">
        <v>15</v>
      </c>
      <c r="V7" s="75" t="s">
        <v>178</v>
      </c>
      <c r="W7" s="75" t="s">
        <v>16</v>
      </c>
      <c r="X7" s="75" t="s">
        <v>241</v>
      </c>
      <c r="Y7" s="698"/>
    </row>
    <row r="8" spans="1:26" ht="20.100000000000001" customHeight="1" x14ac:dyDescent="0.25">
      <c r="A8" s="8"/>
      <c r="B8" s="8" t="s">
        <v>181</v>
      </c>
      <c r="C8" s="219" t="s">
        <v>182</v>
      </c>
      <c r="D8" s="8" t="s">
        <v>183</v>
      </c>
      <c r="E8" s="9" t="s">
        <v>184</v>
      </c>
      <c r="F8" s="9" t="s">
        <v>185</v>
      </c>
      <c r="G8" s="9" t="s">
        <v>186</v>
      </c>
      <c r="H8" s="8" t="s">
        <v>187</v>
      </c>
      <c r="I8" s="8" t="s">
        <v>188</v>
      </c>
      <c r="J8" s="8" t="s">
        <v>189</v>
      </c>
      <c r="K8" s="219" t="s">
        <v>190</v>
      </c>
      <c r="L8" s="219" t="s">
        <v>191</v>
      </c>
      <c r="M8" s="219" t="s">
        <v>192</v>
      </c>
      <c r="N8" s="219" t="s">
        <v>193</v>
      </c>
      <c r="O8" s="219" t="s">
        <v>194</v>
      </c>
      <c r="P8" s="219" t="s">
        <v>195</v>
      </c>
      <c r="Q8" s="219" t="s">
        <v>196</v>
      </c>
      <c r="R8" s="8" t="s">
        <v>197</v>
      </c>
      <c r="S8" s="8" t="s">
        <v>204</v>
      </c>
      <c r="T8" s="8" t="s">
        <v>205</v>
      </c>
      <c r="U8" s="8" t="s">
        <v>206</v>
      </c>
      <c r="V8" s="8" t="s">
        <v>207</v>
      </c>
      <c r="W8" s="8" t="s">
        <v>208</v>
      </c>
      <c r="X8" s="8" t="s">
        <v>209</v>
      </c>
      <c r="Y8" s="219" t="s">
        <v>210</v>
      </c>
    </row>
    <row r="9" spans="1:26" ht="20.100000000000001" customHeight="1" x14ac:dyDescent="0.25">
      <c r="A9" s="72">
        <v>975</v>
      </c>
      <c r="B9" s="118">
        <v>1</v>
      </c>
      <c r="C9" s="76" t="s">
        <v>121</v>
      </c>
      <c r="D9" s="234">
        <v>0</v>
      </c>
      <c r="E9" s="234">
        <v>0</v>
      </c>
      <c r="F9" s="234">
        <v>0</v>
      </c>
      <c r="G9" s="234">
        <v>0</v>
      </c>
      <c r="H9" s="234">
        <v>0</v>
      </c>
      <c r="I9" s="234">
        <v>0</v>
      </c>
      <c r="J9" s="458">
        <f>SUM(D9:I9)</f>
        <v>0</v>
      </c>
      <c r="K9" s="234">
        <v>0</v>
      </c>
      <c r="L9" s="234">
        <v>0</v>
      </c>
      <c r="M9" s="234">
        <v>0</v>
      </c>
      <c r="N9" s="234">
        <v>0</v>
      </c>
      <c r="O9" s="234">
        <v>0</v>
      </c>
      <c r="P9" s="234">
        <v>0</v>
      </c>
      <c r="Q9" s="458">
        <f>SUM(K9:P9)</f>
        <v>0</v>
      </c>
      <c r="R9" s="251">
        <v>0</v>
      </c>
      <c r="S9" s="251">
        <v>0</v>
      </c>
      <c r="T9" s="251">
        <v>0</v>
      </c>
      <c r="U9" s="251">
        <v>0</v>
      </c>
      <c r="V9" s="251">
        <v>0</v>
      </c>
      <c r="W9" s="251">
        <v>0</v>
      </c>
      <c r="X9" s="458">
        <f>SUM(R9:W9)</f>
        <v>0</v>
      </c>
      <c r="Y9" s="458">
        <f>SUM(J9+Q9+X9)</f>
        <v>0</v>
      </c>
      <c r="Z9" s="336"/>
    </row>
    <row r="10" spans="1:26" ht="20.100000000000001" customHeight="1" x14ac:dyDescent="0.25">
      <c r="A10" s="77">
        <v>976</v>
      </c>
      <c r="B10" s="118">
        <v>2</v>
      </c>
      <c r="C10" s="11" t="s">
        <v>123</v>
      </c>
      <c r="D10" s="234">
        <v>0</v>
      </c>
      <c r="E10" s="234">
        <v>0</v>
      </c>
      <c r="F10" s="234">
        <v>0</v>
      </c>
      <c r="G10" s="234">
        <v>0</v>
      </c>
      <c r="H10" s="234">
        <v>0</v>
      </c>
      <c r="I10" s="234">
        <v>0</v>
      </c>
      <c r="J10" s="458">
        <f t="shared" ref="J10:J36" si="0">SUM(D10:I10)</f>
        <v>0</v>
      </c>
      <c r="K10" s="234">
        <v>0</v>
      </c>
      <c r="L10" s="234">
        <v>0</v>
      </c>
      <c r="M10" s="234">
        <v>0</v>
      </c>
      <c r="N10" s="234">
        <v>0</v>
      </c>
      <c r="O10" s="234">
        <v>0</v>
      </c>
      <c r="P10" s="234">
        <v>0</v>
      </c>
      <c r="Q10" s="458">
        <f t="shared" ref="Q10:Q36" si="1">SUM(K10:P10)</f>
        <v>0</v>
      </c>
      <c r="R10" s="251">
        <v>0</v>
      </c>
      <c r="S10" s="251">
        <v>0</v>
      </c>
      <c r="T10" s="251">
        <v>0</v>
      </c>
      <c r="U10" s="251">
        <v>0</v>
      </c>
      <c r="V10" s="251">
        <v>0</v>
      </c>
      <c r="W10" s="251">
        <v>0</v>
      </c>
      <c r="X10" s="458">
        <f t="shared" ref="X10:X36" si="2">SUM(R10:W10)</f>
        <v>0</v>
      </c>
      <c r="Y10" s="458">
        <f t="shared" ref="Y10:Y37" si="3">SUM(J10+Q10+X10)</f>
        <v>0</v>
      </c>
      <c r="Z10" s="336"/>
    </row>
    <row r="11" spans="1:26" ht="30" x14ac:dyDescent="0.25">
      <c r="A11" s="72">
        <v>977</v>
      </c>
      <c r="B11" s="118">
        <v>3</v>
      </c>
      <c r="C11" s="434" t="s">
        <v>1604</v>
      </c>
      <c r="D11" s="457">
        <f>SUM(D12:D16)</f>
        <v>0</v>
      </c>
      <c r="E11" s="457">
        <f t="shared" ref="E11:K11" si="4">SUM(E12:E16)</f>
        <v>0</v>
      </c>
      <c r="F11" s="457">
        <f t="shared" si="4"/>
        <v>0</v>
      </c>
      <c r="G11" s="457">
        <f t="shared" si="4"/>
        <v>0</v>
      </c>
      <c r="H11" s="457">
        <f t="shared" si="4"/>
        <v>0</v>
      </c>
      <c r="I11" s="457">
        <f t="shared" si="4"/>
        <v>0</v>
      </c>
      <c r="J11" s="458">
        <f t="shared" si="0"/>
        <v>0</v>
      </c>
      <c r="K11" s="457">
        <f t="shared" si="4"/>
        <v>0</v>
      </c>
      <c r="L11" s="457">
        <f t="shared" ref="L11" si="5">SUM(L12:L16)</f>
        <v>0</v>
      </c>
      <c r="M11" s="457">
        <f t="shared" ref="M11" si="6">SUM(M12:M16)</f>
        <v>0</v>
      </c>
      <c r="N11" s="457">
        <f t="shared" ref="N11" si="7">SUM(N12:N16)</f>
        <v>0</v>
      </c>
      <c r="O11" s="457">
        <f t="shared" ref="O11" si="8">SUM(O12:O16)</f>
        <v>0</v>
      </c>
      <c r="P11" s="457">
        <f t="shared" ref="P11:R11" si="9">SUM(P12:P16)</f>
        <v>0</v>
      </c>
      <c r="Q11" s="458">
        <f t="shared" si="1"/>
        <v>0</v>
      </c>
      <c r="R11" s="457">
        <f t="shared" si="9"/>
        <v>0</v>
      </c>
      <c r="S11" s="457">
        <f t="shared" ref="S11" si="10">SUM(S12:S16)</f>
        <v>0</v>
      </c>
      <c r="T11" s="457">
        <f t="shared" ref="T11" si="11">SUM(T12:T16)</f>
        <v>0</v>
      </c>
      <c r="U11" s="457">
        <f t="shared" ref="U11" si="12">SUM(U12:U16)</f>
        <v>0</v>
      </c>
      <c r="V11" s="457">
        <f t="shared" ref="V11" si="13">SUM(V12:V16)</f>
        <v>0</v>
      </c>
      <c r="W11" s="457">
        <f t="shared" ref="W11" si="14">SUM(W12:W16)</f>
        <v>0</v>
      </c>
      <c r="X11" s="458">
        <f t="shared" si="2"/>
        <v>0</v>
      </c>
      <c r="Y11" s="458">
        <f t="shared" si="3"/>
        <v>0</v>
      </c>
      <c r="Z11" s="336"/>
    </row>
    <row r="12" spans="1:26" ht="20.100000000000001" customHeight="1" x14ac:dyDescent="0.25">
      <c r="A12" s="118">
        <v>978</v>
      </c>
      <c r="B12" s="118"/>
      <c r="C12" s="181" t="s">
        <v>1605</v>
      </c>
      <c r="D12" s="235">
        <v>0</v>
      </c>
      <c r="E12" s="235">
        <v>0</v>
      </c>
      <c r="F12" s="234">
        <v>0</v>
      </c>
      <c r="G12" s="234">
        <v>0</v>
      </c>
      <c r="H12" s="234">
        <v>0</v>
      </c>
      <c r="I12" s="234">
        <v>0</v>
      </c>
      <c r="J12" s="458">
        <f t="shared" si="0"/>
        <v>0</v>
      </c>
      <c r="K12" s="234">
        <v>0</v>
      </c>
      <c r="L12" s="234">
        <v>0</v>
      </c>
      <c r="M12" s="234">
        <v>0</v>
      </c>
      <c r="N12" s="235">
        <v>0</v>
      </c>
      <c r="O12" s="234">
        <v>0</v>
      </c>
      <c r="P12" s="234">
        <v>0</v>
      </c>
      <c r="Q12" s="458">
        <f t="shared" si="1"/>
        <v>0</v>
      </c>
      <c r="R12" s="251">
        <v>0</v>
      </c>
      <c r="S12" s="251">
        <v>0</v>
      </c>
      <c r="T12" s="251">
        <v>0</v>
      </c>
      <c r="U12" s="251">
        <v>0</v>
      </c>
      <c r="V12" s="251">
        <v>0</v>
      </c>
      <c r="W12" s="251">
        <v>0</v>
      </c>
      <c r="X12" s="458">
        <f t="shared" si="2"/>
        <v>0</v>
      </c>
      <c r="Y12" s="458">
        <f t="shared" si="3"/>
        <v>0</v>
      </c>
      <c r="Z12" s="336"/>
    </row>
    <row r="13" spans="1:26" ht="20.100000000000001" customHeight="1" x14ac:dyDescent="0.25">
      <c r="A13" s="72">
        <v>979</v>
      </c>
      <c r="B13" s="118"/>
      <c r="C13" s="228" t="s">
        <v>1606</v>
      </c>
      <c r="D13" s="234">
        <v>0</v>
      </c>
      <c r="E13" s="234">
        <v>0</v>
      </c>
      <c r="F13" s="234">
        <v>0</v>
      </c>
      <c r="G13" s="234">
        <v>0</v>
      </c>
      <c r="H13" s="234">
        <v>0</v>
      </c>
      <c r="I13" s="234">
        <v>0</v>
      </c>
      <c r="J13" s="458">
        <f t="shared" si="0"/>
        <v>0</v>
      </c>
      <c r="K13" s="234">
        <v>0</v>
      </c>
      <c r="L13" s="234">
        <v>0</v>
      </c>
      <c r="M13" s="234">
        <v>0</v>
      </c>
      <c r="N13" s="234">
        <v>0</v>
      </c>
      <c r="O13" s="234">
        <v>0</v>
      </c>
      <c r="P13" s="234">
        <v>0</v>
      </c>
      <c r="Q13" s="458">
        <f t="shared" si="1"/>
        <v>0</v>
      </c>
      <c r="R13" s="251">
        <v>0</v>
      </c>
      <c r="S13" s="251">
        <v>0</v>
      </c>
      <c r="T13" s="251">
        <v>0</v>
      </c>
      <c r="U13" s="251">
        <v>0</v>
      </c>
      <c r="V13" s="251">
        <v>0</v>
      </c>
      <c r="W13" s="251">
        <v>0</v>
      </c>
      <c r="X13" s="458">
        <f t="shared" si="2"/>
        <v>0</v>
      </c>
      <c r="Y13" s="458">
        <f t="shared" si="3"/>
        <v>0</v>
      </c>
      <c r="Z13" s="336"/>
    </row>
    <row r="14" spans="1:26" ht="20.100000000000001" customHeight="1" x14ac:dyDescent="0.25">
      <c r="A14" s="118">
        <v>980</v>
      </c>
      <c r="B14" s="118"/>
      <c r="C14" s="181" t="s">
        <v>1607</v>
      </c>
      <c r="D14" s="234">
        <v>0</v>
      </c>
      <c r="E14" s="234">
        <v>0</v>
      </c>
      <c r="F14" s="234">
        <v>0</v>
      </c>
      <c r="G14" s="234">
        <v>0</v>
      </c>
      <c r="H14" s="234">
        <v>0</v>
      </c>
      <c r="I14" s="234">
        <v>0</v>
      </c>
      <c r="J14" s="458">
        <f t="shared" si="0"/>
        <v>0</v>
      </c>
      <c r="K14" s="234">
        <v>0</v>
      </c>
      <c r="L14" s="234">
        <v>0</v>
      </c>
      <c r="M14" s="234">
        <v>0</v>
      </c>
      <c r="N14" s="234">
        <v>0</v>
      </c>
      <c r="O14" s="234">
        <v>0</v>
      </c>
      <c r="P14" s="234">
        <v>0</v>
      </c>
      <c r="Q14" s="458">
        <f t="shared" si="1"/>
        <v>0</v>
      </c>
      <c r="R14" s="251">
        <v>0</v>
      </c>
      <c r="S14" s="251">
        <v>0</v>
      </c>
      <c r="T14" s="251">
        <v>0</v>
      </c>
      <c r="U14" s="251">
        <v>0</v>
      </c>
      <c r="V14" s="251">
        <v>0</v>
      </c>
      <c r="W14" s="251">
        <v>0</v>
      </c>
      <c r="X14" s="458">
        <f t="shared" si="2"/>
        <v>0</v>
      </c>
      <c r="Y14" s="458">
        <f t="shared" si="3"/>
        <v>0</v>
      </c>
      <c r="Z14" s="336"/>
    </row>
    <row r="15" spans="1:26" ht="20.100000000000001" customHeight="1" x14ac:dyDescent="0.25">
      <c r="A15" s="72">
        <v>981</v>
      </c>
      <c r="B15" s="118"/>
      <c r="C15" s="181" t="s">
        <v>1608</v>
      </c>
      <c r="D15" s="234">
        <v>0</v>
      </c>
      <c r="E15" s="234">
        <v>0</v>
      </c>
      <c r="F15" s="234">
        <v>0</v>
      </c>
      <c r="G15" s="234">
        <v>0</v>
      </c>
      <c r="H15" s="234">
        <v>0</v>
      </c>
      <c r="I15" s="234">
        <v>0</v>
      </c>
      <c r="J15" s="458">
        <f t="shared" si="0"/>
        <v>0</v>
      </c>
      <c r="K15" s="234">
        <v>0</v>
      </c>
      <c r="L15" s="234">
        <v>0</v>
      </c>
      <c r="M15" s="234">
        <v>0</v>
      </c>
      <c r="N15" s="234">
        <v>0</v>
      </c>
      <c r="O15" s="234">
        <v>0</v>
      </c>
      <c r="P15" s="234">
        <v>0</v>
      </c>
      <c r="Q15" s="458">
        <f t="shared" si="1"/>
        <v>0</v>
      </c>
      <c r="R15" s="251">
        <v>0</v>
      </c>
      <c r="S15" s="251">
        <v>0</v>
      </c>
      <c r="T15" s="251">
        <v>0</v>
      </c>
      <c r="U15" s="251">
        <v>0</v>
      </c>
      <c r="V15" s="251">
        <v>0</v>
      </c>
      <c r="W15" s="251">
        <v>0</v>
      </c>
      <c r="X15" s="458">
        <f t="shared" si="2"/>
        <v>0</v>
      </c>
      <c r="Y15" s="458">
        <f t="shared" si="3"/>
        <v>0</v>
      </c>
      <c r="Z15" s="336"/>
    </row>
    <row r="16" spans="1:26" ht="20.100000000000001" customHeight="1" x14ac:dyDescent="0.25">
      <c r="A16" s="118">
        <v>982</v>
      </c>
      <c r="B16" s="118"/>
      <c r="C16" s="181" t="s">
        <v>1441</v>
      </c>
      <c r="D16" s="235">
        <v>0</v>
      </c>
      <c r="E16" s="234">
        <v>0</v>
      </c>
      <c r="F16" s="234">
        <v>0</v>
      </c>
      <c r="G16" s="234">
        <v>0</v>
      </c>
      <c r="H16" s="234">
        <v>0</v>
      </c>
      <c r="I16" s="234">
        <v>0</v>
      </c>
      <c r="J16" s="458">
        <f t="shared" si="0"/>
        <v>0</v>
      </c>
      <c r="K16" s="234">
        <v>0</v>
      </c>
      <c r="L16" s="234">
        <v>0</v>
      </c>
      <c r="M16" s="235">
        <v>0</v>
      </c>
      <c r="N16" s="234">
        <v>0</v>
      </c>
      <c r="O16" s="234">
        <v>0</v>
      </c>
      <c r="P16" s="234">
        <v>0</v>
      </c>
      <c r="Q16" s="458">
        <f t="shared" si="1"/>
        <v>0</v>
      </c>
      <c r="R16" s="251">
        <v>0</v>
      </c>
      <c r="S16" s="251">
        <v>0</v>
      </c>
      <c r="T16" s="251">
        <v>0</v>
      </c>
      <c r="U16" s="251">
        <v>0</v>
      </c>
      <c r="V16" s="251">
        <v>0</v>
      </c>
      <c r="W16" s="251">
        <v>0</v>
      </c>
      <c r="X16" s="458">
        <f t="shared" si="2"/>
        <v>0</v>
      </c>
      <c r="Y16" s="458">
        <f t="shared" si="3"/>
        <v>0</v>
      </c>
      <c r="Z16" s="336"/>
    </row>
    <row r="17" spans="1:26" ht="20.100000000000001" customHeight="1" x14ac:dyDescent="0.25">
      <c r="A17" s="72">
        <v>983</v>
      </c>
      <c r="B17" s="118">
        <v>4</v>
      </c>
      <c r="C17" s="524" t="s">
        <v>127</v>
      </c>
      <c r="D17" s="234">
        <v>0</v>
      </c>
      <c r="E17" s="234">
        <v>0</v>
      </c>
      <c r="F17" s="234">
        <v>0</v>
      </c>
      <c r="G17" s="234">
        <v>0</v>
      </c>
      <c r="H17" s="234">
        <v>0</v>
      </c>
      <c r="I17" s="234">
        <v>0</v>
      </c>
      <c r="J17" s="458">
        <f t="shared" si="0"/>
        <v>0</v>
      </c>
      <c r="K17" s="234">
        <v>0</v>
      </c>
      <c r="L17" s="234">
        <v>0</v>
      </c>
      <c r="M17" s="234">
        <v>0</v>
      </c>
      <c r="N17" s="234">
        <v>0</v>
      </c>
      <c r="O17" s="234">
        <v>0</v>
      </c>
      <c r="P17" s="234">
        <v>0</v>
      </c>
      <c r="Q17" s="458">
        <f t="shared" si="1"/>
        <v>0</v>
      </c>
      <c r="R17" s="251">
        <v>0</v>
      </c>
      <c r="S17" s="251">
        <v>0</v>
      </c>
      <c r="T17" s="251">
        <v>0</v>
      </c>
      <c r="U17" s="251">
        <v>0</v>
      </c>
      <c r="V17" s="251">
        <v>0</v>
      </c>
      <c r="W17" s="251">
        <v>0</v>
      </c>
      <c r="X17" s="458">
        <f t="shared" si="2"/>
        <v>0</v>
      </c>
      <c r="Y17" s="458">
        <f t="shared" si="3"/>
        <v>0</v>
      </c>
      <c r="Z17" s="336"/>
    </row>
    <row r="18" spans="1:26" ht="30" x14ac:dyDescent="0.25">
      <c r="A18" s="118">
        <v>984</v>
      </c>
      <c r="B18" s="118">
        <v>5</v>
      </c>
      <c r="C18" s="434" t="s">
        <v>1609</v>
      </c>
      <c r="D18" s="457">
        <f>SUM(D19,D22)</f>
        <v>0</v>
      </c>
      <c r="E18" s="457">
        <f t="shared" ref="E18:K18" si="15">SUM(E19,E22)</f>
        <v>0</v>
      </c>
      <c r="F18" s="457">
        <f t="shared" si="15"/>
        <v>0</v>
      </c>
      <c r="G18" s="457">
        <f t="shared" si="15"/>
        <v>0</v>
      </c>
      <c r="H18" s="457">
        <f t="shared" si="15"/>
        <v>0</v>
      </c>
      <c r="I18" s="457">
        <f t="shared" si="15"/>
        <v>0</v>
      </c>
      <c r="J18" s="458">
        <f t="shared" si="0"/>
        <v>0</v>
      </c>
      <c r="K18" s="457">
        <f t="shared" si="15"/>
        <v>0</v>
      </c>
      <c r="L18" s="457">
        <f t="shared" ref="L18" si="16">SUM(L19,L22)</f>
        <v>0</v>
      </c>
      <c r="M18" s="457">
        <f t="shared" ref="M18" si="17">SUM(M19,M22)</f>
        <v>0</v>
      </c>
      <c r="N18" s="457">
        <f t="shared" ref="N18" si="18">SUM(N19,N22)</f>
        <v>0</v>
      </c>
      <c r="O18" s="457">
        <f t="shared" ref="O18" si="19">SUM(O19,O22)</f>
        <v>0</v>
      </c>
      <c r="P18" s="457">
        <f t="shared" ref="P18:R18" si="20">SUM(P19,P22)</f>
        <v>0</v>
      </c>
      <c r="Q18" s="458">
        <f t="shared" si="1"/>
        <v>0</v>
      </c>
      <c r="R18" s="457">
        <f t="shared" si="20"/>
        <v>0</v>
      </c>
      <c r="S18" s="457">
        <f t="shared" ref="S18" si="21">SUM(S19,S22)</f>
        <v>0</v>
      </c>
      <c r="T18" s="457">
        <f t="shared" ref="T18" si="22">SUM(T19,T22)</f>
        <v>0</v>
      </c>
      <c r="U18" s="457">
        <f t="shared" ref="U18" si="23">SUM(U19,U22)</f>
        <v>0</v>
      </c>
      <c r="V18" s="457">
        <f t="shared" ref="V18" si="24">SUM(V19,V22)</f>
        <v>0</v>
      </c>
      <c r="W18" s="457">
        <f t="shared" ref="W18" si="25">SUM(W19,W22)</f>
        <v>0</v>
      </c>
      <c r="X18" s="458">
        <f t="shared" si="2"/>
        <v>0</v>
      </c>
      <c r="Y18" s="458">
        <f t="shared" si="3"/>
        <v>0</v>
      </c>
      <c r="Z18" s="336"/>
    </row>
    <row r="19" spans="1:26" ht="30" x14ac:dyDescent="0.25">
      <c r="A19" s="72">
        <v>985</v>
      </c>
      <c r="B19" s="118"/>
      <c r="C19" s="439" t="s">
        <v>1610</v>
      </c>
      <c r="D19" s="461">
        <f>SUM(D20:D21)</f>
        <v>0</v>
      </c>
      <c r="E19" s="461">
        <f t="shared" ref="E19:K19" si="26">SUM(E20:E21)</f>
        <v>0</v>
      </c>
      <c r="F19" s="461">
        <f t="shared" si="26"/>
        <v>0</v>
      </c>
      <c r="G19" s="461">
        <f t="shared" si="26"/>
        <v>0</v>
      </c>
      <c r="H19" s="461">
        <f t="shared" si="26"/>
        <v>0</v>
      </c>
      <c r="I19" s="461">
        <f t="shared" si="26"/>
        <v>0</v>
      </c>
      <c r="J19" s="458">
        <f t="shared" si="0"/>
        <v>0</v>
      </c>
      <c r="K19" s="461">
        <f t="shared" si="26"/>
        <v>0</v>
      </c>
      <c r="L19" s="461">
        <f t="shared" ref="L19" si="27">SUM(L20:L21)</f>
        <v>0</v>
      </c>
      <c r="M19" s="461">
        <f t="shared" ref="M19" si="28">SUM(M20:M21)</f>
        <v>0</v>
      </c>
      <c r="N19" s="461">
        <f t="shared" ref="N19" si="29">SUM(N20:N21)</f>
        <v>0</v>
      </c>
      <c r="O19" s="461">
        <f t="shared" ref="O19" si="30">SUM(O20:O21)</f>
        <v>0</v>
      </c>
      <c r="P19" s="461">
        <f t="shared" ref="P19:R19" si="31">SUM(P20:P21)</f>
        <v>0</v>
      </c>
      <c r="Q19" s="458">
        <f t="shared" si="1"/>
        <v>0</v>
      </c>
      <c r="R19" s="461">
        <f t="shared" si="31"/>
        <v>0</v>
      </c>
      <c r="S19" s="461">
        <f t="shared" ref="S19" si="32">SUM(S20:S21)</f>
        <v>0</v>
      </c>
      <c r="T19" s="461">
        <f t="shared" ref="T19" si="33">SUM(T20:T21)</f>
        <v>0</v>
      </c>
      <c r="U19" s="461">
        <f t="shared" ref="U19" si="34">SUM(U20:U21)</f>
        <v>0</v>
      </c>
      <c r="V19" s="461">
        <f t="shared" ref="V19" si="35">SUM(V20:V21)</f>
        <v>0</v>
      </c>
      <c r="W19" s="461">
        <f t="shared" ref="W19" si="36">SUM(W20:W21)</f>
        <v>0</v>
      </c>
      <c r="X19" s="458">
        <f t="shared" si="2"/>
        <v>0</v>
      </c>
      <c r="Y19" s="458">
        <f t="shared" si="3"/>
        <v>0</v>
      </c>
      <c r="Z19" s="336"/>
    </row>
    <row r="20" spans="1:26" ht="30" x14ac:dyDescent="0.25">
      <c r="A20" s="118">
        <v>986</v>
      </c>
      <c r="B20" s="118"/>
      <c r="C20" s="215" t="s">
        <v>1611</v>
      </c>
      <c r="D20" s="234">
        <v>0</v>
      </c>
      <c r="E20" s="234">
        <v>0</v>
      </c>
      <c r="F20" s="234">
        <v>0</v>
      </c>
      <c r="G20" s="234">
        <v>0</v>
      </c>
      <c r="H20" s="234">
        <v>0</v>
      </c>
      <c r="I20" s="234">
        <v>0</v>
      </c>
      <c r="J20" s="458">
        <f t="shared" si="0"/>
        <v>0</v>
      </c>
      <c r="K20" s="234">
        <v>0</v>
      </c>
      <c r="L20" s="234">
        <v>0</v>
      </c>
      <c r="M20" s="234">
        <v>0</v>
      </c>
      <c r="N20" s="234">
        <v>0</v>
      </c>
      <c r="O20" s="234">
        <v>0</v>
      </c>
      <c r="P20" s="234">
        <v>0</v>
      </c>
      <c r="Q20" s="458">
        <f t="shared" si="1"/>
        <v>0</v>
      </c>
      <c r="R20" s="251">
        <v>0</v>
      </c>
      <c r="S20" s="251">
        <v>0</v>
      </c>
      <c r="T20" s="251">
        <v>0</v>
      </c>
      <c r="U20" s="251">
        <v>0</v>
      </c>
      <c r="V20" s="251">
        <v>0</v>
      </c>
      <c r="W20" s="251">
        <v>0</v>
      </c>
      <c r="X20" s="458">
        <f t="shared" si="2"/>
        <v>0</v>
      </c>
      <c r="Y20" s="458">
        <f t="shared" si="3"/>
        <v>0</v>
      </c>
      <c r="Z20" s="336"/>
    </row>
    <row r="21" spans="1:26" ht="20.100000000000001" customHeight="1" x14ac:dyDescent="0.25">
      <c r="A21" s="72">
        <v>987</v>
      </c>
      <c r="B21" s="118"/>
      <c r="C21" s="215" t="s">
        <v>1612</v>
      </c>
      <c r="D21" s="234">
        <v>0</v>
      </c>
      <c r="E21" s="234">
        <v>0</v>
      </c>
      <c r="F21" s="234">
        <v>0</v>
      </c>
      <c r="G21" s="234">
        <v>0</v>
      </c>
      <c r="H21" s="234">
        <v>0</v>
      </c>
      <c r="I21" s="234">
        <v>0</v>
      </c>
      <c r="J21" s="458">
        <f t="shared" si="0"/>
        <v>0</v>
      </c>
      <c r="K21" s="234">
        <v>0</v>
      </c>
      <c r="L21" s="234">
        <v>0</v>
      </c>
      <c r="M21" s="234">
        <v>0</v>
      </c>
      <c r="N21" s="234">
        <v>0</v>
      </c>
      <c r="O21" s="234">
        <v>0</v>
      </c>
      <c r="P21" s="234">
        <v>0</v>
      </c>
      <c r="Q21" s="458">
        <f t="shared" si="1"/>
        <v>0</v>
      </c>
      <c r="R21" s="251">
        <v>0</v>
      </c>
      <c r="S21" s="251">
        <v>0</v>
      </c>
      <c r="T21" s="251">
        <v>0</v>
      </c>
      <c r="U21" s="251">
        <v>0</v>
      </c>
      <c r="V21" s="251">
        <v>0</v>
      </c>
      <c r="W21" s="251">
        <v>0</v>
      </c>
      <c r="X21" s="458">
        <f t="shared" si="2"/>
        <v>0</v>
      </c>
      <c r="Y21" s="458">
        <f t="shared" si="3"/>
        <v>0</v>
      </c>
      <c r="Z21" s="336"/>
    </row>
    <row r="22" spans="1:26" ht="20.100000000000001" customHeight="1" x14ac:dyDescent="0.25">
      <c r="A22" s="118">
        <v>988</v>
      </c>
      <c r="B22" s="118"/>
      <c r="C22" s="181" t="s">
        <v>1613</v>
      </c>
      <c r="D22" s="234">
        <v>0</v>
      </c>
      <c r="E22" s="234">
        <v>0</v>
      </c>
      <c r="F22" s="234">
        <v>0</v>
      </c>
      <c r="G22" s="234">
        <v>0</v>
      </c>
      <c r="H22" s="234">
        <v>0</v>
      </c>
      <c r="I22" s="234">
        <v>0</v>
      </c>
      <c r="J22" s="458">
        <f t="shared" si="0"/>
        <v>0</v>
      </c>
      <c r="K22" s="234">
        <v>0</v>
      </c>
      <c r="L22" s="234">
        <v>0</v>
      </c>
      <c r="M22" s="234">
        <v>0</v>
      </c>
      <c r="N22" s="234">
        <v>0</v>
      </c>
      <c r="O22" s="234">
        <v>0</v>
      </c>
      <c r="P22" s="234">
        <v>0</v>
      </c>
      <c r="Q22" s="458">
        <f t="shared" si="1"/>
        <v>0</v>
      </c>
      <c r="R22" s="251">
        <v>0</v>
      </c>
      <c r="S22" s="251">
        <v>0</v>
      </c>
      <c r="T22" s="251">
        <v>0</v>
      </c>
      <c r="U22" s="251">
        <v>0</v>
      </c>
      <c r="V22" s="251">
        <v>0</v>
      </c>
      <c r="W22" s="251">
        <v>0</v>
      </c>
      <c r="X22" s="458">
        <f t="shared" si="2"/>
        <v>0</v>
      </c>
      <c r="Y22" s="458">
        <f t="shared" si="3"/>
        <v>0</v>
      </c>
      <c r="Z22" s="336"/>
    </row>
    <row r="23" spans="1:26" ht="20.100000000000001" customHeight="1" x14ac:dyDescent="0.25">
      <c r="A23" s="72">
        <v>989</v>
      </c>
      <c r="B23" s="118">
        <v>6</v>
      </c>
      <c r="C23" s="434" t="s">
        <v>1510</v>
      </c>
      <c r="D23" s="457">
        <f>SUM(D24:D28)</f>
        <v>0</v>
      </c>
      <c r="E23" s="457">
        <f t="shared" ref="E23:K23" si="37">SUM(E24:E28)</f>
        <v>0</v>
      </c>
      <c r="F23" s="457">
        <f t="shared" si="37"/>
        <v>0</v>
      </c>
      <c r="G23" s="457">
        <f t="shared" si="37"/>
        <v>0</v>
      </c>
      <c r="H23" s="457">
        <f t="shared" si="37"/>
        <v>0</v>
      </c>
      <c r="I23" s="457">
        <f t="shared" si="37"/>
        <v>0</v>
      </c>
      <c r="J23" s="458">
        <f t="shared" si="0"/>
        <v>0</v>
      </c>
      <c r="K23" s="457">
        <f t="shared" si="37"/>
        <v>0</v>
      </c>
      <c r="L23" s="457">
        <f t="shared" ref="L23" si="38">SUM(L24:L28)</f>
        <v>0</v>
      </c>
      <c r="M23" s="457">
        <f t="shared" ref="M23" si="39">SUM(M24:M28)</f>
        <v>0</v>
      </c>
      <c r="N23" s="457">
        <f t="shared" ref="N23" si="40">SUM(N24:N28)</f>
        <v>0</v>
      </c>
      <c r="O23" s="457">
        <f t="shared" ref="O23" si="41">SUM(O24:O28)</f>
        <v>0</v>
      </c>
      <c r="P23" s="457">
        <f t="shared" ref="P23:R23" si="42">SUM(P24:P28)</f>
        <v>0</v>
      </c>
      <c r="Q23" s="458">
        <f t="shared" si="1"/>
        <v>0</v>
      </c>
      <c r="R23" s="457">
        <f t="shared" si="42"/>
        <v>0</v>
      </c>
      <c r="S23" s="457">
        <f t="shared" ref="S23" si="43">SUM(S24:S28)</f>
        <v>0</v>
      </c>
      <c r="T23" s="457">
        <f t="shared" ref="T23" si="44">SUM(T24:T28)</f>
        <v>0</v>
      </c>
      <c r="U23" s="457">
        <f t="shared" ref="U23" si="45">SUM(U24:U28)</f>
        <v>0</v>
      </c>
      <c r="V23" s="457">
        <f t="shared" ref="V23" si="46">SUM(V24:V28)</f>
        <v>0</v>
      </c>
      <c r="W23" s="457">
        <f t="shared" ref="W23" si="47">SUM(W24:W28)</f>
        <v>0</v>
      </c>
      <c r="X23" s="458">
        <f t="shared" si="2"/>
        <v>0</v>
      </c>
      <c r="Y23" s="458">
        <f t="shared" si="3"/>
        <v>0</v>
      </c>
      <c r="Z23" s="336"/>
    </row>
    <row r="24" spans="1:26" ht="20.100000000000001" customHeight="1" x14ac:dyDescent="0.25">
      <c r="A24" s="118">
        <v>990</v>
      </c>
      <c r="B24" s="118"/>
      <c r="C24" s="181" t="s">
        <v>1511</v>
      </c>
      <c r="D24" s="234">
        <v>0</v>
      </c>
      <c r="E24" s="234">
        <v>0</v>
      </c>
      <c r="F24" s="234">
        <v>0</v>
      </c>
      <c r="G24" s="234">
        <v>0</v>
      </c>
      <c r="H24" s="234">
        <v>0</v>
      </c>
      <c r="I24" s="234">
        <v>0</v>
      </c>
      <c r="J24" s="458">
        <f t="shared" si="0"/>
        <v>0</v>
      </c>
      <c r="K24" s="234">
        <v>0</v>
      </c>
      <c r="L24" s="234">
        <v>0</v>
      </c>
      <c r="M24" s="234">
        <v>0</v>
      </c>
      <c r="N24" s="234">
        <v>0</v>
      </c>
      <c r="O24" s="234">
        <v>0</v>
      </c>
      <c r="P24" s="234">
        <v>0</v>
      </c>
      <c r="Q24" s="458">
        <f t="shared" si="1"/>
        <v>0</v>
      </c>
      <c r="R24" s="251">
        <v>0</v>
      </c>
      <c r="S24" s="251">
        <v>0</v>
      </c>
      <c r="T24" s="251">
        <v>0</v>
      </c>
      <c r="U24" s="251">
        <v>0</v>
      </c>
      <c r="V24" s="251">
        <v>0</v>
      </c>
      <c r="W24" s="251">
        <v>0</v>
      </c>
      <c r="X24" s="458">
        <f t="shared" si="2"/>
        <v>0</v>
      </c>
      <c r="Y24" s="458">
        <f t="shared" si="3"/>
        <v>0</v>
      </c>
      <c r="Z24" s="336"/>
    </row>
    <row r="25" spans="1:26" ht="20.100000000000001" customHeight="1" x14ac:dyDescent="0.25">
      <c r="A25" s="72">
        <v>991</v>
      </c>
      <c r="B25" s="118"/>
      <c r="C25" s="228" t="s">
        <v>1512</v>
      </c>
      <c r="D25" s="265">
        <v>0</v>
      </c>
      <c r="E25" s="265">
        <v>0</v>
      </c>
      <c r="F25" s="265">
        <v>0</v>
      </c>
      <c r="G25" s="265">
        <v>0</v>
      </c>
      <c r="H25" s="265">
        <v>0</v>
      </c>
      <c r="I25" s="265">
        <v>0</v>
      </c>
      <c r="J25" s="458">
        <f t="shared" si="0"/>
        <v>0</v>
      </c>
      <c r="K25" s="265">
        <v>0</v>
      </c>
      <c r="L25" s="265">
        <v>0</v>
      </c>
      <c r="M25" s="265">
        <v>0</v>
      </c>
      <c r="N25" s="265">
        <v>0</v>
      </c>
      <c r="O25" s="265">
        <v>0</v>
      </c>
      <c r="P25" s="265">
        <v>0</v>
      </c>
      <c r="Q25" s="458">
        <f t="shared" si="1"/>
        <v>0</v>
      </c>
      <c r="R25" s="251">
        <v>0</v>
      </c>
      <c r="S25" s="251">
        <v>0</v>
      </c>
      <c r="T25" s="251">
        <v>0</v>
      </c>
      <c r="U25" s="251">
        <v>0</v>
      </c>
      <c r="V25" s="251">
        <v>0</v>
      </c>
      <c r="W25" s="251">
        <v>0</v>
      </c>
      <c r="X25" s="458">
        <f t="shared" si="2"/>
        <v>0</v>
      </c>
      <c r="Y25" s="458">
        <f t="shared" si="3"/>
        <v>0</v>
      </c>
      <c r="Z25" s="336"/>
    </row>
    <row r="26" spans="1:26" ht="20.100000000000001" customHeight="1" x14ac:dyDescent="0.25">
      <c r="A26" s="118">
        <v>992</v>
      </c>
      <c r="B26" s="118"/>
      <c r="C26" s="168" t="s">
        <v>1513</v>
      </c>
      <c r="D26" s="265">
        <v>0</v>
      </c>
      <c r="E26" s="265">
        <v>0</v>
      </c>
      <c r="F26" s="265">
        <v>0</v>
      </c>
      <c r="G26" s="265">
        <v>0</v>
      </c>
      <c r="H26" s="265">
        <v>0</v>
      </c>
      <c r="I26" s="265">
        <v>0</v>
      </c>
      <c r="J26" s="458">
        <f t="shared" si="0"/>
        <v>0</v>
      </c>
      <c r="K26" s="265">
        <v>0</v>
      </c>
      <c r="L26" s="265">
        <v>0</v>
      </c>
      <c r="M26" s="265">
        <v>0</v>
      </c>
      <c r="N26" s="265">
        <v>0</v>
      </c>
      <c r="O26" s="265">
        <v>0</v>
      </c>
      <c r="P26" s="265">
        <v>0</v>
      </c>
      <c r="Q26" s="458">
        <f t="shared" si="1"/>
        <v>0</v>
      </c>
      <c r="R26" s="251">
        <v>0</v>
      </c>
      <c r="S26" s="251">
        <v>0</v>
      </c>
      <c r="T26" s="251">
        <v>0</v>
      </c>
      <c r="U26" s="251">
        <v>0</v>
      </c>
      <c r="V26" s="251">
        <v>0</v>
      </c>
      <c r="W26" s="251">
        <v>0</v>
      </c>
      <c r="X26" s="458">
        <f t="shared" si="2"/>
        <v>0</v>
      </c>
      <c r="Y26" s="458">
        <f t="shared" si="3"/>
        <v>0</v>
      </c>
      <c r="Z26" s="336"/>
    </row>
    <row r="27" spans="1:26" ht="20.100000000000001" customHeight="1" x14ac:dyDescent="0.25">
      <c r="A27" s="72">
        <v>993</v>
      </c>
      <c r="B27" s="118"/>
      <c r="C27" s="181" t="s">
        <v>1514</v>
      </c>
      <c r="D27" s="265">
        <v>0</v>
      </c>
      <c r="E27" s="265">
        <v>0</v>
      </c>
      <c r="F27" s="265">
        <v>0</v>
      </c>
      <c r="G27" s="265">
        <v>0</v>
      </c>
      <c r="H27" s="265">
        <v>0</v>
      </c>
      <c r="I27" s="265">
        <v>0</v>
      </c>
      <c r="J27" s="458">
        <f t="shared" si="0"/>
        <v>0</v>
      </c>
      <c r="K27" s="265">
        <v>0</v>
      </c>
      <c r="L27" s="265">
        <v>0</v>
      </c>
      <c r="M27" s="265">
        <v>0</v>
      </c>
      <c r="N27" s="265">
        <v>0</v>
      </c>
      <c r="O27" s="265">
        <v>0</v>
      </c>
      <c r="P27" s="265">
        <v>0</v>
      </c>
      <c r="Q27" s="458">
        <f t="shared" si="1"/>
        <v>0</v>
      </c>
      <c r="R27" s="251">
        <v>0</v>
      </c>
      <c r="S27" s="251">
        <v>0</v>
      </c>
      <c r="T27" s="251">
        <v>0</v>
      </c>
      <c r="U27" s="251">
        <v>0</v>
      </c>
      <c r="V27" s="251">
        <v>0</v>
      </c>
      <c r="W27" s="251">
        <v>0</v>
      </c>
      <c r="X27" s="458">
        <f t="shared" si="2"/>
        <v>0</v>
      </c>
      <c r="Y27" s="458">
        <f t="shared" si="3"/>
        <v>0</v>
      </c>
      <c r="Z27" s="336"/>
    </row>
    <row r="28" spans="1:26" ht="20.100000000000001" customHeight="1" x14ac:dyDescent="0.25">
      <c r="A28" s="118">
        <v>994</v>
      </c>
      <c r="B28" s="118"/>
      <c r="C28" s="181" t="s">
        <v>1515</v>
      </c>
      <c r="D28" s="265">
        <v>0</v>
      </c>
      <c r="E28" s="265">
        <v>0</v>
      </c>
      <c r="F28" s="265">
        <v>0</v>
      </c>
      <c r="G28" s="265">
        <v>0</v>
      </c>
      <c r="H28" s="265">
        <v>0</v>
      </c>
      <c r="I28" s="265">
        <v>0</v>
      </c>
      <c r="J28" s="458">
        <f t="shared" si="0"/>
        <v>0</v>
      </c>
      <c r="K28" s="265">
        <v>0</v>
      </c>
      <c r="L28" s="265">
        <v>0</v>
      </c>
      <c r="M28" s="265">
        <v>0</v>
      </c>
      <c r="N28" s="265">
        <v>0</v>
      </c>
      <c r="O28" s="265">
        <v>0</v>
      </c>
      <c r="P28" s="265">
        <v>0</v>
      </c>
      <c r="Q28" s="458">
        <f t="shared" si="1"/>
        <v>0</v>
      </c>
      <c r="R28" s="251">
        <v>0</v>
      </c>
      <c r="S28" s="251">
        <v>0</v>
      </c>
      <c r="T28" s="251">
        <v>0</v>
      </c>
      <c r="U28" s="251">
        <v>0</v>
      </c>
      <c r="V28" s="251">
        <v>0</v>
      </c>
      <c r="W28" s="251">
        <v>0</v>
      </c>
      <c r="X28" s="458">
        <f t="shared" si="2"/>
        <v>0</v>
      </c>
      <c r="Y28" s="458">
        <f t="shared" si="3"/>
        <v>0</v>
      </c>
      <c r="Z28" s="336"/>
    </row>
    <row r="29" spans="1:26" ht="20.100000000000001" customHeight="1" x14ac:dyDescent="0.25">
      <c r="A29" s="72">
        <v>995</v>
      </c>
      <c r="B29" s="118">
        <v>7</v>
      </c>
      <c r="C29" s="10" t="s">
        <v>128</v>
      </c>
      <c r="D29" s="265">
        <v>0</v>
      </c>
      <c r="E29" s="265">
        <v>0</v>
      </c>
      <c r="F29" s="265">
        <v>0</v>
      </c>
      <c r="G29" s="265">
        <v>0</v>
      </c>
      <c r="H29" s="265">
        <v>0</v>
      </c>
      <c r="I29" s="265">
        <v>0</v>
      </c>
      <c r="J29" s="458">
        <f t="shared" si="0"/>
        <v>0</v>
      </c>
      <c r="K29" s="265">
        <v>0</v>
      </c>
      <c r="L29" s="265">
        <v>0</v>
      </c>
      <c r="M29" s="265">
        <v>0</v>
      </c>
      <c r="N29" s="265">
        <v>0</v>
      </c>
      <c r="O29" s="265">
        <v>0</v>
      </c>
      <c r="P29" s="265">
        <v>0</v>
      </c>
      <c r="Q29" s="458">
        <f t="shared" si="1"/>
        <v>0</v>
      </c>
      <c r="R29" s="251">
        <v>0</v>
      </c>
      <c r="S29" s="251">
        <v>0</v>
      </c>
      <c r="T29" s="251">
        <v>0</v>
      </c>
      <c r="U29" s="251">
        <v>0</v>
      </c>
      <c r="V29" s="251">
        <v>0</v>
      </c>
      <c r="W29" s="251">
        <v>0</v>
      </c>
      <c r="X29" s="458">
        <f t="shared" si="2"/>
        <v>0</v>
      </c>
      <c r="Y29" s="458">
        <f t="shared" si="3"/>
        <v>0</v>
      </c>
      <c r="Z29" s="336"/>
    </row>
    <row r="30" spans="1:26" ht="20.100000000000001" customHeight="1" x14ac:dyDescent="0.25">
      <c r="A30" s="118">
        <v>996</v>
      </c>
      <c r="B30" s="482">
        <v>8</v>
      </c>
      <c r="C30" s="10" t="s">
        <v>118</v>
      </c>
      <c r="D30" s="265">
        <v>0</v>
      </c>
      <c r="E30" s="265">
        <v>0</v>
      </c>
      <c r="F30" s="265">
        <v>0</v>
      </c>
      <c r="G30" s="265">
        <v>0</v>
      </c>
      <c r="H30" s="265">
        <v>0</v>
      </c>
      <c r="I30" s="265">
        <v>0</v>
      </c>
      <c r="J30" s="458">
        <f t="shared" si="0"/>
        <v>0</v>
      </c>
      <c r="K30" s="265">
        <v>0</v>
      </c>
      <c r="L30" s="265">
        <v>0</v>
      </c>
      <c r="M30" s="265">
        <v>0</v>
      </c>
      <c r="N30" s="265">
        <v>0</v>
      </c>
      <c r="O30" s="265">
        <v>0</v>
      </c>
      <c r="P30" s="265">
        <v>0</v>
      </c>
      <c r="Q30" s="458">
        <f t="shared" si="1"/>
        <v>0</v>
      </c>
      <c r="R30" s="251">
        <v>0</v>
      </c>
      <c r="S30" s="251">
        <v>0</v>
      </c>
      <c r="T30" s="251">
        <v>0</v>
      </c>
      <c r="U30" s="251">
        <v>0</v>
      </c>
      <c r="V30" s="251">
        <v>0</v>
      </c>
      <c r="W30" s="251">
        <v>0</v>
      </c>
      <c r="X30" s="458">
        <f t="shared" si="2"/>
        <v>0</v>
      </c>
      <c r="Y30" s="458">
        <f t="shared" si="3"/>
        <v>0</v>
      </c>
      <c r="Z30" s="336"/>
    </row>
    <row r="31" spans="1:26" ht="30" x14ac:dyDescent="0.25">
      <c r="A31" s="72">
        <v>997</v>
      </c>
      <c r="B31" s="482">
        <v>9</v>
      </c>
      <c r="C31" s="481" t="s">
        <v>1639</v>
      </c>
      <c r="D31" s="457">
        <f t="shared" ref="D31:I31" si="48">SUM(D32:D34)</f>
        <v>0</v>
      </c>
      <c r="E31" s="457">
        <f t="shared" si="48"/>
        <v>0</v>
      </c>
      <c r="F31" s="457">
        <f t="shared" si="48"/>
        <v>0</v>
      </c>
      <c r="G31" s="457">
        <f t="shared" si="48"/>
        <v>0</v>
      </c>
      <c r="H31" s="457">
        <f t="shared" si="48"/>
        <v>0</v>
      </c>
      <c r="I31" s="457">
        <f t="shared" si="48"/>
        <v>0</v>
      </c>
      <c r="J31" s="458">
        <f t="shared" si="0"/>
        <v>0</v>
      </c>
      <c r="K31" s="457">
        <f t="shared" ref="K31:P31" si="49">SUM(K32:K34)</f>
        <v>0</v>
      </c>
      <c r="L31" s="457">
        <f t="shared" si="49"/>
        <v>0</v>
      </c>
      <c r="M31" s="457">
        <f t="shared" si="49"/>
        <v>0</v>
      </c>
      <c r="N31" s="457">
        <f t="shared" si="49"/>
        <v>0</v>
      </c>
      <c r="O31" s="457">
        <f t="shared" si="49"/>
        <v>0</v>
      </c>
      <c r="P31" s="457">
        <f t="shared" si="49"/>
        <v>0</v>
      </c>
      <c r="Q31" s="458">
        <f t="shared" si="1"/>
        <v>0</v>
      </c>
      <c r="R31" s="457">
        <f t="shared" ref="R31:W31" si="50">SUM(R32:R34)</f>
        <v>0</v>
      </c>
      <c r="S31" s="457">
        <f t="shared" si="50"/>
        <v>0</v>
      </c>
      <c r="T31" s="457">
        <f t="shared" si="50"/>
        <v>0</v>
      </c>
      <c r="U31" s="457">
        <f t="shared" si="50"/>
        <v>0</v>
      </c>
      <c r="V31" s="457">
        <f t="shared" si="50"/>
        <v>0</v>
      </c>
      <c r="W31" s="457">
        <f t="shared" si="50"/>
        <v>0</v>
      </c>
      <c r="X31" s="458">
        <f t="shared" si="2"/>
        <v>0</v>
      </c>
      <c r="Y31" s="458">
        <f t="shared" si="3"/>
        <v>0</v>
      </c>
      <c r="Z31" s="336"/>
    </row>
    <row r="32" spans="1:26" ht="78" customHeight="1" x14ac:dyDescent="0.25">
      <c r="A32" s="118">
        <v>998</v>
      </c>
      <c r="B32" s="483"/>
      <c r="C32" s="474" t="s">
        <v>1640</v>
      </c>
      <c r="D32" s="265">
        <v>0</v>
      </c>
      <c r="E32" s="265">
        <v>0</v>
      </c>
      <c r="F32" s="265">
        <v>0</v>
      </c>
      <c r="G32" s="265">
        <v>0</v>
      </c>
      <c r="H32" s="265">
        <v>0</v>
      </c>
      <c r="I32" s="265">
        <v>0</v>
      </c>
      <c r="J32" s="458">
        <f t="shared" si="0"/>
        <v>0</v>
      </c>
      <c r="K32" s="265">
        <v>0</v>
      </c>
      <c r="L32" s="265">
        <v>0</v>
      </c>
      <c r="M32" s="265">
        <v>0</v>
      </c>
      <c r="N32" s="265">
        <v>0</v>
      </c>
      <c r="O32" s="265">
        <v>0</v>
      </c>
      <c r="P32" s="265">
        <v>0</v>
      </c>
      <c r="Q32" s="458">
        <f t="shared" si="1"/>
        <v>0</v>
      </c>
      <c r="R32" s="265">
        <v>0</v>
      </c>
      <c r="S32" s="265">
        <v>0</v>
      </c>
      <c r="T32" s="265">
        <v>0</v>
      </c>
      <c r="U32" s="265">
        <v>0</v>
      </c>
      <c r="V32" s="265">
        <v>0</v>
      </c>
      <c r="W32" s="265">
        <v>0</v>
      </c>
      <c r="X32" s="458">
        <f t="shared" si="2"/>
        <v>0</v>
      </c>
      <c r="Y32" s="458">
        <f t="shared" si="3"/>
        <v>0</v>
      </c>
      <c r="Z32" s="336"/>
    </row>
    <row r="33" spans="1:26" ht="45" x14ac:dyDescent="0.25">
      <c r="A33" s="72">
        <v>999</v>
      </c>
      <c r="B33" s="480"/>
      <c r="C33" s="474" t="s">
        <v>1641</v>
      </c>
      <c r="D33" s="265">
        <v>0</v>
      </c>
      <c r="E33" s="265">
        <v>0</v>
      </c>
      <c r="F33" s="265">
        <v>0</v>
      </c>
      <c r="G33" s="265">
        <v>0</v>
      </c>
      <c r="H33" s="265">
        <v>0</v>
      </c>
      <c r="I33" s="265">
        <v>0</v>
      </c>
      <c r="J33" s="458">
        <f t="shared" si="0"/>
        <v>0</v>
      </c>
      <c r="K33" s="265">
        <v>0</v>
      </c>
      <c r="L33" s="265">
        <v>0</v>
      </c>
      <c r="M33" s="265">
        <v>0</v>
      </c>
      <c r="N33" s="265">
        <v>0</v>
      </c>
      <c r="O33" s="265">
        <v>0</v>
      </c>
      <c r="P33" s="265">
        <v>0</v>
      </c>
      <c r="Q33" s="458">
        <f t="shared" si="1"/>
        <v>0</v>
      </c>
      <c r="R33" s="265">
        <v>0</v>
      </c>
      <c r="S33" s="265">
        <v>0</v>
      </c>
      <c r="T33" s="265">
        <v>0</v>
      </c>
      <c r="U33" s="265">
        <v>0</v>
      </c>
      <c r="V33" s="265">
        <v>0</v>
      </c>
      <c r="W33" s="265">
        <v>0</v>
      </c>
      <c r="X33" s="458">
        <f t="shared" si="2"/>
        <v>0</v>
      </c>
      <c r="Y33" s="458">
        <f t="shared" si="3"/>
        <v>0</v>
      </c>
      <c r="Z33" s="336"/>
    </row>
    <row r="34" spans="1:26" ht="45" customHeight="1" x14ac:dyDescent="0.25">
      <c r="A34" s="118">
        <v>1000</v>
      </c>
      <c r="B34" s="483"/>
      <c r="C34" s="474" t="s">
        <v>1642</v>
      </c>
      <c r="D34" s="265">
        <v>0</v>
      </c>
      <c r="E34" s="265">
        <v>0</v>
      </c>
      <c r="F34" s="265">
        <v>0</v>
      </c>
      <c r="G34" s="265">
        <v>0</v>
      </c>
      <c r="H34" s="265">
        <v>0</v>
      </c>
      <c r="I34" s="265">
        <v>0</v>
      </c>
      <c r="J34" s="458">
        <f t="shared" si="0"/>
        <v>0</v>
      </c>
      <c r="K34" s="265">
        <v>0</v>
      </c>
      <c r="L34" s="265">
        <v>0</v>
      </c>
      <c r="M34" s="265">
        <v>0</v>
      </c>
      <c r="N34" s="265">
        <v>0</v>
      </c>
      <c r="O34" s="265">
        <v>0</v>
      </c>
      <c r="P34" s="265">
        <v>0</v>
      </c>
      <c r="Q34" s="458">
        <f t="shared" si="1"/>
        <v>0</v>
      </c>
      <c r="R34" s="265">
        <v>0</v>
      </c>
      <c r="S34" s="265">
        <v>0</v>
      </c>
      <c r="T34" s="265">
        <v>0</v>
      </c>
      <c r="U34" s="265">
        <v>0</v>
      </c>
      <c r="V34" s="265">
        <v>0</v>
      </c>
      <c r="W34" s="265">
        <v>0</v>
      </c>
      <c r="X34" s="458">
        <f t="shared" si="2"/>
        <v>0</v>
      </c>
      <c r="Y34" s="458">
        <f t="shared" si="3"/>
        <v>0</v>
      </c>
      <c r="Z34" s="336"/>
    </row>
    <row r="35" spans="1:26" ht="20.100000000000001" customHeight="1" x14ac:dyDescent="0.25">
      <c r="A35" s="72">
        <v>1001</v>
      </c>
      <c r="B35" s="262">
        <v>10</v>
      </c>
      <c r="C35" s="10" t="s">
        <v>49</v>
      </c>
      <c r="D35" s="265">
        <v>0</v>
      </c>
      <c r="E35" s="265">
        <v>0</v>
      </c>
      <c r="F35" s="265">
        <v>0</v>
      </c>
      <c r="G35" s="265">
        <v>0</v>
      </c>
      <c r="H35" s="265">
        <v>0</v>
      </c>
      <c r="I35" s="265">
        <v>0</v>
      </c>
      <c r="J35" s="458">
        <f t="shared" si="0"/>
        <v>0</v>
      </c>
      <c r="K35" s="265">
        <v>0</v>
      </c>
      <c r="L35" s="265">
        <v>0</v>
      </c>
      <c r="M35" s="265">
        <v>0</v>
      </c>
      <c r="N35" s="265">
        <v>0</v>
      </c>
      <c r="O35" s="265">
        <v>0</v>
      </c>
      <c r="P35" s="265">
        <v>0</v>
      </c>
      <c r="Q35" s="458">
        <f t="shared" si="1"/>
        <v>0</v>
      </c>
      <c r="R35" s="265">
        <v>0</v>
      </c>
      <c r="S35" s="265">
        <v>0</v>
      </c>
      <c r="T35" s="265">
        <v>0</v>
      </c>
      <c r="U35" s="265">
        <v>0</v>
      </c>
      <c r="V35" s="265">
        <v>0</v>
      </c>
      <c r="W35" s="265">
        <v>0</v>
      </c>
      <c r="X35" s="458">
        <f t="shared" si="2"/>
        <v>0</v>
      </c>
      <c r="Y35" s="458">
        <f t="shared" si="3"/>
        <v>0</v>
      </c>
      <c r="Z35" s="336"/>
    </row>
    <row r="36" spans="1:26" ht="20.100000000000001" customHeight="1" x14ac:dyDescent="0.25">
      <c r="A36" s="118">
        <v>1002</v>
      </c>
      <c r="B36" s="118">
        <v>11</v>
      </c>
      <c r="C36" s="10" t="s">
        <v>125</v>
      </c>
      <c r="D36" s="265">
        <v>0</v>
      </c>
      <c r="E36" s="265">
        <v>0</v>
      </c>
      <c r="F36" s="265">
        <v>0</v>
      </c>
      <c r="G36" s="265">
        <v>0</v>
      </c>
      <c r="H36" s="265">
        <v>0</v>
      </c>
      <c r="I36" s="265">
        <v>0</v>
      </c>
      <c r="J36" s="458">
        <f t="shared" si="0"/>
        <v>0</v>
      </c>
      <c r="K36" s="265">
        <v>0</v>
      </c>
      <c r="L36" s="265">
        <v>0</v>
      </c>
      <c r="M36" s="265">
        <v>0</v>
      </c>
      <c r="N36" s="265">
        <v>0</v>
      </c>
      <c r="O36" s="265">
        <v>0</v>
      </c>
      <c r="P36" s="265">
        <v>0</v>
      </c>
      <c r="Q36" s="458">
        <f t="shared" si="1"/>
        <v>0</v>
      </c>
      <c r="R36" s="265">
        <v>0</v>
      </c>
      <c r="S36" s="265">
        <v>0</v>
      </c>
      <c r="T36" s="265">
        <v>0</v>
      </c>
      <c r="U36" s="265">
        <v>0</v>
      </c>
      <c r="V36" s="265">
        <v>0</v>
      </c>
      <c r="W36" s="265">
        <v>0</v>
      </c>
      <c r="X36" s="458">
        <f t="shared" si="2"/>
        <v>0</v>
      </c>
      <c r="Y36" s="458">
        <f t="shared" si="3"/>
        <v>0</v>
      </c>
      <c r="Z36" s="336"/>
    </row>
    <row r="37" spans="1:26" ht="20.100000000000001" customHeight="1" x14ac:dyDescent="0.25">
      <c r="A37" s="72">
        <v>1020</v>
      </c>
      <c r="B37" s="254">
        <v>12</v>
      </c>
      <c r="C37" s="16" t="s">
        <v>643</v>
      </c>
      <c r="D37" s="441">
        <f t="shared" ref="D37:I37" si="51">SUM(D9:D11,D17:D18,D23,D29:D31,D35:D36)</f>
        <v>0</v>
      </c>
      <c r="E37" s="441">
        <f t="shared" si="51"/>
        <v>0</v>
      </c>
      <c r="F37" s="441">
        <f t="shared" si="51"/>
        <v>0</v>
      </c>
      <c r="G37" s="441">
        <f t="shared" si="51"/>
        <v>0</v>
      </c>
      <c r="H37" s="441">
        <f t="shared" si="51"/>
        <v>0</v>
      </c>
      <c r="I37" s="441">
        <f t="shared" si="51"/>
        <v>0</v>
      </c>
      <c r="J37" s="441">
        <f>SUM(D37:I37)</f>
        <v>0</v>
      </c>
      <c r="K37" s="441">
        <f t="shared" ref="K37:P37" si="52">SUM(K9:K11,K17:K18,K23,K29:K31,K35:K36)</f>
        <v>0</v>
      </c>
      <c r="L37" s="441">
        <f t="shared" si="52"/>
        <v>0</v>
      </c>
      <c r="M37" s="441">
        <f t="shared" si="52"/>
        <v>0</v>
      </c>
      <c r="N37" s="441">
        <f t="shared" si="52"/>
        <v>0</v>
      </c>
      <c r="O37" s="441">
        <f t="shared" si="52"/>
        <v>0</v>
      </c>
      <c r="P37" s="441">
        <f t="shared" si="52"/>
        <v>0</v>
      </c>
      <c r="Q37" s="441">
        <f>SUM(K37:P37)</f>
        <v>0</v>
      </c>
      <c r="R37" s="441">
        <f t="shared" ref="R37:W37" si="53">SUM(R9:R11,R17:R18,R23,R29:R31,R35:R36)</f>
        <v>0</v>
      </c>
      <c r="S37" s="441">
        <f t="shared" si="53"/>
        <v>0</v>
      </c>
      <c r="T37" s="441">
        <f t="shared" si="53"/>
        <v>0</v>
      </c>
      <c r="U37" s="441">
        <f t="shared" si="53"/>
        <v>0</v>
      </c>
      <c r="V37" s="441">
        <f t="shared" si="53"/>
        <v>0</v>
      </c>
      <c r="W37" s="441">
        <f t="shared" si="53"/>
        <v>0</v>
      </c>
      <c r="X37" s="441">
        <f>SUM(R37:W37)</f>
        <v>0</v>
      </c>
      <c r="Y37" s="455">
        <f t="shared" si="3"/>
        <v>0</v>
      </c>
      <c r="Z37" s="336"/>
    </row>
    <row r="38" spans="1:26" ht="32.1" customHeight="1" x14ac:dyDescent="0.25">
      <c r="A38" s="811" t="s">
        <v>1553</v>
      </c>
      <c r="B38" s="811"/>
      <c r="C38" s="811"/>
      <c r="D38" s="398">
        <f>'P-XV'!E26</f>
        <v>0</v>
      </c>
      <c r="E38" s="398">
        <f>'P-XV'!F26</f>
        <v>0</v>
      </c>
      <c r="F38" s="398">
        <f>'P-XV'!G26</f>
        <v>0</v>
      </c>
      <c r="G38" s="398">
        <f>'P-XV'!H26</f>
        <v>0</v>
      </c>
      <c r="H38" s="398">
        <f>'P-XV'!I26</f>
        <v>0</v>
      </c>
      <c r="I38" s="398">
        <f>'P-XV'!J26</f>
        <v>0</v>
      </c>
      <c r="J38" s="398">
        <f>'P-XV'!K26</f>
        <v>0</v>
      </c>
      <c r="K38" s="398">
        <f>'P-XV'!L26</f>
        <v>0</v>
      </c>
      <c r="L38" s="398">
        <f>'P-XV'!M26</f>
        <v>0</v>
      </c>
      <c r="M38" s="398">
        <f>'P-XV'!N26</f>
        <v>0</v>
      </c>
      <c r="N38" s="398">
        <f>'P-XV'!O26</f>
        <v>0</v>
      </c>
      <c r="O38" s="398">
        <f>'P-XV'!P26</f>
        <v>0</v>
      </c>
      <c r="P38" s="398">
        <f>'P-XV'!Q26</f>
        <v>0</v>
      </c>
      <c r="Q38" s="398">
        <f>'P-XV'!R26</f>
        <v>0</v>
      </c>
      <c r="R38" s="398">
        <f>'P-XV'!S26</f>
        <v>0</v>
      </c>
      <c r="S38" s="398">
        <f>'P-XV'!T26</f>
        <v>0</v>
      </c>
      <c r="T38" s="398">
        <f>'P-XV'!U26</f>
        <v>0</v>
      </c>
      <c r="U38" s="398">
        <f>'P-XV'!V26</f>
        <v>0</v>
      </c>
      <c r="V38" s="398">
        <f>'P-XV'!W26</f>
        <v>0</v>
      </c>
      <c r="W38" s="398">
        <f>'P-XV'!X26</f>
        <v>0</v>
      </c>
      <c r="X38" s="398">
        <f>'P-XV'!Y26</f>
        <v>0</v>
      </c>
      <c r="Y38" s="398">
        <f>'P-XV'!Z26</f>
        <v>0</v>
      </c>
    </row>
    <row r="39" spans="1:26" ht="32.1" customHeight="1" x14ac:dyDescent="0.25">
      <c r="A39" s="695" t="s">
        <v>1552</v>
      </c>
      <c r="B39" s="695"/>
      <c r="C39" s="695"/>
      <c r="D39" s="399" t="str">
        <f>IF(D37='P-XV'!E26,"",FALSE)</f>
        <v/>
      </c>
      <c r="E39" s="399" t="str">
        <f>IF(E37='P-XV'!F26,"",FALSE)</f>
        <v/>
      </c>
      <c r="F39" s="399" t="str">
        <f>IF(F37='P-XV'!G26,"",FALSE)</f>
        <v/>
      </c>
      <c r="G39" s="399" t="str">
        <f>IF(G37='P-XV'!H26,"",FALSE)</f>
        <v/>
      </c>
      <c r="H39" s="399" t="str">
        <f>IF(H37='P-XV'!I26,"",FALSE)</f>
        <v/>
      </c>
      <c r="I39" s="399" t="str">
        <f>IF(I37='P-XV'!J26,"",FALSE)</f>
        <v/>
      </c>
      <c r="J39" s="399" t="str">
        <f>IF(J37='P-XV'!K26,"",FALSE)</f>
        <v/>
      </c>
      <c r="K39" s="399" t="str">
        <f>IF(K37='P-XV'!L26,"",FALSE)</f>
        <v/>
      </c>
      <c r="L39" s="399" t="str">
        <f>IF(L37='P-XV'!M26,"",FALSE)</f>
        <v/>
      </c>
      <c r="M39" s="399" t="str">
        <f>IF(M37='P-XV'!N26,"",FALSE)</f>
        <v/>
      </c>
      <c r="N39" s="399" t="str">
        <f>IF(N37='P-XV'!O26,"",FALSE)</f>
        <v/>
      </c>
      <c r="O39" s="399" t="str">
        <f>IF(O37='P-XV'!P26,"",FALSE)</f>
        <v/>
      </c>
      <c r="P39" s="399" t="str">
        <f>IF(P37='P-XV'!Q26,"",FALSE)</f>
        <v/>
      </c>
      <c r="Q39" s="399" t="str">
        <f>IF(Q37='P-XV'!R26,"",FALSE)</f>
        <v/>
      </c>
      <c r="R39" s="399" t="str">
        <f>IF(R37='P-XV'!S26,"",FALSE)</f>
        <v/>
      </c>
      <c r="S39" s="399" t="str">
        <f>IF(S37='P-XV'!T26,"",FALSE)</f>
        <v/>
      </c>
      <c r="T39" s="399" t="str">
        <f>IF(T37='P-XV'!U26,"",FALSE)</f>
        <v/>
      </c>
      <c r="U39" s="399" t="str">
        <f>IF(U37='P-XV'!V26,"",FALSE)</f>
        <v/>
      </c>
      <c r="V39" s="399" t="str">
        <f>IF(V37='P-XV'!W26,"",FALSE)</f>
        <v/>
      </c>
      <c r="W39" s="399" t="str">
        <f>IF(W37='P-XV'!X26,"",FALSE)</f>
        <v/>
      </c>
      <c r="X39" s="399" t="str">
        <f>IF(X37='P-XV'!Y26,"",FALSE)</f>
        <v/>
      </c>
      <c r="Y39" s="399" t="str">
        <f>IF(Y37='P-XV'!Z26,"",FALSE)</f>
        <v/>
      </c>
    </row>
    <row r="40" spans="1:26" ht="32.1" customHeight="1" x14ac:dyDescent="0.25">
      <c r="A40" s="811" t="s">
        <v>627</v>
      </c>
      <c r="B40" s="811"/>
      <c r="C40" s="811"/>
      <c r="D40" s="398">
        <f>'P-XIV'!D38</f>
        <v>2</v>
      </c>
      <c r="E40" s="398">
        <f>'P-XIV'!E38</f>
        <v>6</v>
      </c>
      <c r="F40" s="398">
        <f>'P-XIV'!F38</f>
        <v>65</v>
      </c>
      <c r="G40" s="398">
        <f>'P-XIV'!G38</f>
        <v>79</v>
      </c>
      <c r="H40" s="398">
        <f>'P-XIV'!H38</f>
        <v>81</v>
      </c>
      <c r="I40" s="398">
        <f>'P-XIV'!I38</f>
        <v>16</v>
      </c>
      <c r="J40" s="398">
        <f>'P-XIV'!J38</f>
        <v>249</v>
      </c>
      <c r="K40" s="398">
        <f>'P-XIV'!K38</f>
        <v>1</v>
      </c>
      <c r="L40" s="398">
        <f>'P-XIV'!L38</f>
        <v>4</v>
      </c>
      <c r="M40" s="398">
        <f>'P-XIV'!M38</f>
        <v>19</v>
      </c>
      <c r="N40" s="398">
        <f>'P-XIV'!N38</f>
        <v>21</v>
      </c>
      <c r="O40" s="398">
        <f>'P-XIV'!O38</f>
        <v>11</v>
      </c>
      <c r="P40" s="398">
        <f>'P-XIV'!P38</f>
        <v>16</v>
      </c>
      <c r="Q40" s="398">
        <f>'P-XIV'!Q38</f>
        <v>72</v>
      </c>
      <c r="R40" s="398">
        <f>'P-XIV'!R38</f>
        <v>0</v>
      </c>
      <c r="S40" s="398">
        <f>'P-XIV'!S38</f>
        <v>0</v>
      </c>
      <c r="T40" s="398">
        <f>'P-XIV'!T38</f>
        <v>0</v>
      </c>
      <c r="U40" s="398">
        <f>'P-XIV'!U38</f>
        <v>0</v>
      </c>
      <c r="V40" s="398">
        <f>'P-XIV'!V38</f>
        <v>0</v>
      </c>
      <c r="W40" s="398">
        <f>'P-XIV'!W38</f>
        <v>0</v>
      </c>
      <c r="X40" s="398">
        <f>'P-XIV'!X38</f>
        <v>0</v>
      </c>
      <c r="Y40" s="398">
        <f>'P-XIV'!Y38</f>
        <v>321</v>
      </c>
    </row>
    <row r="41" spans="1:26" ht="32.1" customHeight="1" x14ac:dyDescent="0.25">
      <c r="A41" s="695" t="s">
        <v>645</v>
      </c>
      <c r="B41" s="695"/>
      <c r="C41" s="695"/>
      <c r="D41" s="399" t="str">
        <f>IF(D37&lt;='P-XIV'!D38,"",FALSE)</f>
        <v/>
      </c>
      <c r="E41" s="399" t="str">
        <f>IF(E37&lt;='P-XIV'!E38,"",FALSE)</f>
        <v/>
      </c>
      <c r="F41" s="399" t="str">
        <f>IF(F37&lt;='P-XIV'!F38,"",FALSE)</f>
        <v/>
      </c>
      <c r="G41" s="399" t="str">
        <f>IF(G37&lt;='P-XIV'!G38,"",FALSE)</f>
        <v/>
      </c>
      <c r="H41" s="399" t="str">
        <f>IF(H37&lt;='P-XIV'!H38,"",FALSE)</f>
        <v/>
      </c>
      <c r="I41" s="399" t="str">
        <f>IF(I37&lt;='P-XIV'!I38,"",FALSE)</f>
        <v/>
      </c>
      <c r="J41" s="399" t="str">
        <f>IF(J37&lt;='P-XIV'!J38,"",FALSE)</f>
        <v/>
      </c>
      <c r="K41" s="399" t="str">
        <f>IF(K37&lt;='P-XIV'!K38,"",FALSE)</f>
        <v/>
      </c>
      <c r="L41" s="399" t="str">
        <f>IF(L37&lt;='P-XIV'!L38,"",FALSE)</f>
        <v/>
      </c>
      <c r="M41" s="399" t="str">
        <f>IF(M37&lt;='P-XIV'!M38,"",FALSE)</f>
        <v/>
      </c>
      <c r="N41" s="399" t="str">
        <f>IF(N37&lt;='P-XIV'!N38,"",FALSE)</f>
        <v/>
      </c>
      <c r="O41" s="399" t="str">
        <f>IF(O37&lt;='P-XIV'!O38,"",FALSE)</f>
        <v/>
      </c>
      <c r="P41" s="399" t="str">
        <f>IF(P37&lt;='P-XIV'!P38,"",FALSE)</f>
        <v/>
      </c>
      <c r="Q41" s="399" t="str">
        <f>IF(Q37&lt;='P-XIV'!Q38,"",FALSE)</f>
        <v/>
      </c>
      <c r="R41" s="399" t="str">
        <f>IF(R37&lt;='P-XIV'!R38,"",FALSE)</f>
        <v/>
      </c>
      <c r="S41" s="399" t="str">
        <f>IF(S37&lt;='P-XIV'!S38,"",FALSE)</f>
        <v/>
      </c>
      <c r="T41" s="399" t="str">
        <f>IF(T37&lt;='P-XIV'!T38,"",FALSE)</f>
        <v/>
      </c>
      <c r="U41" s="399" t="str">
        <f>IF(U37&lt;='P-XIV'!U38,"",FALSE)</f>
        <v/>
      </c>
      <c r="V41" s="399" t="str">
        <f>IF(V37&lt;='P-XIV'!V38,"",FALSE)</f>
        <v/>
      </c>
      <c r="W41" s="399" t="str">
        <f>IF(W37&lt;='P-XIV'!W38,"",FALSE)</f>
        <v/>
      </c>
      <c r="X41" s="399" t="str">
        <f>IF(X37&lt;='P-XIV'!X38,"",FALSE)</f>
        <v/>
      </c>
      <c r="Y41" s="399" t="str">
        <f>IF(Y37&lt;='P-XIV'!Y38,"",FALSE)</f>
        <v/>
      </c>
    </row>
    <row r="42" spans="1:26" ht="30" customHeight="1" x14ac:dyDescent="0.25">
      <c r="A42" s="595" t="s">
        <v>1597</v>
      </c>
      <c r="B42" s="596"/>
      <c r="C42" s="597"/>
      <c r="D42" s="463" t="str">
        <f>IF(D37&gt;0,IF((D35/D37*100)&gt;10,"ABVAR",""),"")</f>
        <v/>
      </c>
      <c r="E42" s="463" t="str">
        <f t="shared" ref="E42:Y42" si="54">IF(E37&gt;0,IF((E35/E37*100)&gt;10,"ABVAR",""),"")</f>
        <v/>
      </c>
      <c r="F42" s="463" t="str">
        <f t="shared" si="54"/>
        <v/>
      </c>
      <c r="G42" s="463" t="str">
        <f t="shared" si="54"/>
        <v/>
      </c>
      <c r="H42" s="463" t="str">
        <f t="shared" si="54"/>
        <v/>
      </c>
      <c r="I42" s="463" t="str">
        <f t="shared" si="54"/>
        <v/>
      </c>
      <c r="J42" s="463" t="str">
        <f t="shared" si="54"/>
        <v/>
      </c>
      <c r="K42" s="463" t="str">
        <f t="shared" si="54"/>
        <v/>
      </c>
      <c r="L42" s="463" t="str">
        <f t="shared" si="54"/>
        <v/>
      </c>
      <c r="M42" s="463" t="str">
        <f t="shared" si="54"/>
        <v/>
      </c>
      <c r="N42" s="463" t="str">
        <f t="shared" si="54"/>
        <v/>
      </c>
      <c r="O42" s="463" t="str">
        <f t="shared" si="54"/>
        <v/>
      </c>
      <c r="P42" s="463" t="str">
        <f t="shared" si="54"/>
        <v/>
      </c>
      <c r="Q42" s="463" t="str">
        <f t="shared" si="54"/>
        <v/>
      </c>
      <c r="R42" s="463" t="str">
        <f t="shared" si="54"/>
        <v/>
      </c>
      <c r="S42" s="463" t="str">
        <f t="shared" si="54"/>
        <v/>
      </c>
      <c r="T42" s="463" t="str">
        <f t="shared" si="54"/>
        <v/>
      </c>
      <c r="U42" s="463" t="str">
        <f t="shared" si="54"/>
        <v/>
      </c>
      <c r="V42" s="463" t="str">
        <f t="shared" si="54"/>
        <v/>
      </c>
      <c r="W42" s="463" t="str">
        <f t="shared" si="54"/>
        <v/>
      </c>
      <c r="X42" s="463" t="str">
        <f t="shared" si="54"/>
        <v/>
      </c>
      <c r="Y42" s="463" t="str">
        <f t="shared" si="54"/>
        <v/>
      </c>
    </row>
    <row r="43" spans="1:26" ht="30" customHeight="1" x14ac:dyDescent="0.25">
      <c r="A43" s="595" t="s">
        <v>1580</v>
      </c>
      <c r="B43" s="596"/>
      <c r="C43" s="597"/>
      <c r="D43" s="463" t="str">
        <f>IF(D37&gt;0,IF((D36/D37*100)&gt;10,"ABVAR",""),"")</f>
        <v/>
      </c>
      <c r="E43" s="463" t="str">
        <f t="shared" ref="E43:Y43" si="55">IF(E37&gt;0,IF((E36/E37*100)&gt;10,"ABVAR",""),"")</f>
        <v/>
      </c>
      <c r="F43" s="463" t="str">
        <f t="shared" si="55"/>
        <v/>
      </c>
      <c r="G43" s="463" t="str">
        <f t="shared" si="55"/>
        <v/>
      </c>
      <c r="H43" s="463" t="str">
        <f t="shared" si="55"/>
        <v/>
      </c>
      <c r="I43" s="463" t="str">
        <f t="shared" si="55"/>
        <v/>
      </c>
      <c r="J43" s="463" t="str">
        <f t="shared" si="55"/>
        <v/>
      </c>
      <c r="K43" s="463" t="str">
        <f t="shared" si="55"/>
        <v/>
      </c>
      <c r="L43" s="463" t="str">
        <f t="shared" si="55"/>
        <v/>
      </c>
      <c r="M43" s="463" t="str">
        <f t="shared" si="55"/>
        <v/>
      </c>
      <c r="N43" s="463" t="str">
        <f t="shared" si="55"/>
        <v/>
      </c>
      <c r="O43" s="463" t="str">
        <f t="shared" si="55"/>
        <v/>
      </c>
      <c r="P43" s="463" t="str">
        <f t="shared" si="55"/>
        <v/>
      </c>
      <c r="Q43" s="463" t="str">
        <f t="shared" si="55"/>
        <v/>
      </c>
      <c r="R43" s="463" t="str">
        <f t="shared" si="55"/>
        <v/>
      </c>
      <c r="S43" s="463" t="str">
        <f t="shared" si="55"/>
        <v/>
      </c>
      <c r="T43" s="463" t="str">
        <f t="shared" si="55"/>
        <v/>
      </c>
      <c r="U43" s="463" t="str">
        <f t="shared" si="55"/>
        <v/>
      </c>
      <c r="V43" s="463" t="str">
        <f t="shared" si="55"/>
        <v/>
      </c>
      <c r="W43" s="463" t="str">
        <f t="shared" si="55"/>
        <v/>
      </c>
      <c r="X43" s="463" t="str">
        <f t="shared" si="55"/>
        <v/>
      </c>
      <c r="Y43" s="463" t="str">
        <f t="shared" si="55"/>
        <v/>
      </c>
    </row>
    <row r="45" spans="1:26" x14ac:dyDescent="0.25">
      <c r="A45" s="528" t="s">
        <v>1665</v>
      </c>
    </row>
    <row r="200" spans="53:79" x14ac:dyDescent="0.25">
      <c r="BA200" s="141" t="str">
        <f>A1</f>
        <v>Goa, , ADSI-2021</v>
      </c>
      <c r="BB200" s="141"/>
    </row>
    <row r="201" spans="53:79" x14ac:dyDescent="0.25">
      <c r="BA201" s="141" t="str">
        <f>A2</f>
        <v>Errors</v>
      </c>
      <c r="BB201" s="309">
        <f>C2</f>
        <v>0</v>
      </c>
      <c r="BD201" s="472" t="str">
        <f>E2</f>
        <v>Abnormal Variations</v>
      </c>
      <c r="BE201" s="472">
        <f>F2</f>
        <v>0</v>
      </c>
    </row>
    <row r="202" spans="53:79" x14ac:dyDescent="0.25">
      <c r="BA202" s="141" t="str">
        <f>A3</f>
        <v>Proforma–XIX</v>
      </c>
      <c r="BB202" s="132"/>
      <c r="BC202" s="132"/>
      <c r="BG202" s="132"/>
      <c r="BH202" s="132"/>
      <c r="BI202" s="132"/>
      <c r="BJ202" s="132"/>
      <c r="BK202" s="132"/>
      <c r="BL202" s="132"/>
      <c r="BM202" s="132"/>
      <c r="BN202" s="161"/>
      <c r="BP202" s="132"/>
      <c r="BQ202" s="132"/>
      <c r="BR202" s="132"/>
      <c r="BS202" s="132"/>
      <c r="BT202" s="132"/>
      <c r="BU202" s="132"/>
      <c r="BV202" s="132"/>
      <c r="BW202" s="132"/>
      <c r="BX202" s="132"/>
      <c r="BY202" s="132"/>
      <c r="BZ202" s="132"/>
      <c r="CA202" s="132"/>
    </row>
    <row r="203" spans="53:79" x14ac:dyDescent="0.25">
      <c r="BA203" s="141" t="str">
        <f>A4</f>
        <v>Cause-wise distribution of suicides committed by Farmers/Cultivators</v>
      </c>
      <c r="BB203" s="132"/>
      <c r="BC203" s="132"/>
      <c r="BD203" s="132"/>
      <c r="BE203" s="132"/>
      <c r="BF203" s="132"/>
      <c r="BG203" s="132"/>
      <c r="BH203" s="132"/>
      <c r="BI203" s="132"/>
      <c r="BJ203" s="132"/>
      <c r="BK203" s="132"/>
      <c r="BL203" s="132"/>
      <c r="BM203" s="132"/>
      <c r="BP203" s="132"/>
      <c r="BQ203" s="132"/>
      <c r="BR203" s="132"/>
      <c r="BS203" s="132"/>
      <c r="BT203" s="132"/>
      <c r="BU203" s="132"/>
      <c r="BV203" s="132"/>
      <c r="BW203" s="132"/>
      <c r="BX203" s="132"/>
      <c r="BY203" s="132"/>
      <c r="BZ203" s="132"/>
      <c r="CA203" s="132"/>
    </row>
    <row r="204" spans="53:79" ht="15" customHeight="1" x14ac:dyDescent="0.25">
      <c r="BA204" s="602" t="str">
        <f>B5</f>
        <v>Sl. No.</v>
      </c>
      <c r="BB204" s="602" t="str">
        <f>C5</f>
        <v>Causes</v>
      </c>
      <c r="BC204" s="647" t="str">
        <f>D5</f>
        <v>Number of Suicidal Deaths</v>
      </c>
      <c r="BD204" s="647"/>
      <c r="BE204" s="647"/>
      <c r="BF204" s="647"/>
      <c r="BG204" s="647"/>
      <c r="BH204" s="647"/>
      <c r="BI204" s="647"/>
      <c r="BJ204" s="647"/>
      <c r="BK204" s="647"/>
      <c r="BL204" s="647"/>
      <c r="BM204" s="647"/>
      <c r="BN204" s="647"/>
      <c r="BO204" s="647"/>
      <c r="BP204" s="647"/>
      <c r="BQ204" s="647" t="s">
        <v>139</v>
      </c>
      <c r="BR204" s="647"/>
      <c r="BS204" s="647"/>
      <c r="BT204" s="647"/>
      <c r="BU204" s="647"/>
      <c r="BV204" s="647"/>
      <c r="BW204" s="647"/>
      <c r="BX204" s="602" t="str">
        <f>Y5</f>
        <v>Grand Total [col. (9)+(16)+(23)]</v>
      </c>
      <c r="BY204" s="132"/>
      <c r="BZ204" s="132"/>
    </row>
    <row r="205" spans="53:79" x14ac:dyDescent="0.25">
      <c r="BA205" s="603"/>
      <c r="BB205" s="603"/>
      <c r="BC205" s="619" t="str">
        <f t="shared" ref="BC205:BC232" si="56">D6</f>
        <v>Male</v>
      </c>
      <c r="BD205" s="620"/>
      <c r="BE205" s="620"/>
      <c r="BF205" s="620"/>
      <c r="BG205" s="620"/>
      <c r="BH205" s="620"/>
      <c r="BI205" s="621"/>
      <c r="BJ205" s="619" t="str">
        <f t="shared" ref="BJ205:BJ232" si="57">K6</f>
        <v>Female</v>
      </c>
      <c r="BK205" s="620"/>
      <c r="BL205" s="620"/>
      <c r="BM205" s="620"/>
      <c r="BN205" s="620"/>
      <c r="BO205" s="620"/>
      <c r="BP205" s="621"/>
      <c r="BQ205" s="619" t="str">
        <f t="shared" ref="BQ205:BQ232" si="58">R6</f>
        <v>Transgender</v>
      </c>
      <c r="BR205" s="620"/>
      <c r="BS205" s="620"/>
      <c r="BT205" s="620"/>
      <c r="BU205" s="620"/>
      <c r="BV205" s="620"/>
      <c r="BW205" s="621"/>
      <c r="BX205" s="603"/>
      <c r="BY205" s="132"/>
      <c r="BZ205" s="132"/>
    </row>
    <row r="206" spans="53:79" ht="51" x14ac:dyDescent="0.25">
      <c r="BA206" s="604"/>
      <c r="BB206" s="604"/>
      <c r="BC206" s="160" t="str">
        <f t="shared" si="56"/>
        <v>below 14 years</v>
      </c>
      <c r="BD206" s="160" t="str">
        <f t="shared" ref="BD206:BD232" si="59">E7</f>
        <v>14 and above – below 18 yrs</v>
      </c>
      <c r="BE206" s="160" t="str">
        <f t="shared" ref="BE206:BE232" si="60">F7</f>
        <v>18 and above – below 30 years</v>
      </c>
      <c r="BF206" s="160" t="str">
        <f t="shared" ref="BF206:BF232" si="61">G7</f>
        <v>30 and above – below 45 years</v>
      </c>
      <c r="BG206" s="160" t="str">
        <f t="shared" ref="BG206:BG232" si="62">H7</f>
        <v>45 and above – below 60 years</v>
      </c>
      <c r="BH206" s="160" t="str">
        <f t="shared" ref="BH206:BH232" si="63">I7</f>
        <v>60 years &amp; above</v>
      </c>
      <c r="BI206" s="160" t="str">
        <f t="shared" ref="BI206:BI232" si="64">J7</f>
        <v xml:space="preserve"> Total [sum of (3) to (8)]</v>
      </c>
      <c r="BJ206" s="160" t="str">
        <f t="shared" si="57"/>
        <v>below 14 years</v>
      </c>
      <c r="BK206" s="160" t="str">
        <f t="shared" ref="BK206:BK232" si="65">L7</f>
        <v>14 and above – below 18 yrs</v>
      </c>
      <c r="BL206" s="160" t="str">
        <f t="shared" ref="BL206:BL232" si="66">M7</f>
        <v>18 and above – below 30 years</v>
      </c>
      <c r="BM206" s="160" t="str">
        <f t="shared" ref="BM206:BM232" si="67">N7</f>
        <v>30 and above – below 45 years</v>
      </c>
      <c r="BN206" s="160" t="str">
        <f t="shared" ref="BN206:BN232" si="68">O7</f>
        <v>45 and above – below 60 years</v>
      </c>
      <c r="BO206" s="160" t="str">
        <f t="shared" ref="BO206:BO232" si="69">P7</f>
        <v>60 years &amp; above</v>
      </c>
      <c r="BP206" s="160" t="str">
        <f t="shared" ref="BP206:BP232" si="70">Q7</f>
        <v>Total 
[sum of (10) to (15)]</v>
      </c>
      <c r="BQ206" s="160" t="str">
        <f t="shared" si="58"/>
        <v>below 14 years</v>
      </c>
      <c r="BR206" s="160" t="str">
        <f t="shared" ref="BR206:BR232" si="71">S7</f>
        <v>14 and above – below 18 yrs</v>
      </c>
      <c r="BS206" s="160" t="str">
        <f t="shared" ref="BS206:BS232" si="72">T7</f>
        <v>18 and above – below 30 years</v>
      </c>
      <c r="BT206" s="160" t="str">
        <f t="shared" ref="BT206:BT232" si="73">U7</f>
        <v>30 and above – below 45 years</v>
      </c>
      <c r="BU206" s="160" t="str">
        <f t="shared" ref="BU206:BU232" si="74">V7</f>
        <v>45 and above – below 60 years</v>
      </c>
      <c r="BV206" s="160" t="str">
        <f t="shared" ref="BV206:BV232" si="75">W7</f>
        <v>60 years &amp; above</v>
      </c>
      <c r="BW206" s="160" t="str">
        <f t="shared" ref="BW206:BW232" si="76">X7</f>
        <v>Total 
[sum of (17) to (22)]</v>
      </c>
      <c r="BX206" s="604"/>
      <c r="BY206" s="132"/>
      <c r="BZ206" s="132"/>
    </row>
    <row r="207" spans="53:79" x14ac:dyDescent="0.25">
      <c r="BA207" s="137" t="str">
        <f t="shared" ref="BA207:BB210" si="77">B8</f>
        <v>(1)</v>
      </c>
      <c r="BB207" s="137" t="str">
        <f t="shared" si="77"/>
        <v>(2)</v>
      </c>
      <c r="BC207" s="137" t="str">
        <f t="shared" si="56"/>
        <v>(3)</v>
      </c>
      <c r="BD207" s="137" t="str">
        <f t="shared" si="59"/>
        <v>(4)</v>
      </c>
      <c r="BE207" s="137" t="str">
        <f t="shared" si="60"/>
        <v>(5)</v>
      </c>
      <c r="BF207" s="137" t="str">
        <f t="shared" si="61"/>
        <v>(6)</v>
      </c>
      <c r="BG207" s="137" t="str">
        <f t="shared" si="62"/>
        <v>(7)</v>
      </c>
      <c r="BH207" s="137" t="str">
        <f t="shared" si="63"/>
        <v>(8)</v>
      </c>
      <c r="BI207" s="137" t="str">
        <f t="shared" si="64"/>
        <v>(9)</v>
      </c>
      <c r="BJ207" s="137" t="str">
        <f t="shared" si="57"/>
        <v>(10)</v>
      </c>
      <c r="BK207" s="137" t="str">
        <f t="shared" si="65"/>
        <v>(11)</v>
      </c>
      <c r="BL207" s="137" t="str">
        <f t="shared" si="66"/>
        <v>(12)</v>
      </c>
      <c r="BM207" s="137" t="str">
        <f t="shared" si="67"/>
        <v>(13)</v>
      </c>
      <c r="BN207" s="137" t="str">
        <f t="shared" si="68"/>
        <v>(14)</v>
      </c>
      <c r="BO207" s="137" t="str">
        <f t="shared" si="69"/>
        <v>(15)</v>
      </c>
      <c r="BP207" s="137" t="str">
        <f t="shared" si="70"/>
        <v>(16)</v>
      </c>
      <c r="BQ207" s="137" t="str">
        <f t="shared" si="58"/>
        <v>(17)</v>
      </c>
      <c r="BR207" s="137" t="str">
        <f t="shared" si="71"/>
        <v>(18)</v>
      </c>
      <c r="BS207" s="137" t="str">
        <f t="shared" si="72"/>
        <v>(19)</v>
      </c>
      <c r="BT207" s="137" t="str">
        <f t="shared" si="73"/>
        <v>(20)</v>
      </c>
      <c r="BU207" s="137" t="str">
        <f t="shared" si="74"/>
        <v>(21)</v>
      </c>
      <c r="BV207" s="137" t="str">
        <f t="shared" si="75"/>
        <v>(22)</v>
      </c>
      <c r="BW207" s="137" t="str">
        <f t="shared" si="76"/>
        <v>(23)</v>
      </c>
      <c r="BX207" s="137" t="str">
        <f t="shared" ref="BX207:BX232" si="78">Y8</f>
        <v>(24)</v>
      </c>
    </row>
    <row r="208" spans="53:79" x14ac:dyDescent="0.25">
      <c r="BA208" s="138">
        <f t="shared" si="77"/>
        <v>1</v>
      </c>
      <c r="BB208" s="140" t="str">
        <f t="shared" si="77"/>
        <v>Poverty</v>
      </c>
      <c r="BC208" s="136">
        <f t="shared" si="56"/>
        <v>0</v>
      </c>
      <c r="BD208" s="136">
        <f t="shared" si="59"/>
        <v>0</v>
      </c>
      <c r="BE208" s="136">
        <f t="shared" si="60"/>
        <v>0</v>
      </c>
      <c r="BF208" s="136">
        <f t="shared" si="61"/>
        <v>0</v>
      </c>
      <c r="BG208" s="136">
        <f t="shared" si="62"/>
        <v>0</v>
      </c>
      <c r="BH208" s="136">
        <f t="shared" si="63"/>
        <v>0</v>
      </c>
      <c r="BI208" s="136">
        <f t="shared" si="64"/>
        <v>0</v>
      </c>
      <c r="BJ208" s="136">
        <f t="shared" si="57"/>
        <v>0</v>
      </c>
      <c r="BK208" s="136">
        <f t="shared" si="65"/>
        <v>0</v>
      </c>
      <c r="BL208" s="136">
        <f t="shared" si="66"/>
        <v>0</v>
      </c>
      <c r="BM208" s="136">
        <f t="shared" si="67"/>
        <v>0</v>
      </c>
      <c r="BN208" s="136">
        <f t="shared" si="68"/>
        <v>0</v>
      </c>
      <c r="BO208" s="136">
        <f t="shared" si="69"/>
        <v>0</v>
      </c>
      <c r="BP208" s="136">
        <f t="shared" si="70"/>
        <v>0</v>
      </c>
      <c r="BQ208" s="136">
        <f t="shared" si="58"/>
        <v>0</v>
      </c>
      <c r="BR208" s="136">
        <f t="shared" si="71"/>
        <v>0</v>
      </c>
      <c r="BS208" s="136">
        <f t="shared" si="72"/>
        <v>0</v>
      </c>
      <c r="BT208" s="136">
        <f t="shared" si="73"/>
        <v>0</v>
      </c>
      <c r="BU208" s="136">
        <f t="shared" si="74"/>
        <v>0</v>
      </c>
      <c r="BV208" s="136">
        <f t="shared" si="75"/>
        <v>0</v>
      </c>
      <c r="BW208" s="136">
        <f t="shared" si="76"/>
        <v>0</v>
      </c>
      <c r="BX208" s="136">
        <f t="shared" si="78"/>
        <v>0</v>
      </c>
    </row>
    <row r="209" spans="53:76" x14ac:dyDescent="0.25">
      <c r="BA209" s="138">
        <f t="shared" si="77"/>
        <v>2</v>
      </c>
      <c r="BB209" s="140" t="str">
        <f t="shared" si="77"/>
        <v>Property dispute</v>
      </c>
      <c r="BC209" s="136">
        <f t="shared" si="56"/>
        <v>0</v>
      </c>
      <c r="BD209" s="136">
        <f t="shared" si="59"/>
        <v>0</v>
      </c>
      <c r="BE209" s="136">
        <f t="shared" si="60"/>
        <v>0</v>
      </c>
      <c r="BF209" s="136">
        <f t="shared" si="61"/>
        <v>0</v>
      </c>
      <c r="BG209" s="136">
        <f t="shared" si="62"/>
        <v>0</v>
      </c>
      <c r="BH209" s="136">
        <f t="shared" si="63"/>
        <v>0</v>
      </c>
      <c r="BI209" s="136">
        <f t="shared" si="64"/>
        <v>0</v>
      </c>
      <c r="BJ209" s="136">
        <f t="shared" si="57"/>
        <v>0</v>
      </c>
      <c r="BK209" s="136">
        <f t="shared" si="65"/>
        <v>0</v>
      </c>
      <c r="BL209" s="136">
        <f t="shared" si="66"/>
        <v>0</v>
      </c>
      <c r="BM209" s="136">
        <f t="shared" si="67"/>
        <v>0</v>
      </c>
      <c r="BN209" s="136">
        <f t="shared" si="68"/>
        <v>0</v>
      </c>
      <c r="BO209" s="136">
        <f t="shared" si="69"/>
        <v>0</v>
      </c>
      <c r="BP209" s="136">
        <f t="shared" si="70"/>
        <v>0</v>
      </c>
      <c r="BQ209" s="136">
        <f t="shared" si="58"/>
        <v>0</v>
      </c>
      <c r="BR209" s="136">
        <f t="shared" si="71"/>
        <v>0</v>
      </c>
      <c r="BS209" s="136">
        <f t="shared" si="72"/>
        <v>0</v>
      </c>
      <c r="BT209" s="136">
        <f t="shared" si="73"/>
        <v>0</v>
      </c>
      <c r="BU209" s="136">
        <f t="shared" si="74"/>
        <v>0</v>
      </c>
      <c r="BV209" s="136">
        <f t="shared" si="75"/>
        <v>0</v>
      </c>
      <c r="BW209" s="136">
        <f t="shared" si="76"/>
        <v>0</v>
      </c>
      <c r="BX209" s="136">
        <f t="shared" si="78"/>
        <v>0</v>
      </c>
    </row>
    <row r="210" spans="53:76" x14ac:dyDescent="0.25">
      <c r="BA210" s="138">
        <f t="shared" si="77"/>
        <v>3</v>
      </c>
      <c r="BB210" s="140" t="str">
        <f t="shared" si="77"/>
        <v>Marriage Related Issues (sum of 3.1 to 3.5)</v>
      </c>
      <c r="BC210" s="136">
        <f t="shared" si="56"/>
        <v>0</v>
      </c>
      <c r="BD210" s="136">
        <f t="shared" si="59"/>
        <v>0</v>
      </c>
      <c r="BE210" s="136">
        <f t="shared" si="60"/>
        <v>0</v>
      </c>
      <c r="BF210" s="136">
        <f t="shared" si="61"/>
        <v>0</v>
      </c>
      <c r="BG210" s="136">
        <f t="shared" si="62"/>
        <v>0</v>
      </c>
      <c r="BH210" s="136">
        <f t="shared" si="63"/>
        <v>0</v>
      </c>
      <c r="BI210" s="136">
        <f t="shared" si="64"/>
        <v>0</v>
      </c>
      <c r="BJ210" s="136">
        <f t="shared" si="57"/>
        <v>0</v>
      </c>
      <c r="BK210" s="136">
        <f t="shared" si="65"/>
        <v>0</v>
      </c>
      <c r="BL210" s="136">
        <f t="shared" si="66"/>
        <v>0</v>
      </c>
      <c r="BM210" s="136">
        <f t="shared" si="67"/>
        <v>0</v>
      </c>
      <c r="BN210" s="136">
        <f t="shared" si="68"/>
        <v>0</v>
      </c>
      <c r="BO210" s="136">
        <f t="shared" si="69"/>
        <v>0</v>
      </c>
      <c r="BP210" s="136">
        <f t="shared" si="70"/>
        <v>0</v>
      </c>
      <c r="BQ210" s="136">
        <f t="shared" si="58"/>
        <v>0</v>
      </c>
      <c r="BR210" s="136">
        <f t="shared" si="71"/>
        <v>0</v>
      </c>
      <c r="BS210" s="136">
        <f t="shared" si="72"/>
        <v>0</v>
      </c>
      <c r="BT210" s="136">
        <f t="shared" si="73"/>
        <v>0</v>
      </c>
      <c r="BU210" s="136">
        <f t="shared" si="74"/>
        <v>0</v>
      </c>
      <c r="BV210" s="136">
        <f t="shared" si="75"/>
        <v>0</v>
      </c>
      <c r="BW210" s="136">
        <f t="shared" si="76"/>
        <v>0</v>
      </c>
      <c r="BX210" s="136">
        <f t="shared" si="78"/>
        <v>0</v>
      </c>
    </row>
    <row r="211" spans="53:76" x14ac:dyDescent="0.25">
      <c r="BA211" s="138"/>
      <c r="BB211" s="182" t="str">
        <f t="shared" ref="BB211:BB232" si="79">C12</f>
        <v>3.1 Non Settlement of Marriage</v>
      </c>
      <c r="BC211" s="136">
        <f t="shared" si="56"/>
        <v>0</v>
      </c>
      <c r="BD211" s="136">
        <f t="shared" si="59"/>
        <v>0</v>
      </c>
      <c r="BE211" s="136">
        <f t="shared" si="60"/>
        <v>0</v>
      </c>
      <c r="BF211" s="136">
        <f t="shared" si="61"/>
        <v>0</v>
      </c>
      <c r="BG211" s="136">
        <f t="shared" si="62"/>
        <v>0</v>
      </c>
      <c r="BH211" s="136">
        <f t="shared" si="63"/>
        <v>0</v>
      </c>
      <c r="BI211" s="136">
        <f t="shared" si="64"/>
        <v>0</v>
      </c>
      <c r="BJ211" s="136">
        <f t="shared" si="57"/>
        <v>0</v>
      </c>
      <c r="BK211" s="136">
        <f t="shared" si="65"/>
        <v>0</v>
      </c>
      <c r="BL211" s="136">
        <f t="shared" si="66"/>
        <v>0</v>
      </c>
      <c r="BM211" s="136">
        <f t="shared" si="67"/>
        <v>0</v>
      </c>
      <c r="BN211" s="136">
        <f t="shared" si="68"/>
        <v>0</v>
      </c>
      <c r="BO211" s="136">
        <f t="shared" si="69"/>
        <v>0</v>
      </c>
      <c r="BP211" s="136">
        <f t="shared" si="70"/>
        <v>0</v>
      </c>
      <c r="BQ211" s="136">
        <f t="shared" si="58"/>
        <v>0</v>
      </c>
      <c r="BR211" s="136">
        <f t="shared" si="71"/>
        <v>0</v>
      </c>
      <c r="BS211" s="136">
        <f t="shared" si="72"/>
        <v>0</v>
      </c>
      <c r="BT211" s="136">
        <f t="shared" si="73"/>
        <v>0</v>
      </c>
      <c r="BU211" s="136">
        <f t="shared" si="74"/>
        <v>0</v>
      </c>
      <c r="BV211" s="136">
        <f t="shared" si="75"/>
        <v>0</v>
      </c>
      <c r="BW211" s="136">
        <f t="shared" si="76"/>
        <v>0</v>
      </c>
      <c r="BX211" s="136">
        <f t="shared" si="78"/>
        <v>0</v>
      </c>
    </row>
    <row r="212" spans="53:76" x14ac:dyDescent="0.25">
      <c r="BA212" s="138"/>
      <c r="BB212" s="182" t="str">
        <f t="shared" si="79"/>
        <v>3.2 Dowry Related Issues</v>
      </c>
      <c r="BC212" s="136">
        <f t="shared" si="56"/>
        <v>0</v>
      </c>
      <c r="BD212" s="136">
        <f t="shared" si="59"/>
        <v>0</v>
      </c>
      <c r="BE212" s="136">
        <f t="shared" si="60"/>
        <v>0</v>
      </c>
      <c r="BF212" s="136">
        <f t="shared" si="61"/>
        <v>0</v>
      </c>
      <c r="BG212" s="136">
        <f t="shared" si="62"/>
        <v>0</v>
      </c>
      <c r="BH212" s="136">
        <f t="shared" si="63"/>
        <v>0</v>
      </c>
      <c r="BI212" s="136">
        <f t="shared" si="64"/>
        <v>0</v>
      </c>
      <c r="BJ212" s="136">
        <f t="shared" si="57"/>
        <v>0</v>
      </c>
      <c r="BK212" s="136">
        <f t="shared" si="65"/>
        <v>0</v>
      </c>
      <c r="BL212" s="136">
        <f t="shared" si="66"/>
        <v>0</v>
      </c>
      <c r="BM212" s="136">
        <f t="shared" si="67"/>
        <v>0</v>
      </c>
      <c r="BN212" s="136">
        <f t="shared" si="68"/>
        <v>0</v>
      </c>
      <c r="BO212" s="136">
        <f t="shared" si="69"/>
        <v>0</v>
      </c>
      <c r="BP212" s="136">
        <f t="shared" si="70"/>
        <v>0</v>
      </c>
      <c r="BQ212" s="136">
        <f t="shared" si="58"/>
        <v>0</v>
      </c>
      <c r="BR212" s="136">
        <f t="shared" si="71"/>
        <v>0</v>
      </c>
      <c r="BS212" s="136">
        <f t="shared" si="72"/>
        <v>0</v>
      </c>
      <c r="BT212" s="136">
        <f t="shared" si="73"/>
        <v>0</v>
      </c>
      <c r="BU212" s="136">
        <f t="shared" si="74"/>
        <v>0</v>
      </c>
      <c r="BV212" s="136">
        <f t="shared" si="75"/>
        <v>0</v>
      </c>
      <c r="BW212" s="136">
        <f t="shared" si="76"/>
        <v>0</v>
      </c>
      <c r="BX212" s="136">
        <f t="shared" si="78"/>
        <v>0</v>
      </c>
    </row>
    <row r="213" spans="53:76" x14ac:dyDescent="0.25">
      <c r="BA213" s="138"/>
      <c r="BB213" s="182" t="str">
        <f t="shared" si="79"/>
        <v>3.3 Extra Marital affairs</v>
      </c>
      <c r="BC213" s="136">
        <f t="shared" si="56"/>
        <v>0</v>
      </c>
      <c r="BD213" s="136">
        <f t="shared" si="59"/>
        <v>0</v>
      </c>
      <c r="BE213" s="136">
        <f t="shared" si="60"/>
        <v>0</v>
      </c>
      <c r="BF213" s="136">
        <f t="shared" si="61"/>
        <v>0</v>
      </c>
      <c r="BG213" s="136">
        <f t="shared" si="62"/>
        <v>0</v>
      </c>
      <c r="BH213" s="136">
        <f t="shared" si="63"/>
        <v>0</v>
      </c>
      <c r="BI213" s="136">
        <f t="shared" si="64"/>
        <v>0</v>
      </c>
      <c r="BJ213" s="136">
        <f t="shared" si="57"/>
        <v>0</v>
      </c>
      <c r="BK213" s="136">
        <f t="shared" si="65"/>
        <v>0</v>
      </c>
      <c r="BL213" s="136">
        <f t="shared" si="66"/>
        <v>0</v>
      </c>
      <c r="BM213" s="136">
        <f t="shared" si="67"/>
        <v>0</v>
      </c>
      <c r="BN213" s="136">
        <f t="shared" si="68"/>
        <v>0</v>
      </c>
      <c r="BO213" s="136">
        <f t="shared" si="69"/>
        <v>0</v>
      </c>
      <c r="BP213" s="136">
        <f t="shared" si="70"/>
        <v>0</v>
      </c>
      <c r="BQ213" s="136">
        <f t="shared" si="58"/>
        <v>0</v>
      </c>
      <c r="BR213" s="136">
        <f t="shared" si="71"/>
        <v>0</v>
      </c>
      <c r="BS213" s="136">
        <f t="shared" si="72"/>
        <v>0</v>
      </c>
      <c r="BT213" s="136">
        <f t="shared" si="73"/>
        <v>0</v>
      </c>
      <c r="BU213" s="136">
        <f t="shared" si="74"/>
        <v>0</v>
      </c>
      <c r="BV213" s="136">
        <f t="shared" si="75"/>
        <v>0</v>
      </c>
      <c r="BW213" s="136">
        <f t="shared" si="76"/>
        <v>0</v>
      </c>
      <c r="BX213" s="136">
        <f t="shared" si="78"/>
        <v>0</v>
      </c>
    </row>
    <row r="214" spans="53:76" x14ac:dyDescent="0.25">
      <c r="BA214" s="138"/>
      <c r="BB214" s="182" t="str">
        <f t="shared" si="79"/>
        <v>3.4 Divorce</v>
      </c>
      <c r="BC214" s="136">
        <f t="shared" si="56"/>
        <v>0</v>
      </c>
      <c r="BD214" s="136">
        <f t="shared" si="59"/>
        <v>0</v>
      </c>
      <c r="BE214" s="136">
        <f t="shared" si="60"/>
        <v>0</v>
      </c>
      <c r="BF214" s="136">
        <f t="shared" si="61"/>
        <v>0</v>
      </c>
      <c r="BG214" s="136">
        <f t="shared" si="62"/>
        <v>0</v>
      </c>
      <c r="BH214" s="136">
        <f t="shared" si="63"/>
        <v>0</v>
      </c>
      <c r="BI214" s="136">
        <f t="shared" si="64"/>
        <v>0</v>
      </c>
      <c r="BJ214" s="136">
        <f t="shared" si="57"/>
        <v>0</v>
      </c>
      <c r="BK214" s="136">
        <f t="shared" si="65"/>
        <v>0</v>
      </c>
      <c r="BL214" s="136">
        <f t="shared" si="66"/>
        <v>0</v>
      </c>
      <c r="BM214" s="136">
        <f t="shared" si="67"/>
        <v>0</v>
      </c>
      <c r="BN214" s="136">
        <f t="shared" si="68"/>
        <v>0</v>
      </c>
      <c r="BO214" s="136">
        <f t="shared" si="69"/>
        <v>0</v>
      </c>
      <c r="BP214" s="136">
        <f t="shared" si="70"/>
        <v>0</v>
      </c>
      <c r="BQ214" s="136">
        <f t="shared" si="58"/>
        <v>0</v>
      </c>
      <c r="BR214" s="136">
        <f t="shared" si="71"/>
        <v>0</v>
      </c>
      <c r="BS214" s="136">
        <f t="shared" si="72"/>
        <v>0</v>
      </c>
      <c r="BT214" s="136">
        <f t="shared" si="73"/>
        <v>0</v>
      </c>
      <c r="BU214" s="136">
        <f t="shared" si="74"/>
        <v>0</v>
      </c>
      <c r="BV214" s="136">
        <f t="shared" si="75"/>
        <v>0</v>
      </c>
      <c r="BW214" s="136">
        <f t="shared" si="76"/>
        <v>0</v>
      </c>
      <c r="BX214" s="136">
        <f t="shared" si="78"/>
        <v>0</v>
      </c>
    </row>
    <row r="215" spans="53:76" x14ac:dyDescent="0.25">
      <c r="BA215" s="138"/>
      <c r="BB215" s="182" t="str">
        <f t="shared" si="79"/>
        <v>3.5 Others</v>
      </c>
      <c r="BC215" s="136">
        <f t="shared" si="56"/>
        <v>0</v>
      </c>
      <c r="BD215" s="136">
        <f t="shared" si="59"/>
        <v>0</v>
      </c>
      <c r="BE215" s="136">
        <f t="shared" si="60"/>
        <v>0</v>
      </c>
      <c r="BF215" s="136">
        <f t="shared" si="61"/>
        <v>0</v>
      </c>
      <c r="BG215" s="136">
        <f t="shared" si="62"/>
        <v>0</v>
      </c>
      <c r="BH215" s="136">
        <f t="shared" si="63"/>
        <v>0</v>
      </c>
      <c r="BI215" s="136">
        <f t="shared" si="64"/>
        <v>0</v>
      </c>
      <c r="BJ215" s="136">
        <f t="shared" si="57"/>
        <v>0</v>
      </c>
      <c r="BK215" s="136">
        <f t="shared" si="65"/>
        <v>0</v>
      </c>
      <c r="BL215" s="136">
        <f t="shared" si="66"/>
        <v>0</v>
      </c>
      <c r="BM215" s="136">
        <f t="shared" si="67"/>
        <v>0</v>
      </c>
      <c r="BN215" s="136">
        <f t="shared" si="68"/>
        <v>0</v>
      </c>
      <c r="BO215" s="136">
        <f t="shared" si="69"/>
        <v>0</v>
      </c>
      <c r="BP215" s="136">
        <f t="shared" si="70"/>
        <v>0</v>
      </c>
      <c r="BQ215" s="136">
        <f t="shared" si="58"/>
        <v>0</v>
      </c>
      <c r="BR215" s="136">
        <f t="shared" si="71"/>
        <v>0</v>
      </c>
      <c r="BS215" s="136">
        <f t="shared" si="72"/>
        <v>0</v>
      </c>
      <c r="BT215" s="136">
        <f t="shared" si="73"/>
        <v>0</v>
      </c>
      <c r="BU215" s="136">
        <f t="shared" si="74"/>
        <v>0</v>
      </c>
      <c r="BV215" s="136">
        <f t="shared" si="75"/>
        <v>0</v>
      </c>
      <c r="BW215" s="136">
        <f t="shared" si="76"/>
        <v>0</v>
      </c>
      <c r="BX215" s="136">
        <f t="shared" si="78"/>
        <v>0</v>
      </c>
    </row>
    <row r="216" spans="53:76" x14ac:dyDescent="0.25">
      <c r="BA216" s="138">
        <f>B17</f>
        <v>4</v>
      </c>
      <c r="BB216" s="140" t="str">
        <f t="shared" si="79"/>
        <v>Family problems</v>
      </c>
      <c r="BC216" s="136">
        <f t="shared" si="56"/>
        <v>0</v>
      </c>
      <c r="BD216" s="136">
        <f t="shared" si="59"/>
        <v>0</v>
      </c>
      <c r="BE216" s="136">
        <f t="shared" si="60"/>
        <v>0</v>
      </c>
      <c r="BF216" s="136">
        <f t="shared" si="61"/>
        <v>0</v>
      </c>
      <c r="BG216" s="136">
        <f t="shared" si="62"/>
        <v>0</v>
      </c>
      <c r="BH216" s="136">
        <f t="shared" si="63"/>
        <v>0</v>
      </c>
      <c r="BI216" s="136">
        <f t="shared" si="64"/>
        <v>0</v>
      </c>
      <c r="BJ216" s="136">
        <f t="shared" si="57"/>
        <v>0</v>
      </c>
      <c r="BK216" s="136">
        <f t="shared" si="65"/>
        <v>0</v>
      </c>
      <c r="BL216" s="136">
        <f t="shared" si="66"/>
        <v>0</v>
      </c>
      <c r="BM216" s="136">
        <f t="shared" si="67"/>
        <v>0</v>
      </c>
      <c r="BN216" s="136">
        <f t="shared" si="68"/>
        <v>0</v>
      </c>
      <c r="BO216" s="136">
        <f t="shared" si="69"/>
        <v>0</v>
      </c>
      <c r="BP216" s="136">
        <f t="shared" si="70"/>
        <v>0</v>
      </c>
      <c r="BQ216" s="136">
        <f t="shared" si="58"/>
        <v>0</v>
      </c>
      <c r="BR216" s="136">
        <f t="shared" si="71"/>
        <v>0</v>
      </c>
      <c r="BS216" s="136">
        <f t="shared" si="72"/>
        <v>0</v>
      </c>
      <c r="BT216" s="136">
        <f t="shared" si="73"/>
        <v>0</v>
      </c>
      <c r="BU216" s="136">
        <f t="shared" si="74"/>
        <v>0</v>
      </c>
      <c r="BV216" s="136">
        <f t="shared" si="75"/>
        <v>0</v>
      </c>
      <c r="BW216" s="136">
        <f t="shared" si="76"/>
        <v>0</v>
      </c>
      <c r="BX216" s="136">
        <f t="shared" si="78"/>
        <v>0</v>
      </c>
    </row>
    <row r="217" spans="53:76" x14ac:dyDescent="0.25">
      <c r="BA217" s="138">
        <f>B18</f>
        <v>5</v>
      </c>
      <c r="BB217" s="140" t="str">
        <f t="shared" si="79"/>
        <v>Farming related Issues (sum of 5.1 &amp; 5.2)</v>
      </c>
      <c r="BC217" s="136">
        <f t="shared" si="56"/>
        <v>0</v>
      </c>
      <c r="BD217" s="136">
        <f t="shared" si="59"/>
        <v>0</v>
      </c>
      <c r="BE217" s="136">
        <f t="shared" si="60"/>
        <v>0</v>
      </c>
      <c r="BF217" s="136">
        <f t="shared" si="61"/>
        <v>0</v>
      </c>
      <c r="BG217" s="136">
        <f t="shared" si="62"/>
        <v>0</v>
      </c>
      <c r="BH217" s="136">
        <f t="shared" si="63"/>
        <v>0</v>
      </c>
      <c r="BI217" s="136">
        <f t="shared" si="64"/>
        <v>0</v>
      </c>
      <c r="BJ217" s="136">
        <f t="shared" si="57"/>
        <v>0</v>
      </c>
      <c r="BK217" s="136">
        <f t="shared" si="65"/>
        <v>0</v>
      </c>
      <c r="BL217" s="136">
        <f t="shared" si="66"/>
        <v>0</v>
      </c>
      <c r="BM217" s="136">
        <f t="shared" si="67"/>
        <v>0</v>
      </c>
      <c r="BN217" s="136">
        <f t="shared" si="68"/>
        <v>0</v>
      </c>
      <c r="BO217" s="136">
        <f t="shared" si="69"/>
        <v>0</v>
      </c>
      <c r="BP217" s="136">
        <f t="shared" si="70"/>
        <v>0</v>
      </c>
      <c r="BQ217" s="136">
        <f t="shared" si="58"/>
        <v>0</v>
      </c>
      <c r="BR217" s="136">
        <f t="shared" si="71"/>
        <v>0</v>
      </c>
      <c r="BS217" s="136">
        <f t="shared" si="72"/>
        <v>0</v>
      </c>
      <c r="BT217" s="136">
        <f t="shared" si="73"/>
        <v>0</v>
      </c>
      <c r="BU217" s="136">
        <f t="shared" si="74"/>
        <v>0</v>
      </c>
      <c r="BV217" s="136">
        <f t="shared" si="75"/>
        <v>0</v>
      </c>
      <c r="BW217" s="136">
        <f t="shared" si="76"/>
        <v>0</v>
      </c>
      <c r="BX217" s="136">
        <f t="shared" si="78"/>
        <v>0</v>
      </c>
    </row>
    <row r="218" spans="53:76" x14ac:dyDescent="0.25">
      <c r="BA218" s="138"/>
      <c r="BB218" s="182" t="str">
        <f t="shared" si="79"/>
        <v>5.1 Failure of  Crop (sum of 5.1.1 &amp; 5.1.2)</v>
      </c>
      <c r="BC218" s="136">
        <f t="shared" si="56"/>
        <v>0</v>
      </c>
      <c r="BD218" s="136">
        <f t="shared" si="59"/>
        <v>0</v>
      </c>
      <c r="BE218" s="136">
        <f t="shared" si="60"/>
        <v>0</v>
      </c>
      <c r="BF218" s="136">
        <f t="shared" si="61"/>
        <v>0</v>
      </c>
      <c r="BG218" s="136">
        <f t="shared" si="62"/>
        <v>0</v>
      </c>
      <c r="BH218" s="136">
        <f t="shared" si="63"/>
        <v>0</v>
      </c>
      <c r="BI218" s="136">
        <f t="shared" si="64"/>
        <v>0</v>
      </c>
      <c r="BJ218" s="136">
        <f t="shared" si="57"/>
        <v>0</v>
      </c>
      <c r="BK218" s="136">
        <f t="shared" si="65"/>
        <v>0</v>
      </c>
      <c r="BL218" s="136">
        <f t="shared" si="66"/>
        <v>0</v>
      </c>
      <c r="BM218" s="136">
        <f t="shared" si="67"/>
        <v>0</v>
      </c>
      <c r="BN218" s="136">
        <f t="shared" si="68"/>
        <v>0</v>
      </c>
      <c r="BO218" s="136">
        <f t="shared" si="69"/>
        <v>0</v>
      </c>
      <c r="BP218" s="136">
        <f t="shared" si="70"/>
        <v>0</v>
      </c>
      <c r="BQ218" s="136">
        <f t="shared" si="58"/>
        <v>0</v>
      </c>
      <c r="BR218" s="136">
        <f t="shared" si="71"/>
        <v>0</v>
      </c>
      <c r="BS218" s="136">
        <f t="shared" si="72"/>
        <v>0</v>
      </c>
      <c r="BT218" s="136">
        <f t="shared" si="73"/>
        <v>0</v>
      </c>
      <c r="BU218" s="136">
        <f t="shared" si="74"/>
        <v>0</v>
      </c>
      <c r="BV218" s="136">
        <f t="shared" si="75"/>
        <v>0</v>
      </c>
      <c r="BW218" s="136">
        <f t="shared" si="76"/>
        <v>0</v>
      </c>
      <c r="BX218" s="136">
        <f t="shared" si="78"/>
        <v>0</v>
      </c>
    </row>
    <row r="219" spans="53:76" x14ac:dyDescent="0.25">
      <c r="BA219" s="138"/>
      <c r="BB219" s="183" t="str">
        <f t="shared" si="79"/>
        <v>5.1.1 Due to Natural Calamities</v>
      </c>
      <c r="BC219" s="136">
        <f t="shared" si="56"/>
        <v>0</v>
      </c>
      <c r="BD219" s="136">
        <f t="shared" si="59"/>
        <v>0</v>
      </c>
      <c r="BE219" s="136">
        <f t="shared" si="60"/>
        <v>0</v>
      </c>
      <c r="BF219" s="136">
        <f t="shared" si="61"/>
        <v>0</v>
      </c>
      <c r="BG219" s="136">
        <f t="shared" si="62"/>
        <v>0</v>
      </c>
      <c r="BH219" s="136">
        <f t="shared" si="63"/>
        <v>0</v>
      </c>
      <c r="BI219" s="136">
        <f t="shared" si="64"/>
        <v>0</v>
      </c>
      <c r="BJ219" s="136">
        <f t="shared" si="57"/>
        <v>0</v>
      </c>
      <c r="BK219" s="136">
        <f t="shared" si="65"/>
        <v>0</v>
      </c>
      <c r="BL219" s="136">
        <f t="shared" si="66"/>
        <v>0</v>
      </c>
      <c r="BM219" s="136">
        <f t="shared" si="67"/>
        <v>0</v>
      </c>
      <c r="BN219" s="136">
        <f t="shared" si="68"/>
        <v>0</v>
      </c>
      <c r="BO219" s="136">
        <f t="shared" si="69"/>
        <v>0</v>
      </c>
      <c r="BP219" s="136">
        <f t="shared" si="70"/>
        <v>0</v>
      </c>
      <c r="BQ219" s="136">
        <f t="shared" si="58"/>
        <v>0</v>
      </c>
      <c r="BR219" s="136">
        <f t="shared" si="71"/>
        <v>0</v>
      </c>
      <c r="BS219" s="136">
        <f t="shared" si="72"/>
        <v>0</v>
      </c>
      <c r="BT219" s="136">
        <f t="shared" si="73"/>
        <v>0</v>
      </c>
      <c r="BU219" s="136">
        <f t="shared" si="74"/>
        <v>0</v>
      </c>
      <c r="BV219" s="136">
        <f t="shared" si="75"/>
        <v>0</v>
      </c>
      <c r="BW219" s="136">
        <f t="shared" si="76"/>
        <v>0</v>
      </c>
      <c r="BX219" s="136">
        <f t="shared" si="78"/>
        <v>0</v>
      </c>
    </row>
    <row r="220" spans="53:76" x14ac:dyDescent="0.25">
      <c r="BA220" s="138"/>
      <c r="BB220" s="183" t="str">
        <f t="shared" si="79"/>
        <v>5.1.2 Due to Other reasons</v>
      </c>
      <c r="BC220" s="136">
        <f t="shared" si="56"/>
        <v>0</v>
      </c>
      <c r="BD220" s="136">
        <f t="shared" si="59"/>
        <v>0</v>
      </c>
      <c r="BE220" s="136">
        <f t="shared" si="60"/>
        <v>0</v>
      </c>
      <c r="BF220" s="136">
        <f t="shared" si="61"/>
        <v>0</v>
      </c>
      <c r="BG220" s="136">
        <f t="shared" si="62"/>
        <v>0</v>
      </c>
      <c r="BH220" s="136">
        <f t="shared" si="63"/>
        <v>0</v>
      </c>
      <c r="BI220" s="136">
        <f t="shared" si="64"/>
        <v>0</v>
      </c>
      <c r="BJ220" s="136">
        <f t="shared" si="57"/>
        <v>0</v>
      </c>
      <c r="BK220" s="136">
        <f t="shared" si="65"/>
        <v>0</v>
      </c>
      <c r="BL220" s="136">
        <f t="shared" si="66"/>
        <v>0</v>
      </c>
      <c r="BM220" s="136">
        <f t="shared" si="67"/>
        <v>0</v>
      </c>
      <c r="BN220" s="136">
        <f t="shared" si="68"/>
        <v>0</v>
      </c>
      <c r="BO220" s="136">
        <f t="shared" si="69"/>
        <v>0</v>
      </c>
      <c r="BP220" s="136">
        <f t="shared" si="70"/>
        <v>0</v>
      </c>
      <c r="BQ220" s="136">
        <f t="shared" si="58"/>
        <v>0</v>
      </c>
      <c r="BR220" s="136">
        <f t="shared" si="71"/>
        <v>0</v>
      </c>
      <c r="BS220" s="136">
        <f t="shared" si="72"/>
        <v>0</v>
      </c>
      <c r="BT220" s="136">
        <f t="shared" si="73"/>
        <v>0</v>
      </c>
      <c r="BU220" s="136">
        <f t="shared" si="74"/>
        <v>0</v>
      </c>
      <c r="BV220" s="136">
        <f t="shared" si="75"/>
        <v>0</v>
      </c>
      <c r="BW220" s="136">
        <f t="shared" si="76"/>
        <v>0</v>
      </c>
      <c r="BX220" s="136">
        <f t="shared" si="78"/>
        <v>0</v>
      </c>
    </row>
    <row r="221" spans="53:76" x14ac:dyDescent="0.25">
      <c r="BA221" s="138"/>
      <c r="BB221" s="182" t="str">
        <f t="shared" si="79"/>
        <v>5.2 Inability to Sell</v>
      </c>
      <c r="BC221" s="136">
        <f t="shared" si="56"/>
        <v>0</v>
      </c>
      <c r="BD221" s="136">
        <f t="shared" si="59"/>
        <v>0</v>
      </c>
      <c r="BE221" s="136">
        <f t="shared" si="60"/>
        <v>0</v>
      </c>
      <c r="BF221" s="136">
        <f t="shared" si="61"/>
        <v>0</v>
      </c>
      <c r="BG221" s="136">
        <f t="shared" si="62"/>
        <v>0</v>
      </c>
      <c r="BH221" s="136">
        <f t="shared" si="63"/>
        <v>0</v>
      </c>
      <c r="BI221" s="136">
        <f t="shared" si="64"/>
        <v>0</v>
      </c>
      <c r="BJ221" s="136">
        <f t="shared" si="57"/>
        <v>0</v>
      </c>
      <c r="BK221" s="136">
        <f t="shared" si="65"/>
        <v>0</v>
      </c>
      <c r="BL221" s="136">
        <f t="shared" si="66"/>
        <v>0</v>
      </c>
      <c r="BM221" s="136">
        <f t="shared" si="67"/>
        <v>0</v>
      </c>
      <c r="BN221" s="136">
        <f t="shared" si="68"/>
        <v>0</v>
      </c>
      <c r="BO221" s="136">
        <f t="shared" si="69"/>
        <v>0</v>
      </c>
      <c r="BP221" s="136">
        <f t="shared" si="70"/>
        <v>0</v>
      </c>
      <c r="BQ221" s="136">
        <f t="shared" si="58"/>
        <v>0</v>
      </c>
      <c r="BR221" s="136">
        <f t="shared" si="71"/>
        <v>0</v>
      </c>
      <c r="BS221" s="136">
        <f t="shared" si="72"/>
        <v>0</v>
      </c>
      <c r="BT221" s="136">
        <f t="shared" si="73"/>
        <v>0</v>
      </c>
      <c r="BU221" s="136">
        <f t="shared" si="74"/>
        <v>0</v>
      </c>
      <c r="BV221" s="136">
        <f t="shared" si="75"/>
        <v>0</v>
      </c>
      <c r="BW221" s="136">
        <f t="shared" si="76"/>
        <v>0</v>
      </c>
      <c r="BX221" s="136">
        <f t="shared" si="78"/>
        <v>0</v>
      </c>
    </row>
    <row r="222" spans="53:76" x14ac:dyDescent="0.25">
      <c r="BA222" s="138">
        <f>B23</f>
        <v>6</v>
      </c>
      <c r="BB222" s="140" t="str">
        <f t="shared" si="79"/>
        <v>Illness (sum of 6.1 to 6.5)</v>
      </c>
      <c r="BC222" s="136">
        <f t="shared" si="56"/>
        <v>0</v>
      </c>
      <c r="BD222" s="136">
        <f t="shared" si="59"/>
        <v>0</v>
      </c>
      <c r="BE222" s="136">
        <f t="shared" si="60"/>
        <v>0</v>
      </c>
      <c r="BF222" s="136">
        <f t="shared" si="61"/>
        <v>0</v>
      </c>
      <c r="BG222" s="136">
        <f t="shared" si="62"/>
        <v>0</v>
      </c>
      <c r="BH222" s="136">
        <f t="shared" si="63"/>
        <v>0</v>
      </c>
      <c r="BI222" s="136">
        <f t="shared" si="64"/>
        <v>0</v>
      </c>
      <c r="BJ222" s="136">
        <f t="shared" si="57"/>
        <v>0</v>
      </c>
      <c r="BK222" s="136">
        <f t="shared" si="65"/>
        <v>0</v>
      </c>
      <c r="BL222" s="136">
        <f t="shared" si="66"/>
        <v>0</v>
      </c>
      <c r="BM222" s="136">
        <f t="shared" si="67"/>
        <v>0</v>
      </c>
      <c r="BN222" s="136">
        <f t="shared" si="68"/>
        <v>0</v>
      </c>
      <c r="BO222" s="136">
        <f t="shared" si="69"/>
        <v>0</v>
      </c>
      <c r="BP222" s="136">
        <f t="shared" si="70"/>
        <v>0</v>
      </c>
      <c r="BQ222" s="136">
        <f t="shared" si="58"/>
        <v>0</v>
      </c>
      <c r="BR222" s="136">
        <f t="shared" si="71"/>
        <v>0</v>
      </c>
      <c r="BS222" s="136">
        <f t="shared" si="72"/>
        <v>0</v>
      </c>
      <c r="BT222" s="136">
        <f t="shared" si="73"/>
        <v>0</v>
      </c>
      <c r="BU222" s="136">
        <f t="shared" si="74"/>
        <v>0</v>
      </c>
      <c r="BV222" s="136">
        <f t="shared" si="75"/>
        <v>0</v>
      </c>
      <c r="BW222" s="136">
        <f t="shared" si="76"/>
        <v>0</v>
      </c>
      <c r="BX222" s="136">
        <f t="shared" si="78"/>
        <v>0</v>
      </c>
    </row>
    <row r="223" spans="53:76" x14ac:dyDescent="0.25">
      <c r="BA223" s="138"/>
      <c r="BB223" s="182" t="str">
        <f t="shared" si="79"/>
        <v>6.1 AIDS/STD</v>
      </c>
      <c r="BC223" s="136">
        <f t="shared" si="56"/>
        <v>0</v>
      </c>
      <c r="BD223" s="136">
        <f t="shared" si="59"/>
        <v>0</v>
      </c>
      <c r="BE223" s="136">
        <f t="shared" si="60"/>
        <v>0</v>
      </c>
      <c r="BF223" s="136">
        <f t="shared" si="61"/>
        <v>0</v>
      </c>
      <c r="BG223" s="136">
        <f t="shared" si="62"/>
        <v>0</v>
      </c>
      <c r="BH223" s="136">
        <f t="shared" si="63"/>
        <v>0</v>
      </c>
      <c r="BI223" s="136">
        <f t="shared" si="64"/>
        <v>0</v>
      </c>
      <c r="BJ223" s="136">
        <f t="shared" si="57"/>
        <v>0</v>
      </c>
      <c r="BK223" s="136">
        <f t="shared" si="65"/>
        <v>0</v>
      </c>
      <c r="BL223" s="136">
        <f t="shared" si="66"/>
        <v>0</v>
      </c>
      <c r="BM223" s="136">
        <f t="shared" si="67"/>
        <v>0</v>
      </c>
      <c r="BN223" s="136">
        <f t="shared" si="68"/>
        <v>0</v>
      </c>
      <c r="BO223" s="136">
        <f t="shared" si="69"/>
        <v>0</v>
      </c>
      <c r="BP223" s="136">
        <f t="shared" si="70"/>
        <v>0</v>
      </c>
      <c r="BQ223" s="136">
        <f t="shared" si="58"/>
        <v>0</v>
      </c>
      <c r="BR223" s="136">
        <f t="shared" si="71"/>
        <v>0</v>
      </c>
      <c r="BS223" s="136">
        <f t="shared" si="72"/>
        <v>0</v>
      </c>
      <c r="BT223" s="136">
        <f t="shared" si="73"/>
        <v>0</v>
      </c>
      <c r="BU223" s="136">
        <f t="shared" si="74"/>
        <v>0</v>
      </c>
      <c r="BV223" s="136">
        <f t="shared" si="75"/>
        <v>0</v>
      </c>
      <c r="BW223" s="136">
        <f t="shared" si="76"/>
        <v>0</v>
      </c>
      <c r="BX223" s="136">
        <f t="shared" si="78"/>
        <v>0</v>
      </c>
    </row>
    <row r="224" spans="53:76" x14ac:dyDescent="0.25">
      <c r="BA224" s="138"/>
      <c r="BB224" s="182" t="str">
        <f t="shared" si="79"/>
        <v>6.2 Cancer</v>
      </c>
      <c r="BC224" s="136">
        <f t="shared" si="56"/>
        <v>0</v>
      </c>
      <c r="BD224" s="136">
        <f t="shared" si="59"/>
        <v>0</v>
      </c>
      <c r="BE224" s="136">
        <f t="shared" si="60"/>
        <v>0</v>
      </c>
      <c r="BF224" s="136">
        <f t="shared" si="61"/>
        <v>0</v>
      </c>
      <c r="BG224" s="136">
        <f t="shared" si="62"/>
        <v>0</v>
      </c>
      <c r="BH224" s="136">
        <f t="shared" si="63"/>
        <v>0</v>
      </c>
      <c r="BI224" s="136">
        <f t="shared" si="64"/>
        <v>0</v>
      </c>
      <c r="BJ224" s="136">
        <f t="shared" si="57"/>
        <v>0</v>
      </c>
      <c r="BK224" s="136">
        <f t="shared" si="65"/>
        <v>0</v>
      </c>
      <c r="BL224" s="136">
        <f t="shared" si="66"/>
        <v>0</v>
      </c>
      <c r="BM224" s="136">
        <f t="shared" si="67"/>
        <v>0</v>
      </c>
      <c r="BN224" s="136">
        <f t="shared" si="68"/>
        <v>0</v>
      </c>
      <c r="BO224" s="136">
        <f t="shared" si="69"/>
        <v>0</v>
      </c>
      <c r="BP224" s="136">
        <f t="shared" si="70"/>
        <v>0</v>
      </c>
      <c r="BQ224" s="136">
        <f t="shared" si="58"/>
        <v>0</v>
      </c>
      <c r="BR224" s="136">
        <f t="shared" si="71"/>
        <v>0</v>
      </c>
      <c r="BS224" s="136">
        <f t="shared" si="72"/>
        <v>0</v>
      </c>
      <c r="BT224" s="136">
        <f t="shared" si="73"/>
        <v>0</v>
      </c>
      <c r="BU224" s="136">
        <f t="shared" si="74"/>
        <v>0</v>
      </c>
      <c r="BV224" s="136">
        <f t="shared" si="75"/>
        <v>0</v>
      </c>
      <c r="BW224" s="136">
        <f t="shared" si="76"/>
        <v>0</v>
      </c>
      <c r="BX224" s="136">
        <f t="shared" si="78"/>
        <v>0</v>
      </c>
    </row>
    <row r="225" spans="53:76" x14ac:dyDescent="0.25">
      <c r="BA225" s="138"/>
      <c r="BB225" s="182" t="str">
        <f t="shared" si="79"/>
        <v>6.3 Paralysis</v>
      </c>
      <c r="BC225" s="136">
        <f t="shared" si="56"/>
        <v>0</v>
      </c>
      <c r="BD225" s="136">
        <f t="shared" si="59"/>
        <v>0</v>
      </c>
      <c r="BE225" s="136">
        <f t="shared" si="60"/>
        <v>0</v>
      </c>
      <c r="BF225" s="136">
        <f t="shared" si="61"/>
        <v>0</v>
      </c>
      <c r="BG225" s="136">
        <f t="shared" si="62"/>
        <v>0</v>
      </c>
      <c r="BH225" s="136">
        <f t="shared" si="63"/>
        <v>0</v>
      </c>
      <c r="BI225" s="136">
        <f t="shared" si="64"/>
        <v>0</v>
      </c>
      <c r="BJ225" s="136">
        <f t="shared" si="57"/>
        <v>0</v>
      </c>
      <c r="BK225" s="136">
        <f t="shared" si="65"/>
        <v>0</v>
      </c>
      <c r="BL225" s="136">
        <f t="shared" si="66"/>
        <v>0</v>
      </c>
      <c r="BM225" s="136">
        <f t="shared" si="67"/>
        <v>0</v>
      </c>
      <c r="BN225" s="136">
        <f t="shared" si="68"/>
        <v>0</v>
      </c>
      <c r="BO225" s="136">
        <f t="shared" si="69"/>
        <v>0</v>
      </c>
      <c r="BP225" s="136">
        <f t="shared" si="70"/>
        <v>0</v>
      </c>
      <c r="BQ225" s="136">
        <f t="shared" si="58"/>
        <v>0</v>
      </c>
      <c r="BR225" s="136">
        <f t="shared" si="71"/>
        <v>0</v>
      </c>
      <c r="BS225" s="136">
        <f t="shared" si="72"/>
        <v>0</v>
      </c>
      <c r="BT225" s="136">
        <f t="shared" si="73"/>
        <v>0</v>
      </c>
      <c r="BU225" s="136">
        <f t="shared" si="74"/>
        <v>0</v>
      </c>
      <c r="BV225" s="136">
        <f t="shared" si="75"/>
        <v>0</v>
      </c>
      <c r="BW225" s="136">
        <f t="shared" si="76"/>
        <v>0</v>
      </c>
      <c r="BX225" s="136">
        <f t="shared" si="78"/>
        <v>0</v>
      </c>
    </row>
    <row r="226" spans="53:76" x14ac:dyDescent="0.25">
      <c r="BA226" s="138"/>
      <c r="BB226" s="182" t="str">
        <f t="shared" si="79"/>
        <v>6.4 Insanity/Mental illness</v>
      </c>
      <c r="BC226" s="136">
        <f t="shared" si="56"/>
        <v>0</v>
      </c>
      <c r="BD226" s="136">
        <f t="shared" si="59"/>
        <v>0</v>
      </c>
      <c r="BE226" s="136">
        <f t="shared" si="60"/>
        <v>0</v>
      </c>
      <c r="BF226" s="136">
        <f t="shared" si="61"/>
        <v>0</v>
      </c>
      <c r="BG226" s="136">
        <f t="shared" si="62"/>
        <v>0</v>
      </c>
      <c r="BH226" s="136">
        <f t="shared" si="63"/>
        <v>0</v>
      </c>
      <c r="BI226" s="136">
        <f t="shared" si="64"/>
        <v>0</v>
      </c>
      <c r="BJ226" s="136">
        <f t="shared" si="57"/>
        <v>0</v>
      </c>
      <c r="BK226" s="136">
        <f t="shared" si="65"/>
        <v>0</v>
      </c>
      <c r="BL226" s="136">
        <f t="shared" si="66"/>
        <v>0</v>
      </c>
      <c r="BM226" s="136">
        <f t="shared" si="67"/>
        <v>0</v>
      </c>
      <c r="BN226" s="136">
        <f t="shared" si="68"/>
        <v>0</v>
      </c>
      <c r="BO226" s="136">
        <f t="shared" si="69"/>
        <v>0</v>
      </c>
      <c r="BP226" s="136">
        <f t="shared" si="70"/>
        <v>0</v>
      </c>
      <c r="BQ226" s="136">
        <f t="shared" si="58"/>
        <v>0</v>
      </c>
      <c r="BR226" s="136">
        <f t="shared" si="71"/>
        <v>0</v>
      </c>
      <c r="BS226" s="136">
        <f t="shared" si="72"/>
        <v>0</v>
      </c>
      <c r="BT226" s="136">
        <f t="shared" si="73"/>
        <v>0</v>
      </c>
      <c r="BU226" s="136">
        <f t="shared" si="74"/>
        <v>0</v>
      </c>
      <c r="BV226" s="136">
        <f t="shared" si="75"/>
        <v>0</v>
      </c>
      <c r="BW226" s="136">
        <f t="shared" si="76"/>
        <v>0</v>
      </c>
      <c r="BX226" s="136">
        <f t="shared" si="78"/>
        <v>0</v>
      </c>
    </row>
    <row r="227" spans="53:76" x14ac:dyDescent="0.25">
      <c r="BA227" s="138"/>
      <c r="BB227" s="182" t="str">
        <f t="shared" si="79"/>
        <v>6.5 Other prolonged illness</v>
      </c>
      <c r="BC227" s="136">
        <f t="shared" si="56"/>
        <v>0</v>
      </c>
      <c r="BD227" s="136">
        <f t="shared" si="59"/>
        <v>0</v>
      </c>
      <c r="BE227" s="136">
        <f t="shared" si="60"/>
        <v>0</v>
      </c>
      <c r="BF227" s="136">
        <f t="shared" si="61"/>
        <v>0</v>
      </c>
      <c r="BG227" s="136">
        <f t="shared" si="62"/>
        <v>0</v>
      </c>
      <c r="BH227" s="136">
        <f t="shared" si="63"/>
        <v>0</v>
      </c>
      <c r="BI227" s="136">
        <f t="shared" si="64"/>
        <v>0</v>
      </c>
      <c r="BJ227" s="136">
        <f t="shared" si="57"/>
        <v>0</v>
      </c>
      <c r="BK227" s="136">
        <f t="shared" si="65"/>
        <v>0</v>
      </c>
      <c r="BL227" s="136">
        <f t="shared" si="66"/>
        <v>0</v>
      </c>
      <c r="BM227" s="136">
        <f t="shared" si="67"/>
        <v>0</v>
      </c>
      <c r="BN227" s="136">
        <f t="shared" si="68"/>
        <v>0</v>
      </c>
      <c r="BO227" s="136">
        <f t="shared" si="69"/>
        <v>0</v>
      </c>
      <c r="BP227" s="136">
        <f t="shared" si="70"/>
        <v>0</v>
      </c>
      <c r="BQ227" s="136">
        <f t="shared" si="58"/>
        <v>0</v>
      </c>
      <c r="BR227" s="136">
        <f t="shared" si="71"/>
        <v>0</v>
      </c>
      <c r="BS227" s="136">
        <f t="shared" si="72"/>
        <v>0</v>
      </c>
      <c r="BT227" s="136">
        <f t="shared" si="73"/>
        <v>0</v>
      </c>
      <c r="BU227" s="136">
        <f t="shared" si="74"/>
        <v>0</v>
      </c>
      <c r="BV227" s="136">
        <f t="shared" si="75"/>
        <v>0</v>
      </c>
      <c r="BW227" s="136">
        <f t="shared" si="76"/>
        <v>0</v>
      </c>
      <c r="BX227" s="136">
        <f t="shared" si="78"/>
        <v>0</v>
      </c>
    </row>
    <row r="228" spans="53:76" x14ac:dyDescent="0.25">
      <c r="BA228" s="138">
        <f>B29</f>
        <v>7</v>
      </c>
      <c r="BB228" s="140" t="str">
        <f t="shared" si="79"/>
        <v>Drug abuse/Alcoholic addiction</v>
      </c>
      <c r="BC228" s="136">
        <f t="shared" si="56"/>
        <v>0</v>
      </c>
      <c r="BD228" s="136">
        <f t="shared" si="59"/>
        <v>0</v>
      </c>
      <c r="BE228" s="136">
        <f t="shared" si="60"/>
        <v>0</v>
      </c>
      <c r="BF228" s="136">
        <f t="shared" si="61"/>
        <v>0</v>
      </c>
      <c r="BG228" s="136">
        <f t="shared" si="62"/>
        <v>0</v>
      </c>
      <c r="BH228" s="136">
        <f t="shared" si="63"/>
        <v>0</v>
      </c>
      <c r="BI228" s="136">
        <f t="shared" si="64"/>
        <v>0</v>
      </c>
      <c r="BJ228" s="136">
        <f t="shared" si="57"/>
        <v>0</v>
      </c>
      <c r="BK228" s="136">
        <f t="shared" si="65"/>
        <v>0</v>
      </c>
      <c r="BL228" s="136">
        <f t="shared" si="66"/>
        <v>0</v>
      </c>
      <c r="BM228" s="136">
        <f t="shared" si="67"/>
        <v>0</v>
      </c>
      <c r="BN228" s="136">
        <f t="shared" si="68"/>
        <v>0</v>
      </c>
      <c r="BO228" s="136">
        <f t="shared" si="69"/>
        <v>0</v>
      </c>
      <c r="BP228" s="136">
        <f t="shared" si="70"/>
        <v>0</v>
      </c>
      <c r="BQ228" s="136">
        <f t="shared" si="58"/>
        <v>0</v>
      </c>
      <c r="BR228" s="136">
        <f t="shared" si="71"/>
        <v>0</v>
      </c>
      <c r="BS228" s="136">
        <f t="shared" si="72"/>
        <v>0</v>
      </c>
      <c r="BT228" s="136">
        <f t="shared" si="73"/>
        <v>0</v>
      </c>
      <c r="BU228" s="136">
        <f t="shared" si="74"/>
        <v>0</v>
      </c>
      <c r="BV228" s="136">
        <f t="shared" si="75"/>
        <v>0</v>
      </c>
      <c r="BW228" s="136">
        <f t="shared" si="76"/>
        <v>0</v>
      </c>
      <c r="BX228" s="136">
        <f t="shared" si="78"/>
        <v>0</v>
      </c>
    </row>
    <row r="229" spans="53:76" x14ac:dyDescent="0.25">
      <c r="BA229" s="138">
        <f>B30</f>
        <v>8</v>
      </c>
      <c r="BB229" s="140" t="str">
        <f t="shared" si="79"/>
        <v>Fall in social reputation</v>
      </c>
      <c r="BC229" s="136">
        <f t="shared" si="56"/>
        <v>0</v>
      </c>
      <c r="BD229" s="136">
        <f t="shared" si="59"/>
        <v>0</v>
      </c>
      <c r="BE229" s="136">
        <f t="shared" si="60"/>
        <v>0</v>
      </c>
      <c r="BF229" s="136">
        <f t="shared" si="61"/>
        <v>0</v>
      </c>
      <c r="BG229" s="136">
        <f t="shared" si="62"/>
        <v>0</v>
      </c>
      <c r="BH229" s="136">
        <f t="shared" si="63"/>
        <v>0</v>
      </c>
      <c r="BI229" s="136">
        <f t="shared" si="64"/>
        <v>0</v>
      </c>
      <c r="BJ229" s="136">
        <f t="shared" si="57"/>
        <v>0</v>
      </c>
      <c r="BK229" s="136">
        <f t="shared" si="65"/>
        <v>0</v>
      </c>
      <c r="BL229" s="136">
        <f t="shared" si="66"/>
        <v>0</v>
      </c>
      <c r="BM229" s="136">
        <f t="shared" si="67"/>
        <v>0</v>
      </c>
      <c r="BN229" s="136">
        <f t="shared" si="68"/>
        <v>0</v>
      </c>
      <c r="BO229" s="136">
        <f t="shared" si="69"/>
        <v>0</v>
      </c>
      <c r="BP229" s="136">
        <f t="shared" si="70"/>
        <v>0</v>
      </c>
      <c r="BQ229" s="136">
        <f t="shared" si="58"/>
        <v>0</v>
      </c>
      <c r="BR229" s="136">
        <f t="shared" si="71"/>
        <v>0</v>
      </c>
      <c r="BS229" s="136">
        <f t="shared" si="72"/>
        <v>0</v>
      </c>
      <c r="BT229" s="136">
        <f t="shared" si="73"/>
        <v>0</v>
      </c>
      <c r="BU229" s="136">
        <f t="shared" si="74"/>
        <v>0</v>
      </c>
      <c r="BV229" s="136">
        <f t="shared" si="75"/>
        <v>0</v>
      </c>
      <c r="BW229" s="136">
        <f t="shared" si="76"/>
        <v>0</v>
      </c>
      <c r="BX229" s="136">
        <f t="shared" si="78"/>
        <v>0</v>
      </c>
    </row>
    <row r="230" spans="53:76" ht="25.5" x14ac:dyDescent="0.25">
      <c r="BA230" s="138">
        <f>B31</f>
        <v>9</v>
      </c>
      <c r="BB230" s="140" t="str">
        <f t="shared" si="79"/>
        <v>Bankruptcy or Indebtedness (sum of 9.1 to 9.3)</v>
      </c>
      <c r="BC230" s="136">
        <f t="shared" si="56"/>
        <v>0</v>
      </c>
      <c r="BD230" s="136">
        <f t="shared" si="59"/>
        <v>0</v>
      </c>
      <c r="BE230" s="136">
        <f t="shared" si="60"/>
        <v>0</v>
      </c>
      <c r="BF230" s="136">
        <f t="shared" si="61"/>
        <v>0</v>
      </c>
      <c r="BG230" s="136">
        <f t="shared" si="62"/>
        <v>0</v>
      </c>
      <c r="BH230" s="136">
        <f t="shared" si="63"/>
        <v>0</v>
      </c>
      <c r="BI230" s="136">
        <f t="shared" si="64"/>
        <v>0</v>
      </c>
      <c r="BJ230" s="136">
        <f t="shared" si="57"/>
        <v>0</v>
      </c>
      <c r="BK230" s="136">
        <f t="shared" si="65"/>
        <v>0</v>
      </c>
      <c r="BL230" s="136">
        <f t="shared" si="66"/>
        <v>0</v>
      </c>
      <c r="BM230" s="136">
        <f t="shared" si="67"/>
        <v>0</v>
      </c>
      <c r="BN230" s="136">
        <f t="shared" si="68"/>
        <v>0</v>
      </c>
      <c r="BO230" s="136">
        <f t="shared" si="69"/>
        <v>0</v>
      </c>
      <c r="BP230" s="136">
        <f t="shared" si="70"/>
        <v>0</v>
      </c>
      <c r="BQ230" s="136">
        <f t="shared" si="58"/>
        <v>0</v>
      </c>
      <c r="BR230" s="136">
        <f t="shared" si="71"/>
        <v>0</v>
      </c>
      <c r="BS230" s="136">
        <f t="shared" si="72"/>
        <v>0</v>
      </c>
      <c r="BT230" s="136">
        <f t="shared" si="73"/>
        <v>0</v>
      </c>
      <c r="BU230" s="136">
        <f t="shared" si="74"/>
        <v>0</v>
      </c>
      <c r="BV230" s="136">
        <f t="shared" si="75"/>
        <v>0</v>
      </c>
      <c r="BW230" s="136">
        <f t="shared" si="76"/>
        <v>0</v>
      </c>
      <c r="BX230" s="136">
        <f t="shared" si="78"/>
        <v>0</v>
      </c>
    </row>
    <row r="231" spans="53:76" ht="51" x14ac:dyDescent="0.25">
      <c r="BA231" s="138"/>
      <c r="BB231" s="182" t="str">
        <f t="shared" si="79"/>
        <v>9.1 Bankruptcy or Indebtedness due to Loan taken from Financial Institutions like Bank/Registered Micro Financial Institutions</v>
      </c>
      <c r="BC231" s="136">
        <f t="shared" si="56"/>
        <v>0</v>
      </c>
      <c r="BD231" s="136">
        <f t="shared" si="59"/>
        <v>0</v>
      </c>
      <c r="BE231" s="136">
        <f t="shared" si="60"/>
        <v>0</v>
      </c>
      <c r="BF231" s="136">
        <f t="shared" si="61"/>
        <v>0</v>
      </c>
      <c r="BG231" s="136">
        <f t="shared" si="62"/>
        <v>0</v>
      </c>
      <c r="BH231" s="136">
        <f t="shared" si="63"/>
        <v>0</v>
      </c>
      <c r="BI231" s="136">
        <f t="shared" si="64"/>
        <v>0</v>
      </c>
      <c r="BJ231" s="136">
        <f t="shared" si="57"/>
        <v>0</v>
      </c>
      <c r="BK231" s="136">
        <f t="shared" si="65"/>
        <v>0</v>
      </c>
      <c r="BL231" s="136">
        <f t="shared" si="66"/>
        <v>0</v>
      </c>
      <c r="BM231" s="136">
        <f t="shared" si="67"/>
        <v>0</v>
      </c>
      <c r="BN231" s="136">
        <f t="shared" si="68"/>
        <v>0</v>
      </c>
      <c r="BO231" s="136">
        <f t="shared" si="69"/>
        <v>0</v>
      </c>
      <c r="BP231" s="136">
        <f t="shared" si="70"/>
        <v>0</v>
      </c>
      <c r="BQ231" s="136">
        <f t="shared" si="58"/>
        <v>0</v>
      </c>
      <c r="BR231" s="136">
        <f t="shared" si="71"/>
        <v>0</v>
      </c>
      <c r="BS231" s="136">
        <f t="shared" si="72"/>
        <v>0</v>
      </c>
      <c r="BT231" s="136">
        <f t="shared" si="73"/>
        <v>0</v>
      </c>
      <c r="BU231" s="136">
        <f t="shared" si="74"/>
        <v>0</v>
      </c>
      <c r="BV231" s="136">
        <f t="shared" si="75"/>
        <v>0</v>
      </c>
      <c r="BW231" s="136">
        <f t="shared" si="76"/>
        <v>0</v>
      </c>
      <c r="BX231" s="136">
        <f t="shared" si="78"/>
        <v>0</v>
      </c>
    </row>
    <row r="232" spans="53:76" ht="25.5" x14ac:dyDescent="0.25">
      <c r="BA232" s="138"/>
      <c r="BB232" s="182" t="str">
        <f t="shared" si="79"/>
        <v>9.2 Due to loan taken from Money Lenders/ Non-Financial Institutions</v>
      </c>
      <c r="BC232" s="136">
        <f t="shared" si="56"/>
        <v>0</v>
      </c>
      <c r="BD232" s="136">
        <f t="shared" si="59"/>
        <v>0</v>
      </c>
      <c r="BE232" s="136">
        <f t="shared" si="60"/>
        <v>0</v>
      </c>
      <c r="BF232" s="136">
        <f t="shared" si="61"/>
        <v>0</v>
      </c>
      <c r="BG232" s="136">
        <f t="shared" si="62"/>
        <v>0</v>
      </c>
      <c r="BH232" s="136">
        <f t="shared" si="63"/>
        <v>0</v>
      </c>
      <c r="BI232" s="136">
        <f t="shared" si="64"/>
        <v>0</v>
      </c>
      <c r="BJ232" s="136">
        <f t="shared" si="57"/>
        <v>0</v>
      </c>
      <c r="BK232" s="136">
        <f t="shared" si="65"/>
        <v>0</v>
      </c>
      <c r="BL232" s="136">
        <f t="shared" si="66"/>
        <v>0</v>
      </c>
      <c r="BM232" s="136">
        <f t="shared" si="67"/>
        <v>0</v>
      </c>
      <c r="BN232" s="136">
        <f t="shared" si="68"/>
        <v>0</v>
      </c>
      <c r="BO232" s="136">
        <f t="shared" si="69"/>
        <v>0</v>
      </c>
      <c r="BP232" s="136">
        <f t="shared" si="70"/>
        <v>0</v>
      </c>
      <c r="BQ232" s="136">
        <f t="shared" si="58"/>
        <v>0</v>
      </c>
      <c r="BR232" s="136">
        <f t="shared" si="71"/>
        <v>0</v>
      </c>
      <c r="BS232" s="136">
        <f t="shared" si="72"/>
        <v>0</v>
      </c>
      <c r="BT232" s="136">
        <f t="shared" si="73"/>
        <v>0</v>
      </c>
      <c r="BU232" s="136">
        <f t="shared" si="74"/>
        <v>0</v>
      </c>
      <c r="BV232" s="136">
        <f t="shared" si="75"/>
        <v>0</v>
      </c>
      <c r="BW232" s="136">
        <f t="shared" si="76"/>
        <v>0</v>
      </c>
      <c r="BX232" s="136">
        <f t="shared" si="78"/>
        <v>0</v>
      </c>
    </row>
    <row r="233" spans="53:76" ht="38.25" x14ac:dyDescent="0.25">
      <c r="BA233" s="473"/>
      <c r="BB233" s="182" t="str">
        <f t="shared" ref="BB233" si="80">C34</f>
        <v>9.3 Due to loan taken from both Financial Institutions as well as Money Lenders/Non-Financial Institutions</v>
      </c>
      <c r="BC233" s="136">
        <f t="shared" ref="BC233" si="81">D34</f>
        <v>0</v>
      </c>
      <c r="BD233" s="136">
        <f t="shared" ref="BD233" si="82">E34</f>
        <v>0</v>
      </c>
      <c r="BE233" s="136">
        <f t="shared" ref="BE233" si="83">F34</f>
        <v>0</v>
      </c>
      <c r="BF233" s="136">
        <f t="shared" ref="BF233" si="84">G34</f>
        <v>0</v>
      </c>
      <c r="BG233" s="136">
        <f t="shared" ref="BG233" si="85">H34</f>
        <v>0</v>
      </c>
      <c r="BH233" s="136">
        <f t="shared" ref="BH233" si="86">I34</f>
        <v>0</v>
      </c>
      <c r="BI233" s="136">
        <f t="shared" ref="BI233" si="87">J34</f>
        <v>0</v>
      </c>
      <c r="BJ233" s="136">
        <f t="shared" ref="BJ233" si="88">K34</f>
        <v>0</v>
      </c>
      <c r="BK233" s="136">
        <f t="shared" ref="BK233" si="89">L34</f>
        <v>0</v>
      </c>
      <c r="BL233" s="136">
        <f t="shared" ref="BL233" si="90">M34</f>
        <v>0</v>
      </c>
      <c r="BM233" s="136">
        <f t="shared" ref="BM233" si="91">N34</f>
        <v>0</v>
      </c>
      <c r="BN233" s="136">
        <f t="shared" ref="BN233" si="92">O34</f>
        <v>0</v>
      </c>
      <c r="BO233" s="136">
        <f t="shared" ref="BO233" si="93">P34</f>
        <v>0</v>
      </c>
      <c r="BP233" s="136">
        <f t="shared" ref="BP233" si="94">Q34</f>
        <v>0</v>
      </c>
      <c r="BQ233" s="136">
        <f t="shared" ref="BQ233" si="95">R34</f>
        <v>0</v>
      </c>
      <c r="BR233" s="136">
        <f t="shared" ref="BR233" si="96">S34</f>
        <v>0</v>
      </c>
      <c r="BS233" s="136">
        <f t="shared" ref="BS233" si="97">T34</f>
        <v>0</v>
      </c>
      <c r="BT233" s="136">
        <f t="shared" ref="BT233" si="98">U34</f>
        <v>0</v>
      </c>
      <c r="BU233" s="136">
        <f t="shared" ref="BU233" si="99">V34</f>
        <v>0</v>
      </c>
      <c r="BV233" s="136">
        <f t="shared" ref="BV233" si="100">W34</f>
        <v>0</v>
      </c>
      <c r="BW233" s="136">
        <f t="shared" ref="BW233" si="101">X34</f>
        <v>0</v>
      </c>
      <c r="BX233" s="136">
        <f t="shared" ref="BX233" si="102">Y34</f>
        <v>0</v>
      </c>
    </row>
    <row r="234" spans="53:76" x14ac:dyDescent="0.25">
      <c r="BA234" s="138">
        <f>B35</f>
        <v>10</v>
      </c>
      <c r="BB234" s="140" t="str">
        <f t="shared" ref="BB234:BB236" si="103">C35</f>
        <v>Causes not known</v>
      </c>
      <c r="BC234" s="136">
        <f t="shared" ref="BC234:BC239" si="104">D35</f>
        <v>0</v>
      </c>
      <c r="BD234" s="136">
        <f t="shared" ref="BD234:BD239" si="105">E35</f>
        <v>0</v>
      </c>
      <c r="BE234" s="136">
        <f t="shared" ref="BE234:BE239" si="106">F35</f>
        <v>0</v>
      </c>
      <c r="BF234" s="136">
        <f t="shared" ref="BF234:BF239" si="107">G35</f>
        <v>0</v>
      </c>
      <c r="BG234" s="136">
        <f t="shared" ref="BG234:BG239" si="108">H35</f>
        <v>0</v>
      </c>
      <c r="BH234" s="136">
        <f t="shared" ref="BH234:BH239" si="109">I35</f>
        <v>0</v>
      </c>
      <c r="BI234" s="136">
        <f t="shared" ref="BI234:BI239" si="110">J35</f>
        <v>0</v>
      </c>
      <c r="BJ234" s="136">
        <f t="shared" ref="BJ234:BJ239" si="111">K35</f>
        <v>0</v>
      </c>
      <c r="BK234" s="136">
        <f t="shared" ref="BK234:BK239" si="112">L35</f>
        <v>0</v>
      </c>
      <c r="BL234" s="136">
        <f t="shared" ref="BL234:BL239" si="113">M35</f>
        <v>0</v>
      </c>
      <c r="BM234" s="136">
        <f t="shared" ref="BM234:BM239" si="114">N35</f>
        <v>0</v>
      </c>
      <c r="BN234" s="136">
        <f t="shared" ref="BN234:BN239" si="115">O35</f>
        <v>0</v>
      </c>
      <c r="BO234" s="136">
        <f t="shared" ref="BO234:BO239" si="116">P35</f>
        <v>0</v>
      </c>
      <c r="BP234" s="136">
        <f t="shared" ref="BP234:BP239" si="117">Q35</f>
        <v>0</v>
      </c>
      <c r="BQ234" s="136">
        <f t="shared" ref="BQ234:BQ239" si="118">R35</f>
        <v>0</v>
      </c>
      <c r="BR234" s="136">
        <f t="shared" ref="BR234:BR239" si="119">S35</f>
        <v>0</v>
      </c>
      <c r="BS234" s="136">
        <f t="shared" ref="BS234:BS239" si="120">T35</f>
        <v>0</v>
      </c>
      <c r="BT234" s="136">
        <f t="shared" ref="BT234:BT239" si="121">U35</f>
        <v>0</v>
      </c>
      <c r="BU234" s="136">
        <f t="shared" ref="BU234:BU239" si="122">V35</f>
        <v>0</v>
      </c>
      <c r="BV234" s="136">
        <f t="shared" ref="BV234:BV239" si="123">W35</f>
        <v>0</v>
      </c>
      <c r="BW234" s="136">
        <f t="shared" ref="BW234:BW239" si="124">X35</f>
        <v>0</v>
      </c>
      <c r="BX234" s="136">
        <f t="shared" ref="BX234:BX239" si="125">Y35</f>
        <v>0</v>
      </c>
    </row>
    <row r="235" spans="53:76" x14ac:dyDescent="0.25">
      <c r="BA235" s="138">
        <f>B36</f>
        <v>11</v>
      </c>
      <c r="BB235" s="140" t="str">
        <f t="shared" si="103"/>
        <v>Other causes</v>
      </c>
      <c r="BC235" s="136">
        <f t="shared" si="104"/>
        <v>0</v>
      </c>
      <c r="BD235" s="136">
        <f t="shared" si="105"/>
        <v>0</v>
      </c>
      <c r="BE235" s="136">
        <f t="shared" si="106"/>
        <v>0</v>
      </c>
      <c r="BF235" s="136">
        <f t="shared" si="107"/>
        <v>0</v>
      </c>
      <c r="BG235" s="136">
        <f t="shared" si="108"/>
        <v>0</v>
      </c>
      <c r="BH235" s="136">
        <f t="shared" si="109"/>
        <v>0</v>
      </c>
      <c r="BI235" s="136">
        <f t="shared" si="110"/>
        <v>0</v>
      </c>
      <c r="BJ235" s="136">
        <f t="shared" si="111"/>
        <v>0</v>
      </c>
      <c r="BK235" s="136">
        <f t="shared" si="112"/>
        <v>0</v>
      </c>
      <c r="BL235" s="136">
        <f t="shared" si="113"/>
        <v>0</v>
      </c>
      <c r="BM235" s="136">
        <f t="shared" si="114"/>
        <v>0</v>
      </c>
      <c r="BN235" s="136">
        <f t="shared" si="115"/>
        <v>0</v>
      </c>
      <c r="BO235" s="136">
        <f t="shared" si="116"/>
        <v>0</v>
      </c>
      <c r="BP235" s="136">
        <f t="shared" si="117"/>
        <v>0</v>
      </c>
      <c r="BQ235" s="136">
        <f t="shared" si="118"/>
        <v>0</v>
      </c>
      <c r="BR235" s="136">
        <f t="shared" si="119"/>
        <v>0</v>
      </c>
      <c r="BS235" s="136">
        <f t="shared" si="120"/>
        <v>0</v>
      </c>
      <c r="BT235" s="136">
        <f t="shared" si="121"/>
        <v>0</v>
      </c>
      <c r="BU235" s="136">
        <f t="shared" si="122"/>
        <v>0</v>
      </c>
      <c r="BV235" s="136">
        <f t="shared" si="123"/>
        <v>0</v>
      </c>
      <c r="BW235" s="136">
        <f t="shared" si="124"/>
        <v>0</v>
      </c>
      <c r="BX235" s="136">
        <f t="shared" si="125"/>
        <v>0</v>
      </c>
    </row>
    <row r="236" spans="53:76" x14ac:dyDescent="0.25">
      <c r="BA236" s="138">
        <f>B37</f>
        <v>12</v>
      </c>
      <c r="BB236" s="140" t="str">
        <f t="shared" si="103"/>
        <v>Total (sum of Sl. 1 to 11)</v>
      </c>
      <c r="BC236" s="136">
        <f t="shared" si="104"/>
        <v>0</v>
      </c>
      <c r="BD236" s="136">
        <f t="shared" si="105"/>
        <v>0</v>
      </c>
      <c r="BE236" s="136">
        <f t="shared" si="106"/>
        <v>0</v>
      </c>
      <c r="BF236" s="136">
        <f t="shared" si="107"/>
        <v>0</v>
      </c>
      <c r="BG236" s="136">
        <f t="shared" si="108"/>
        <v>0</v>
      </c>
      <c r="BH236" s="136">
        <f t="shared" si="109"/>
        <v>0</v>
      </c>
      <c r="BI236" s="136">
        <f t="shared" si="110"/>
        <v>0</v>
      </c>
      <c r="BJ236" s="136">
        <f t="shared" si="111"/>
        <v>0</v>
      </c>
      <c r="BK236" s="136">
        <f t="shared" si="112"/>
        <v>0</v>
      </c>
      <c r="BL236" s="136">
        <f t="shared" si="113"/>
        <v>0</v>
      </c>
      <c r="BM236" s="136">
        <f t="shared" si="114"/>
        <v>0</v>
      </c>
      <c r="BN236" s="136">
        <f t="shared" si="115"/>
        <v>0</v>
      </c>
      <c r="BO236" s="136">
        <f t="shared" si="116"/>
        <v>0</v>
      </c>
      <c r="BP236" s="136">
        <f t="shared" si="117"/>
        <v>0</v>
      </c>
      <c r="BQ236" s="136">
        <f t="shared" si="118"/>
        <v>0</v>
      </c>
      <c r="BR236" s="136">
        <f t="shared" si="119"/>
        <v>0</v>
      </c>
      <c r="BS236" s="136">
        <f t="shared" si="120"/>
        <v>0</v>
      </c>
      <c r="BT236" s="136">
        <f t="shared" si="121"/>
        <v>0</v>
      </c>
      <c r="BU236" s="136">
        <f t="shared" si="122"/>
        <v>0</v>
      </c>
      <c r="BV236" s="136">
        <f t="shared" si="123"/>
        <v>0</v>
      </c>
      <c r="BW236" s="136">
        <f t="shared" si="124"/>
        <v>0</v>
      </c>
      <c r="BX236" s="136">
        <f t="shared" si="125"/>
        <v>0</v>
      </c>
    </row>
    <row r="237" spans="53:76" ht="24.95" customHeight="1" x14ac:dyDescent="0.25">
      <c r="BA237" s="673" t="str">
        <f t="shared" ref="BA237:BA242" si="126">A38</f>
        <v>PROFORMA–XV VALUES [Sl.-6.1 Farmers/Cultivators (Sub-Total)]</v>
      </c>
      <c r="BB237" s="674"/>
      <c r="BC237" s="136">
        <f t="shared" si="104"/>
        <v>0</v>
      </c>
      <c r="BD237" s="136">
        <f t="shared" si="105"/>
        <v>0</v>
      </c>
      <c r="BE237" s="136">
        <f t="shared" si="106"/>
        <v>0</v>
      </c>
      <c r="BF237" s="136">
        <f t="shared" si="107"/>
        <v>0</v>
      </c>
      <c r="BG237" s="136">
        <f t="shared" si="108"/>
        <v>0</v>
      </c>
      <c r="BH237" s="136">
        <f t="shared" si="109"/>
        <v>0</v>
      </c>
      <c r="BI237" s="136">
        <f t="shared" si="110"/>
        <v>0</v>
      </c>
      <c r="BJ237" s="136">
        <f t="shared" si="111"/>
        <v>0</v>
      </c>
      <c r="BK237" s="136">
        <f t="shared" si="112"/>
        <v>0</v>
      </c>
      <c r="BL237" s="136">
        <f t="shared" si="113"/>
        <v>0</v>
      </c>
      <c r="BM237" s="136">
        <f t="shared" si="114"/>
        <v>0</v>
      </c>
      <c r="BN237" s="136">
        <f t="shared" si="115"/>
        <v>0</v>
      </c>
      <c r="BO237" s="136">
        <f t="shared" si="116"/>
        <v>0</v>
      </c>
      <c r="BP237" s="136">
        <f t="shared" si="117"/>
        <v>0</v>
      </c>
      <c r="BQ237" s="136">
        <f t="shared" si="118"/>
        <v>0</v>
      </c>
      <c r="BR237" s="136">
        <f t="shared" si="119"/>
        <v>0</v>
      </c>
      <c r="BS237" s="136">
        <f t="shared" si="120"/>
        <v>0</v>
      </c>
      <c r="BT237" s="136">
        <f t="shared" si="121"/>
        <v>0</v>
      </c>
      <c r="BU237" s="136">
        <f t="shared" si="122"/>
        <v>0</v>
      </c>
      <c r="BV237" s="136">
        <f t="shared" si="123"/>
        <v>0</v>
      </c>
      <c r="BW237" s="136">
        <f t="shared" si="124"/>
        <v>0</v>
      </c>
      <c r="BX237" s="136">
        <f t="shared" si="125"/>
        <v>0</v>
      </c>
    </row>
    <row r="238" spans="53:76" ht="24.95" customHeight="1" x14ac:dyDescent="0.25">
      <c r="BA238" s="673" t="str">
        <f t="shared" si="126"/>
        <v>VALIDATION  WITH PROFORMA–XV [Sl.-6.1 Farmers/Cultivators (Sub-Total)]</v>
      </c>
      <c r="BB238" s="674"/>
      <c r="BC238" s="136" t="str">
        <f t="shared" si="104"/>
        <v/>
      </c>
      <c r="BD238" s="136" t="str">
        <f t="shared" si="105"/>
        <v/>
      </c>
      <c r="BE238" s="136" t="str">
        <f t="shared" si="106"/>
        <v/>
      </c>
      <c r="BF238" s="136" t="str">
        <f t="shared" si="107"/>
        <v/>
      </c>
      <c r="BG238" s="136" t="str">
        <f t="shared" si="108"/>
        <v/>
      </c>
      <c r="BH238" s="136" t="str">
        <f t="shared" si="109"/>
        <v/>
      </c>
      <c r="BI238" s="136" t="str">
        <f t="shared" si="110"/>
        <v/>
      </c>
      <c r="BJ238" s="136" t="str">
        <f t="shared" si="111"/>
        <v/>
      </c>
      <c r="BK238" s="136" t="str">
        <f t="shared" si="112"/>
        <v/>
      </c>
      <c r="BL238" s="136" t="str">
        <f t="shared" si="113"/>
        <v/>
      </c>
      <c r="BM238" s="136" t="str">
        <f t="shared" si="114"/>
        <v/>
      </c>
      <c r="BN238" s="136" t="str">
        <f t="shared" si="115"/>
        <v/>
      </c>
      <c r="BO238" s="136" t="str">
        <f t="shared" si="116"/>
        <v/>
      </c>
      <c r="BP238" s="136" t="str">
        <f t="shared" si="117"/>
        <v/>
      </c>
      <c r="BQ238" s="136" t="str">
        <f t="shared" si="118"/>
        <v/>
      </c>
      <c r="BR238" s="136" t="str">
        <f t="shared" si="119"/>
        <v/>
      </c>
      <c r="BS238" s="136" t="str">
        <f t="shared" si="120"/>
        <v/>
      </c>
      <c r="BT238" s="136" t="str">
        <f t="shared" si="121"/>
        <v/>
      </c>
      <c r="BU238" s="136" t="str">
        <f t="shared" si="122"/>
        <v/>
      </c>
      <c r="BV238" s="136" t="str">
        <f t="shared" si="123"/>
        <v/>
      </c>
      <c r="BW238" s="136" t="str">
        <f t="shared" si="124"/>
        <v/>
      </c>
      <c r="BX238" s="136" t="str">
        <f t="shared" si="125"/>
        <v/>
      </c>
    </row>
    <row r="239" spans="53:76" ht="24.95" customHeight="1" x14ac:dyDescent="0.25">
      <c r="BA239" s="673" t="str">
        <f t="shared" si="126"/>
        <v xml:space="preserve"> PROFORMA–XIV VALUES [Sl.–21 (Total)]</v>
      </c>
      <c r="BB239" s="674"/>
      <c r="BC239" s="136">
        <f t="shared" si="104"/>
        <v>2</v>
      </c>
      <c r="BD239" s="136">
        <f t="shared" si="105"/>
        <v>6</v>
      </c>
      <c r="BE239" s="136">
        <f t="shared" si="106"/>
        <v>65</v>
      </c>
      <c r="BF239" s="136">
        <f t="shared" si="107"/>
        <v>79</v>
      </c>
      <c r="BG239" s="136">
        <f t="shared" si="108"/>
        <v>81</v>
      </c>
      <c r="BH239" s="136">
        <f t="shared" si="109"/>
        <v>16</v>
      </c>
      <c r="BI239" s="136">
        <f t="shared" si="110"/>
        <v>249</v>
      </c>
      <c r="BJ239" s="136">
        <f t="shared" si="111"/>
        <v>1</v>
      </c>
      <c r="BK239" s="136">
        <f t="shared" si="112"/>
        <v>4</v>
      </c>
      <c r="BL239" s="136">
        <f t="shared" si="113"/>
        <v>19</v>
      </c>
      <c r="BM239" s="136">
        <f t="shared" si="114"/>
        <v>21</v>
      </c>
      <c r="BN239" s="136">
        <f t="shared" si="115"/>
        <v>11</v>
      </c>
      <c r="BO239" s="136">
        <f t="shared" si="116"/>
        <v>16</v>
      </c>
      <c r="BP239" s="136">
        <f t="shared" si="117"/>
        <v>72</v>
      </c>
      <c r="BQ239" s="136">
        <f t="shared" si="118"/>
        <v>0</v>
      </c>
      <c r="BR239" s="136">
        <f t="shared" si="119"/>
        <v>0</v>
      </c>
      <c r="BS239" s="136">
        <f t="shared" si="120"/>
        <v>0</v>
      </c>
      <c r="BT239" s="136">
        <f t="shared" si="121"/>
        <v>0</v>
      </c>
      <c r="BU239" s="136">
        <f t="shared" si="122"/>
        <v>0</v>
      </c>
      <c r="BV239" s="136">
        <f t="shared" si="123"/>
        <v>0</v>
      </c>
      <c r="BW239" s="136">
        <f t="shared" si="124"/>
        <v>0</v>
      </c>
      <c r="BX239" s="136">
        <f t="shared" si="125"/>
        <v>321</v>
      </c>
    </row>
    <row r="240" spans="53:76" ht="24.95" customHeight="1" x14ac:dyDescent="0.25">
      <c r="BA240" s="673" t="str">
        <f t="shared" si="126"/>
        <v>VALIDATION  WITH  PROFORMA–XIV [Sl.–21 (Total)]</v>
      </c>
      <c r="BB240" s="674"/>
      <c r="BC240" s="136" t="str">
        <f t="shared" ref="BC240" si="127">D41</f>
        <v/>
      </c>
      <c r="BD240" s="136" t="str">
        <f t="shared" ref="BD240:BD242" si="128">E41</f>
        <v/>
      </c>
      <c r="BE240" s="136" t="str">
        <f t="shared" ref="BE240:BE242" si="129">F41</f>
        <v/>
      </c>
      <c r="BF240" s="136" t="str">
        <f t="shared" ref="BF240:BF242" si="130">G41</f>
        <v/>
      </c>
      <c r="BG240" s="136" t="str">
        <f t="shared" ref="BG240:BG242" si="131">H41</f>
        <v/>
      </c>
      <c r="BH240" s="136" t="str">
        <f t="shared" ref="BH240:BH242" si="132">I41</f>
        <v/>
      </c>
      <c r="BI240" s="136" t="str">
        <f t="shared" ref="BI240:BI242" si="133">J41</f>
        <v/>
      </c>
      <c r="BJ240" s="136" t="str">
        <f t="shared" ref="BJ240:BJ242" si="134">K41</f>
        <v/>
      </c>
      <c r="BK240" s="136" t="str">
        <f t="shared" ref="BK240:BK242" si="135">L41</f>
        <v/>
      </c>
      <c r="BL240" s="136" t="str">
        <f t="shared" ref="BL240:BL242" si="136">M41</f>
        <v/>
      </c>
      <c r="BM240" s="136" t="str">
        <f t="shared" ref="BM240:BM242" si="137">N41</f>
        <v/>
      </c>
      <c r="BN240" s="136" t="str">
        <f t="shared" ref="BN240:BN242" si="138">O41</f>
        <v/>
      </c>
      <c r="BO240" s="136" t="str">
        <f>P41</f>
        <v/>
      </c>
      <c r="BP240" s="136" t="str">
        <f t="shared" ref="BP240:BP242" si="139">Q41</f>
        <v/>
      </c>
      <c r="BQ240" s="136" t="str">
        <f t="shared" ref="BQ240:BQ242" si="140">R41</f>
        <v/>
      </c>
      <c r="BR240" s="136" t="str">
        <f t="shared" ref="BR240:BR242" si="141">S41</f>
        <v/>
      </c>
      <c r="BS240" s="136" t="str">
        <f t="shared" ref="BS240:BS242" si="142">T41</f>
        <v/>
      </c>
      <c r="BT240" s="136" t="str">
        <f t="shared" ref="BT240:BT242" si="143">U41</f>
        <v/>
      </c>
      <c r="BU240" s="136" t="str">
        <f t="shared" ref="BU240:BU242" si="144">V41</f>
        <v/>
      </c>
      <c r="BV240" s="136" t="str">
        <f>W41</f>
        <v/>
      </c>
      <c r="BW240" s="136" t="str">
        <f t="shared" ref="BW240:BW242" si="145">X41</f>
        <v/>
      </c>
      <c r="BX240" s="136" t="str">
        <f t="shared" ref="BX240:BX242" si="146">Y41</f>
        <v/>
      </c>
    </row>
    <row r="241" spans="53:77" ht="24.95" customHeight="1" x14ac:dyDescent="0.25">
      <c r="BA241" s="678" t="str">
        <f t="shared" si="126"/>
        <v>SL-10 ABNORMAL VARIATION IN "CAUSES NOT KNOWN" DATA</v>
      </c>
      <c r="BB241" s="679"/>
      <c r="BC241" s="310" t="str">
        <f>D42</f>
        <v/>
      </c>
      <c r="BD241" s="310" t="str">
        <f t="shared" si="128"/>
        <v/>
      </c>
      <c r="BE241" s="310" t="str">
        <f t="shared" si="129"/>
        <v/>
      </c>
      <c r="BF241" s="310" t="str">
        <f t="shared" si="130"/>
        <v/>
      </c>
      <c r="BG241" s="310" t="str">
        <f t="shared" si="131"/>
        <v/>
      </c>
      <c r="BH241" s="310" t="str">
        <f t="shared" si="132"/>
        <v/>
      </c>
      <c r="BI241" s="310" t="str">
        <f t="shared" si="133"/>
        <v/>
      </c>
      <c r="BJ241" s="310" t="str">
        <f t="shared" si="134"/>
        <v/>
      </c>
      <c r="BK241" s="310" t="str">
        <f t="shared" si="135"/>
        <v/>
      </c>
      <c r="BL241" s="310" t="str">
        <f t="shared" si="136"/>
        <v/>
      </c>
      <c r="BM241" s="310" t="str">
        <f t="shared" si="137"/>
        <v/>
      </c>
      <c r="BN241" s="310" t="str">
        <f t="shared" si="138"/>
        <v/>
      </c>
      <c r="BO241" s="310" t="str">
        <f t="shared" ref="BO241:BO242" si="147">P42</f>
        <v/>
      </c>
      <c r="BP241" s="310" t="str">
        <f t="shared" si="139"/>
        <v/>
      </c>
      <c r="BQ241" s="310" t="str">
        <f t="shared" si="140"/>
        <v/>
      </c>
      <c r="BR241" s="310" t="str">
        <f t="shared" si="141"/>
        <v/>
      </c>
      <c r="BS241" s="310" t="str">
        <f t="shared" si="142"/>
        <v/>
      </c>
      <c r="BT241" s="310" t="str">
        <f t="shared" si="143"/>
        <v/>
      </c>
      <c r="BU241" s="310" t="str">
        <f t="shared" si="144"/>
        <v/>
      </c>
      <c r="BV241" s="310" t="str">
        <f t="shared" ref="BV241:BV242" si="148">W42</f>
        <v/>
      </c>
      <c r="BW241" s="310" t="str">
        <f t="shared" si="145"/>
        <v/>
      </c>
      <c r="BX241" s="310" t="str">
        <f t="shared" si="146"/>
        <v/>
      </c>
      <c r="BY241" s="132"/>
    </row>
    <row r="242" spans="53:77" ht="24.95" customHeight="1" x14ac:dyDescent="0.25">
      <c r="BA242" s="678" t="str">
        <f t="shared" si="126"/>
        <v>SL-11 ABNORMAL VARIATION IN "OTHER CAUSES" DATA</v>
      </c>
      <c r="BB242" s="679"/>
      <c r="BC242" s="310" t="str">
        <f>D43</f>
        <v/>
      </c>
      <c r="BD242" s="310" t="str">
        <f t="shared" si="128"/>
        <v/>
      </c>
      <c r="BE242" s="310" t="str">
        <f t="shared" si="129"/>
        <v/>
      </c>
      <c r="BF242" s="310" t="str">
        <f t="shared" si="130"/>
        <v/>
      </c>
      <c r="BG242" s="310" t="str">
        <f t="shared" si="131"/>
        <v/>
      </c>
      <c r="BH242" s="310" t="str">
        <f t="shared" si="132"/>
        <v/>
      </c>
      <c r="BI242" s="310" t="str">
        <f t="shared" si="133"/>
        <v/>
      </c>
      <c r="BJ242" s="310" t="str">
        <f t="shared" si="134"/>
        <v/>
      </c>
      <c r="BK242" s="310" t="str">
        <f t="shared" si="135"/>
        <v/>
      </c>
      <c r="BL242" s="310" t="str">
        <f t="shared" si="136"/>
        <v/>
      </c>
      <c r="BM242" s="310" t="str">
        <f t="shared" si="137"/>
        <v/>
      </c>
      <c r="BN242" s="310" t="str">
        <f t="shared" si="138"/>
        <v/>
      </c>
      <c r="BO242" s="310" t="str">
        <f t="shared" si="147"/>
        <v/>
      </c>
      <c r="BP242" s="310" t="str">
        <f t="shared" si="139"/>
        <v/>
      </c>
      <c r="BQ242" s="310" t="str">
        <f t="shared" si="140"/>
        <v/>
      </c>
      <c r="BR242" s="310" t="str">
        <f t="shared" si="141"/>
        <v/>
      </c>
      <c r="BS242" s="310" t="str">
        <f t="shared" si="142"/>
        <v/>
      </c>
      <c r="BT242" s="310" t="str">
        <f t="shared" si="143"/>
        <v/>
      </c>
      <c r="BU242" s="310" t="str">
        <f t="shared" si="144"/>
        <v/>
      </c>
      <c r="BV242" s="310" t="str">
        <f t="shared" si="148"/>
        <v/>
      </c>
      <c r="BW242" s="310" t="str">
        <f t="shared" si="145"/>
        <v/>
      </c>
      <c r="BX242" s="310" t="str">
        <f t="shared" si="146"/>
        <v/>
      </c>
      <c r="BY242" s="132"/>
    </row>
    <row r="243" spans="53:77" x14ac:dyDescent="0.25">
      <c r="BA243" s="132"/>
      <c r="BB243" s="132"/>
      <c r="BC243" s="132"/>
      <c r="BD243" s="132"/>
      <c r="BE243" s="132"/>
      <c r="BF243" s="132"/>
      <c r="BG243" s="132"/>
      <c r="BH243" s="132"/>
      <c r="BI243" s="132"/>
      <c r="BJ243" s="132"/>
      <c r="BK243" s="132"/>
      <c r="BL243" s="132"/>
      <c r="BM243" s="132"/>
      <c r="BN243" s="132"/>
      <c r="BO243" s="132"/>
      <c r="BP243" s="132"/>
      <c r="BQ243" s="132"/>
      <c r="BR243" s="132"/>
      <c r="BS243" s="132"/>
      <c r="BT243" s="132"/>
      <c r="BU243" s="132"/>
      <c r="BV243" s="132"/>
      <c r="BW243" s="132"/>
      <c r="BX243" s="132"/>
      <c r="BY243" s="132"/>
    </row>
    <row r="244" spans="53:77" x14ac:dyDescent="0.25">
      <c r="BA244" s="132"/>
      <c r="BB244" s="132"/>
      <c r="BC244" s="132"/>
      <c r="BD244" s="132"/>
      <c r="BE244" s="132"/>
      <c r="BF244" s="132"/>
      <c r="BG244" s="132"/>
      <c r="BH244" s="132"/>
      <c r="BI244" s="132"/>
      <c r="BJ244" s="132"/>
      <c r="BK244" s="132"/>
      <c r="BL244" s="132"/>
      <c r="BM244" s="132"/>
      <c r="BN244" s="132"/>
      <c r="BO244" s="132"/>
      <c r="BP244" s="132"/>
      <c r="BQ244" s="132"/>
      <c r="BR244" s="132"/>
      <c r="BS244" s="132"/>
      <c r="BT244" s="132"/>
      <c r="BU244" s="132"/>
      <c r="BV244" s="132"/>
      <c r="BW244" s="132"/>
      <c r="BX244" s="132"/>
      <c r="BY244" s="132"/>
    </row>
    <row r="245" spans="53:77" x14ac:dyDescent="0.25">
      <c r="BA245" s="132"/>
      <c r="BB245" s="132"/>
      <c r="BC245" s="132"/>
      <c r="BD245" s="132"/>
      <c r="BE245" s="132"/>
      <c r="BF245" s="132"/>
      <c r="BG245" s="132"/>
      <c r="BH245" s="132"/>
      <c r="BI245" s="132"/>
      <c r="BJ245" s="132"/>
      <c r="BK245" s="132"/>
      <c r="BL245" s="132"/>
      <c r="BM245" s="132"/>
      <c r="BN245" s="132"/>
      <c r="BO245" s="132"/>
      <c r="BP245" s="132"/>
      <c r="BQ245" s="132"/>
      <c r="BR245" s="132"/>
      <c r="BS245" s="132"/>
      <c r="BT245" s="132"/>
      <c r="BU245" s="132"/>
      <c r="BV245" s="132"/>
      <c r="BW245" s="132"/>
      <c r="BX245" s="132"/>
      <c r="BY245" s="132"/>
    </row>
    <row r="246" spans="53:77" x14ac:dyDescent="0.25">
      <c r="BA246" s="132"/>
      <c r="BB246" s="132"/>
      <c r="BC246" s="132"/>
      <c r="BD246" s="132"/>
      <c r="BE246" s="132"/>
      <c r="BF246" s="132"/>
      <c r="BG246" s="132"/>
      <c r="BH246" s="132"/>
      <c r="BI246" s="132"/>
      <c r="BJ246" s="132"/>
      <c r="BK246" s="132"/>
      <c r="BL246" s="132"/>
      <c r="BM246" s="132"/>
      <c r="BN246" s="132"/>
      <c r="BO246" s="132"/>
      <c r="BP246" s="132"/>
      <c r="BQ246" s="132"/>
      <c r="BR246" s="132"/>
      <c r="BS246" s="132"/>
      <c r="BT246" s="132"/>
      <c r="BU246" s="132"/>
      <c r="BV246" s="132"/>
      <c r="BW246" s="132"/>
      <c r="BX246" s="132"/>
      <c r="BY246" s="132"/>
    </row>
    <row r="500" spans="1:26" s="365" customFormat="1" x14ac:dyDescent="0.25">
      <c r="A500" s="204" t="s">
        <v>450</v>
      </c>
      <c r="B500" s="204" t="s">
        <v>451</v>
      </c>
      <c r="C500" s="204" t="s">
        <v>452</v>
      </c>
      <c r="D500" s="204" t="s">
        <v>453</v>
      </c>
      <c r="E500" s="204" t="s">
        <v>1365</v>
      </c>
      <c r="F500" s="204" t="s">
        <v>454</v>
      </c>
      <c r="G500" s="204" t="s">
        <v>455</v>
      </c>
      <c r="H500" s="204" t="s">
        <v>456</v>
      </c>
      <c r="I500" s="204" t="s">
        <v>457</v>
      </c>
      <c r="J500" s="204" t="s">
        <v>458</v>
      </c>
      <c r="K500" s="204" t="s">
        <v>459</v>
      </c>
      <c r="L500" s="204" t="s">
        <v>1366</v>
      </c>
      <c r="M500" s="204" t="s">
        <v>460</v>
      </c>
      <c r="N500" s="204" t="s">
        <v>461</v>
      </c>
      <c r="O500" s="204" t="s">
        <v>462</v>
      </c>
      <c r="P500" s="204" t="s">
        <v>463</v>
      </c>
      <c r="Q500" s="204" t="s">
        <v>464</v>
      </c>
      <c r="R500" s="204" t="s">
        <v>465</v>
      </c>
      <c r="S500" s="204" t="s">
        <v>1367</v>
      </c>
      <c r="T500" s="204" t="s">
        <v>466</v>
      </c>
      <c r="U500" s="204" t="s">
        <v>467</v>
      </c>
      <c r="V500" s="204" t="s">
        <v>468</v>
      </c>
      <c r="W500" s="204" t="s">
        <v>469</v>
      </c>
      <c r="X500" s="204" t="s">
        <v>470</v>
      </c>
      <c r="Y500" s="204" t="s">
        <v>471</v>
      </c>
      <c r="Z500" s="204" t="s">
        <v>150</v>
      </c>
    </row>
    <row r="501" spans="1:26" s="365" customFormat="1" ht="12.75" x14ac:dyDescent="0.2">
      <c r="A501" s="348">
        <f>IF(ADSI!$G$12="",ADSI!$H$16,ADSI!$H$12)</f>
        <v>6</v>
      </c>
      <c r="B501" s="348" t="str">
        <f ca="1">IF(ADSI!$G$12="",ADSI!$H$16,ADSI!$H$14)</f>
        <v/>
      </c>
      <c r="C501" s="403">
        <f t="shared" ref="C501:C525" si="149">A9</f>
        <v>975</v>
      </c>
      <c r="D501" s="348">
        <f>ADSI!$K$12</f>
        <v>2021</v>
      </c>
      <c r="E501" s="367">
        <f t="shared" ref="E501:Z501" si="150">D9</f>
        <v>0</v>
      </c>
      <c r="F501" s="367">
        <f t="shared" si="150"/>
        <v>0</v>
      </c>
      <c r="G501" s="367">
        <f t="shared" si="150"/>
        <v>0</v>
      </c>
      <c r="H501" s="367">
        <f t="shared" si="150"/>
        <v>0</v>
      </c>
      <c r="I501" s="367">
        <f t="shared" si="150"/>
        <v>0</v>
      </c>
      <c r="J501" s="367">
        <f t="shared" si="150"/>
        <v>0</v>
      </c>
      <c r="K501" s="367">
        <f t="shared" si="150"/>
        <v>0</v>
      </c>
      <c r="L501" s="367">
        <f t="shared" si="150"/>
        <v>0</v>
      </c>
      <c r="M501" s="367">
        <f t="shared" si="150"/>
        <v>0</v>
      </c>
      <c r="N501" s="367">
        <f t="shared" si="150"/>
        <v>0</v>
      </c>
      <c r="O501" s="367">
        <f t="shared" si="150"/>
        <v>0</v>
      </c>
      <c r="P501" s="367">
        <f t="shared" si="150"/>
        <v>0</v>
      </c>
      <c r="Q501" s="367">
        <f t="shared" si="150"/>
        <v>0</v>
      </c>
      <c r="R501" s="367">
        <f t="shared" si="150"/>
        <v>0</v>
      </c>
      <c r="S501" s="367">
        <f t="shared" si="150"/>
        <v>0</v>
      </c>
      <c r="T501" s="367">
        <f t="shared" si="150"/>
        <v>0</v>
      </c>
      <c r="U501" s="367">
        <f t="shared" si="150"/>
        <v>0</v>
      </c>
      <c r="V501" s="367">
        <f t="shared" si="150"/>
        <v>0</v>
      </c>
      <c r="W501" s="367">
        <f t="shared" si="150"/>
        <v>0</v>
      </c>
      <c r="X501" s="367">
        <f t="shared" si="150"/>
        <v>0</v>
      </c>
      <c r="Y501" s="367">
        <f t="shared" si="150"/>
        <v>0</v>
      </c>
      <c r="Z501" s="367">
        <f t="shared" si="150"/>
        <v>0</v>
      </c>
    </row>
    <row r="502" spans="1:26" s="365" customFormat="1" ht="12.75" x14ac:dyDescent="0.2">
      <c r="A502" s="348">
        <f>IF(ADSI!$G$12="",ADSI!$H$16,ADSI!$H$12)</f>
        <v>6</v>
      </c>
      <c r="B502" s="348" t="str">
        <f ca="1">IF(ADSI!$G$12="",ADSI!$H$16,ADSI!$H$14)</f>
        <v/>
      </c>
      <c r="C502" s="403">
        <f t="shared" si="149"/>
        <v>976</v>
      </c>
      <c r="D502" s="348">
        <f>ADSI!$K$12</f>
        <v>2021</v>
      </c>
      <c r="E502" s="367">
        <f t="shared" ref="E502:Z502" si="151">D10</f>
        <v>0</v>
      </c>
      <c r="F502" s="367">
        <f t="shared" si="151"/>
        <v>0</v>
      </c>
      <c r="G502" s="367">
        <f t="shared" si="151"/>
        <v>0</v>
      </c>
      <c r="H502" s="367">
        <f t="shared" si="151"/>
        <v>0</v>
      </c>
      <c r="I502" s="367">
        <f t="shared" si="151"/>
        <v>0</v>
      </c>
      <c r="J502" s="367">
        <f t="shared" si="151"/>
        <v>0</v>
      </c>
      <c r="K502" s="367">
        <f t="shared" si="151"/>
        <v>0</v>
      </c>
      <c r="L502" s="367">
        <f t="shared" si="151"/>
        <v>0</v>
      </c>
      <c r="M502" s="367">
        <f t="shared" si="151"/>
        <v>0</v>
      </c>
      <c r="N502" s="367">
        <f t="shared" si="151"/>
        <v>0</v>
      </c>
      <c r="O502" s="367">
        <f t="shared" si="151"/>
        <v>0</v>
      </c>
      <c r="P502" s="367">
        <f t="shared" si="151"/>
        <v>0</v>
      </c>
      <c r="Q502" s="367">
        <f t="shared" si="151"/>
        <v>0</v>
      </c>
      <c r="R502" s="367">
        <f t="shared" si="151"/>
        <v>0</v>
      </c>
      <c r="S502" s="367">
        <f t="shared" si="151"/>
        <v>0</v>
      </c>
      <c r="T502" s="367">
        <f t="shared" si="151"/>
        <v>0</v>
      </c>
      <c r="U502" s="367">
        <f t="shared" si="151"/>
        <v>0</v>
      </c>
      <c r="V502" s="367">
        <f t="shared" si="151"/>
        <v>0</v>
      </c>
      <c r="W502" s="367">
        <f t="shared" si="151"/>
        <v>0</v>
      </c>
      <c r="X502" s="367">
        <f t="shared" si="151"/>
        <v>0</v>
      </c>
      <c r="Y502" s="367">
        <f t="shared" si="151"/>
        <v>0</v>
      </c>
      <c r="Z502" s="367">
        <f t="shared" si="151"/>
        <v>0</v>
      </c>
    </row>
    <row r="503" spans="1:26" s="365" customFormat="1" ht="12.75" x14ac:dyDescent="0.2">
      <c r="A503" s="348">
        <f>IF(ADSI!$G$12="",ADSI!$H$16,ADSI!$H$12)</f>
        <v>6</v>
      </c>
      <c r="B503" s="348" t="str">
        <f ca="1">IF(ADSI!$G$12="",ADSI!$H$16,ADSI!$H$14)</f>
        <v/>
      </c>
      <c r="C503" s="403">
        <f t="shared" si="149"/>
        <v>977</v>
      </c>
      <c r="D503" s="348">
        <f>ADSI!$K$12</f>
        <v>2021</v>
      </c>
      <c r="E503" s="367">
        <f t="shared" ref="E503:Z503" si="152">D11</f>
        <v>0</v>
      </c>
      <c r="F503" s="367">
        <f t="shared" si="152"/>
        <v>0</v>
      </c>
      <c r="G503" s="367">
        <f t="shared" si="152"/>
        <v>0</v>
      </c>
      <c r="H503" s="367">
        <f t="shared" si="152"/>
        <v>0</v>
      </c>
      <c r="I503" s="367">
        <f t="shared" si="152"/>
        <v>0</v>
      </c>
      <c r="J503" s="367">
        <f t="shared" si="152"/>
        <v>0</v>
      </c>
      <c r="K503" s="367">
        <f t="shared" si="152"/>
        <v>0</v>
      </c>
      <c r="L503" s="367">
        <f t="shared" si="152"/>
        <v>0</v>
      </c>
      <c r="M503" s="367">
        <f t="shared" si="152"/>
        <v>0</v>
      </c>
      <c r="N503" s="367">
        <f t="shared" si="152"/>
        <v>0</v>
      </c>
      <c r="O503" s="367">
        <f t="shared" si="152"/>
        <v>0</v>
      </c>
      <c r="P503" s="367">
        <f t="shared" si="152"/>
        <v>0</v>
      </c>
      <c r="Q503" s="367">
        <f t="shared" si="152"/>
        <v>0</v>
      </c>
      <c r="R503" s="367">
        <f t="shared" si="152"/>
        <v>0</v>
      </c>
      <c r="S503" s="367">
        <f t="shared" si="152"/>
        <v>0</v>
      </c>
      <c r="T503" s="367">
        <f t="shared" si="152"/>
        <v>0</v>
      </c>
      <c r="U503" s="367">
        <f t="shared" si="152"/>
        <v>0</v>
      </c>
      <c r="V503" s="367">
        <f t="shared" si="152"/>
        <v>0</v>
      </c>
      <c r="W503" s="367">
        <f t="shared" si="152"/>
        <v>0</v>
      </c>
      <c r="X503" s="367">
        <f t="shared" si="152"/>
        <v>0</v>
      </c>
      <c r="Y503" s="367">
        <f t="shared" si="152"/>
        <v>0</v>
      </c>
      <c r="Z503" s="367">
        <f t="shared" si="152"/>
        <v>0</v>
      </c>
    </row>
    <row r="504" spans="1:26" s="365" customFormat="1" ht="12.75" x14ac:dyDescent="0.2">
      <c r="A504" s="348">
        <f>IF(ADSI!$G$12="",ADSI!$H$16,ADSI!$H$12)</f>
        <v>6</v>
      </c>
      <c r="B504" s="348" t="str">
        <f ca="1">IF(ADSI!$G$12="",ADSI!$H$16,ADSI!$H$14)</f>
        <v/>
      </c>
      <c r="C504" s="403">
        <f t="shared" si="149"/>
        <v>978</v>
      </c>
      <c r="D504" s="348">
        <f>ADSI!$K$12</f>
        <v>2021</v>
      </c>
      <c r="E504" s="367">
        <f t="shared" ref="E504:Z504" si="153">D12</f>
        <v>0</v>
      </c>
      <c r="F504" s="367">
        <f t="shared" si="153"/>
        <v>0</v>
      </c>
      <c r="G504" s="367">
        <f t="shared" si="153"/>
        <v>0</v>
      </c>
      <c r="H504" s="367">
        <f t="shared" si="153"/>
        <v>0</v>
      </c>
      <c r="I504" s="367">
        <f t="shared" si="153"/>
        <v>0</v>
      </c>
      <c r="J504" s="367">
        <f t="shared" si="153"/>
        <v>0</v>
      </c>
      <c r="K504" s="367">
        <f t="shared" si="153"/>
        <v>0</v>
      </c>
      <c r="L504" s="367">
        <f t="shared" si="153"/>
        <v>0</v>
      </c>
      <c r="M504" s="367">
        <f t="shared" si="153"/>
        <v>0</v>
      </c>
      <c r="N504" s="367">
        <f t="shared" si="153"/>
        <v>0</v>
      </c>
      <c r="O504" s="367">
        <f t="shared" si="153"/>
        <v>0</v>
      </c>
      <c r="P504" s="367">
        <f t="shared" si="153"/>
        <v>0</v>
      </c>
      <c r="Q504" s="367">
        <f t="shared" si="153"/>
        <v>0</v>
      </c>
      <c r="R504" s="367">
        <f t="shared" si="153"/>
        <v>0</v>
      </c>
      <c r="S504" s="367">
        <f t="shared" si="153"/>
        <v>0</v>
      </c>
      <c r="T504" s="367">
        <f t="shared" si="153"/>
        <v>0</v>
      </c>
      <c r="U504" s="367">
        <f t="shared" si="153"/>
        <v>0</v>
      </c>
      <c r="V504" s="367">
        <f t="shared" si="153"/>
        <v>0</v>
      </c>
      <c r="W504" s="367">
        <f t="shared" si="153"/>
        <v>0</v>
      </c>
      <c r="X504" s="367">
        <f t="shared" si="153"/>
        <v>0</v>
      </c>
      <c r="Y504" s="367">
        <f t="shared" si="153"/>
        <v>0</v>
      </c>
      <c r="Z504" s="367">
        <f t="shared" si="153"/>
        <v>0</v>
      </c>
    </row>
    <row r="505" spans="1:26" s="365" customFormat="1" ht="12.75" x14ac:dyDescent="0.2">
      <c r="A505" s="348">
        <f>IF(ADSI!$G$12="",ADSI!$H$16,ADSI!$H$12)</f>
        <v>6</v>
      </c>
      <c r="B505" s="348" t="str">
        <f ca="1">IF(ADSI!$G$12="",ADSI!$H$16,ADSI!$H$14)</f>
        <v/>
      </c>
      <c r="C505" s="403">
        <f t="shared" si="149"/>
        <v>979</v>
      </c>
      <c r="D505" s="348">
        <f>ADSI!$K$12</f>
        <v>2021</v>
      </c>
      <c r="E505" s="367">
        <f t="shared" ref="E505:Z505" si="154">D13</f>
        <v>0</v>
      </c>
      <c r="F505" s="367">
        <f t="shared" si="154"/>
        <v>0</v>
      </c>
      <c r="G505" s="367">
        <f t="shared" si="154"/>
        <v>0</v>
      </c>
      <c r="H505" s="367">
        <f t="shared" si="154"/>
        <v>0</v>
      </c>
      <c r="I505" s="367">
        <f t="shared" si="154"/>
        <v>0</v>
      </c>
      <c r="J505" s="367">
        <f t="shared" si="154"/>
        <v>0</v>
      </c>
      <c r="K505" s="367">
        <f t="shared" si="154"/>
        <v>0</v>
      </c>
      <c r="L505" s="367">
        <f t="shared" si="154"/>
        <v>0</v>
      </c>
      <c r="M505" s="367">
        <f t="shared" si="154"/>
        <v>0</v>
      </c>
      <c r="N505" s="367">
        <f t="shared" si="154"/>
        <v>0</v>
      </c>
      <c r="O505" s="367">
        <f t="shared" si="154"/>
        <v>0</v>
      </c>
      <c r="P505" s="367">
        <f t="shared" si="154"/>
        <v>0</v>
      </c>
      <c r="Q505" s="367">
        <f t="shared" si="154"/>
        <v>0</v>
      </c>
      <c r="R505" s="367">
        <f t="shared" si="154"/>
        <v>0</v>
      </c>
      <c r="S505" s="367">
        <f t="shared" si="154"/>
        <v>0</v>
      </c>
      <c r="T505" s="367">
        <f t="shared" si="154"/>
        <v>0</v>
      </c>
      <c r="U505" s="367">
        <f t="shared" si="154"/>
        <v>0</v>
      </c>
      <c r="V505" s="367">
        <f t="shared" si="154"/>
        <v>0</v>
      </c>
      <c r="W505" s="367">
        <f t="shared" si="154"/>
        <v>0</v>
      </c>
      <c r="X505" s="367">
        <f t="shared" si="154"/>
        <v>0</v>
      </c>
      <c r="Y505" s="367">
        <f t="shared" si="154"/>
        <v>0</v>
      </c>
      <c r="Z505" s="367">
        <f t="shared" si="154"/>
        <v>0</v>
      </c>
    </row>
    <row r="506" spans="1:26" s="365" customFormat="1" ht="12.75" x14ac:dyDescent="0.2">
      <c r="A506" s="348">
        <f>IF(ADSI!$G$12="",ADSI!$H$16,ADSI!$H$12)</f>
        <v>6</v>
      </c>
      <c r="B506" s="348" t="str">
        <f ca="1">IF(ADSI!$G$12="",ADSI!$H$16,ADSI!$H$14)</f>
        <v/>
      </c>
      <c r="C506" s="403">
        <f t="shared" si="149"/>
        <v>980</v>
      </c>
      <c r="D506" s="348">
        <f>ADSI!$K$12</f>
        <v>2021</v>
      </c>
      <c r="E506" s="367">
        <f t="shared" ref="E506:Z506" si="155">D14</f>
        <v>0</v>
      </c>
      <c r="F506" s="367">
        <f t="shared" si="155"/>
        <v>0</v>
      </c>
      <c r="G506" s="367">
        <f t="shared" si="155"/>
        <v>0</v>
      </c>
      <c r="H506" s="367">
        <f t="shared" si="155"/>
        <v>0</v>
      </c>
      <c r="I506" s="367">
        <f t="shared" si="155"/>
        <v>0</v>
      </c>
      <c r="J506" s="367">
        <f t="shared" si="155"/>
        <v>0</v>
      </c>
      <c r="K506" s="367">
        <f t="shared" si="155"/>
        <v>0</v>
      </c>
      <c r="L506" s="367">
        <f t="shared" si="155"/>
        <v>0</v>
      </c>
      <c r="M506" s="367">
        <f t="shared" si="155"/>
        <v>0</v>
      </c>
      <c r="N506" s="367">
        <f t="shared" si="155"/>
        <v>0</v>
      </c>
      <c r="O506" s="367">
        <f t="shared" si="155"/>
        <v>0</v>
      </c>
      <c r="P506" s="367">
        <f t="shared" si="155"/>
        <v>0</v>
      </c>
      <c r="Q506" s="367">
        <f t="shared" si="155"/>
        <v>0</v>
      </c>
      <c r="R506" s="367">
        <f t="shared" si="155"/>
        <v>0</v>
      </c>
      <c r="S506" s="367">
        <f t="shared" si="155"/>
        <v>0</v>
      </c>
      <c r="T506" s="367">
        <f t="shared" si="155"/>
        <v>0</v>
      </c>
      <c r="U506" s="367">
        <f t="shared" si="155"/>
        <v>0</v>
      </c>
      <c r="V506" s="367">
        <f t="shared" si="155"/>
        <v>0</v>
      </c>
      <c r="W506" s="367">
        <f t="shared" si="155"/>
        <v>0</v>
      </c>
      <c r="X506" s="367">
        <f t="shared" si="155"/>
        <v>0</v>
      </c>
      <c r="Y506" s="367">
        <f t="shared" si="155"/>
        <v>0</v>
      </c>
      <c r="Z506" s="367">
        <f t="shared" si="155"/>
        <v>0</v>
      </c>
    </row>
    <row r="507" spans="1:26" s="365" customFormat="1" ht="12.75" x14ac:dyDescent="0.2">
      <c r="A507" s="348">
        <f>IF(ADSI!$G$12="",ADSI!$H$16,ADSI!$H$12)</f>
        <v>6</v>
      </c>
      <c r="B507" s="348" t="str">
        <f ca="1">IF(ADSI!$G$12="",ADSI!$H$16,ADSI!$H$14)</f>
        <v/>
      </c>
      <c r="C507" s="403">
        <f t="shared" si="149"/>
        <v>981</v>
      </c>
      <c r="D507" s="348">
        <f>ADSI!$K$12</f>
        <v>2021</v>
      </c>
      <c r="E507" s="367">
        <f t="shared" ref="E507:Z507" si="156">D15</f>
        <v>0</v>
      </c>
      <c r="F507" s="367">
        <f t="shared" si="156"/>
        <v>0</v>
      </c>
      <c r="G507" s="367">
        <f t="shared" si="156"/>
        <v>0</v>
      </c>
      <c r="H507" s="367">
        <f t="shared" si="156"/>
        <v>0</v>
      </c>
      <c r="I507" s="367">
        <f t="shared" si="156"/>
        <v>0</v>
      </c>
      <c r="J507" s="367">
        <f t="shared" si="156"/>
        <v>0</v>
      </c>
      <c r="K507" s="367">
        <f t="shared" si="156"/>
        <v>0</v>
      </c>
      <c r="L507" s="367">
        <f t="shared" si="156"/>
        <v>0</v>
      </c>
      <c r="M507" s="367">
        <f t="shared" si="156"/>
        <v>0</v>
      </c>
      <c r="N507" s="367">
        <f t="shared" si="156"/>
        <v>0</v>
      </c>
      <c r="O507" s="367">
        <f t="shared" si="156"/>
        <v>0</v>
      </c>
      <c r="P507" s="367">
        <f t="shared" si="156"/>
        <v>0</v>
      </c>
      <c r="Q507" s="367">
        <f t="shared" si="156"/>
        <v>0</v>
      </c>
      <c r="R507" s="367">
        <f t="shared" si="156"/>
        <v>0</v>
      </c>
      <c r="S507" s="367">
        <f t="shared" si="156"/>
        <v>0</v>
      </c>
      <c r="T507" s="367">
        <f t="shared" si="156"/>
        <v>0</v>
      </c>
      <c r="U507" s="367">
        <f t="shared" si="156"/>
        <v>0</v>
      </c>
      <c r="V507" s="367">
        <f t="shared" si="156"/>
        <v>0</v>
      </c>
      <c r="W507" s="367">
        <f t="shared" si="156"/>
        <v>0</v>
      </c>
      <c r="X507" s="367">
        <f t="shared" si="156"/>
        <v>0</v>
      </c>
      <c r="Y507" s="367">
        <f t="shared" si="156"/>
        <v>0</v>
      </c>
      <c r="Z507" s="367">
        <f t="shared" si="156"/>
        <v>0</v>
      </c>
    </row>
    <row r="508" spans="1:26" s="365" customFormat="1" ht="12.75" x14ac:dyDescent="0.2">
      <c r="A508" s="348">
        <f>IF(ADSI!$G$12="",ADSI!$H$16,ADSI!$H$12)</f>
        <v>6</v>
      </c>
      <c r="B508" s="348" t="str">
        <f ca="1">IF(ADSI!$G$12="",ADSI!$H$16,ADSI!$H$14)</f>
        <v/>
      </c>
      <c r="C508" s="403">
        <f t="shared" si="149"/>
        <v>982</v>
      </c>
      <c r="D508" s="348">
        <f>ADSI!$K$12</f>
        <v>2021</v>
      </c>
      <c r="E508" s="367">
        <f t="shared" ref="E508:Z508" si="157">D16</f>
        <v>0</v>
      </c>
      <c r="F508" s="367">
        <f t="shared" si="157"/>
        <v>0</v>
      </c>
      <c r="G508" s="367">
        <f t="shared" si="157"/>
        <v>0</v>
      </c>
      <c r="H508" s="367">
        <f t="shared" si="157"/>
        <v>0</v>
      </c>
      <c r="I508" s="367">
        <f t="shared" si="157"/>
        <v>0</v>
      </c>
      <c r="J508" s="367">
        <f t="shared" si="157"/>
        <v>0</v>
      </c>
      <c r="K508" s="367">
        <f t="shared" si="157"/>
        <v>0</v>
      </c>
      <c r="L508" s="367">
        <f t="shared" si="157"/>
        <v>0</v>
      </c>
      <c r="M508" s="367">
        <f t="shared" si="157"/>
        <v>0</v>
      </c>
      <c r="N508" s="367">
        <f t="shared" si="157"/>
        <v>0</v>
      </c>
      <c r="O508" s="367">
        <f t="shared" si="157"/>
        <v>0</v>
      </c>
      <c r="P508" s="367">
        <f t="shared" si="157"/>
        <v>0</v>
      </c>
      <c r="Q508" s="367">
        <f t="shared" si="157"/>
        <v>0</v>
      </c>
      <c r="R508" s="367">
        <f t="shared" si="157"/>
        <v>0</v>
      </c>
      <c r="S508" s="367">
        <f t="shared" si="157"/>
        <v>0</v>
      </c>
      <c r="T508" s="367">
        <f t="shared" si="157"/>
        <v>0</v>
      </c>
      <c r="U508" s="367">
        <f t="shared" si="157"/>
        <v>0</v>
      </c>
      <c r="V508" s="367">
        <f t="shared" si="157"/>
        <v>0</v>
      </c>
      <c r="W508" s="367">
        <f t="shared" si="157"/>
        <v>0</v>
      </c>
      <c r="X508" s="367">
        <f t="shared" si="157"/>
        <v>0</v>
      </c>
      <c r="Y508" s="367">
        <f t="shared" si="157"/>
        <v>0</v>
      </c>
      <c r="Z508" s="367">
        <f t="shared" si="157"/>
        <v>0</v>
      </c>
    </row>
    <row r="509" spans="1:26" s="365" customFormat="1" ht="12.75" x14ac:dyDescent="0.2">
      <c r="A509" s="348">
        <f>IF(ADSI!$G$12="",ADSI!$H$16,ADSI!$H$12)</f>
        <v>6</v>
      </c>
      <c r="B509" s="348" t="str">
        <f ca="1">IF(ADSI!$G$12="",ADSI!$H$16,ADSI!$H$14)</f>
        <v/>
      </c>
      <c r="C509" s="403">
        <f t="shared" si="149"/>
        <v>983</v>
      </c>
      <c r="D509" s="348">
        <f>ADSI!$K$12</f>
        <v>2021</v>
      </c>
      <c r="E509" s="367">
        <f t="shared" ref="E509:Z509" si="158">D17</f>
        <v>0</v>
      </c>
      <c r="F509" s="367">
        <f t="shared" si="158"/>
        <v>0</v>
      </c>
      <c r="G509" s="367">
        <f t="shared" si="158"/>
        <v>0</v>
      </c>
      <c r="H509" s="367">
        <f t="shared" si="158"/>
        <v>0</v>
      </c>
      <c r="I509" s="367">
        <f t="shared" si="158"/>
        <v>0</v>
      </c>
      <c r="J509" s="367">
        <f t="shared" si="158"/>
        <v>0</v>
      </c>
      <c r="K509" s="367">
        <f t="shared" si="158"/>
        <v>0</v>
      </c>
      <c r="L509" s="367">
        <f t="shared" si="158"/>
        <v>0</v>
      </c>
      <c r="M509" s="367">
        <f t="shared" si="158"/>
        <v>0</v>
      </c>
      <c r="N509" s="367">
        <f t="shared" si="158"/>
        <v>0</v>
      </c>
      <c r="O509" s="367">
        <f t="shared" si="158"/>
        <v>0</v>
      </c>
      <c r="P509" s="367">
        <f t="shared" si="158"/>
        <v>0</v>
      </c>
      <c r="Q509" s="367">
        <f t="shared" si="158"/>
        <v>0</v>
      </c>
      <c r="R509" s="367">
        <f t="shared" si="158"/>
        <v>0</v>
      </c>
      <c r="S509" s="367">
        <f t="shared" si="158"/>
        <v>0</v>
      </c>
      <c r="T509" s="367">
        <f t="shared" si="158"/>
        <v>0</v>
      </c>
      <c r="U509" s="367">
        <f t="shared" si="158"/>
        <v>0</v>
      </c>
      <c r="V509" s="367">
        <f t="shared" si="158"/>
        <v>0</v>
      </c>
      <c r="W509" s="367">
        <f t="shared" si="158"/>
        <v>0</v>
      </c>
      <c r="X509" s="367">
        <f t="shared" si="158"/>
        <v>0</v>
      </c>
      <c r="Y509" s="367">
        <f t="shared" si="158"/>
        <v>0</v>
      </c>
      <c r="Z509" s="367">
        <f t="shared" si="158"/>
        <v>0</v>
      </c>
    </row>
    <row r="510" spans="1:26" s="365" customFormat="1" ht="12.75" x14ac:dyDescent="0.2">
      <c r="A510" s="348">
        <f>IF(ADSI!$G$12="",ADSI!$H$16,ADSI!$H$12)</f>
        <v>6</v>
      </c>
      <c r="B510" s="348" t="str">
        <f ca="1">IF(ADSI!$G$12="",ADSI!$H$16,ADSI!$H$14)</f>
        <v/>
      </c>
      <c r="C510" s="403">
        <f t="shared" si="149"/>
        <v>984</v>
      </c>
      <c r="D510" s="348">
        <f>ADSI!$K$12</f>
        <v>2021</v>
      </c>
      <c r="E510" s="367">
        <f t="shared" ref="E510:Z510" si="159">D18</f>
        <v>0</v>
      </c>
      <c r="F510" s="367">
        <f t="shared" si="159"/>
        <v>0</v>
      </c>
      <c r="G510" s="367">
        <f t="shared" si="159"/>
        <v>0</v>
      </c>
      <c r="H510" s="367">
        <f t="shared" si="159"/>
        <v>0</v>
      </c>
      <c r="I510" s="367">
        <f t="shared" si="159"/>
        <v>0</v>
      </c>
      <c r="J510" s="367">
        <f t="shared" si="159"/>
        <v>0</v>
      </c>
      <c r="K510" s="367">
        <f t="shared" si="159"/>
        <v>0</v>
      </c>
      <c r="L510" s="367">
        <f t="shared" si="159"/>
        <v>0</v>
      </c>
      <c r="M510" s="367">
        <f t="shared" si="159"/>
        <v>0</v>
      </c>
      <c r="N510" s="367">
        <f t="shared" si="159"/>
        <v>0</v>
      </c>
      <c r="O510" s="367">
        <f t="shared" si="159"/>
        <v>0</v>
      </c>
      <c r="P510" s="367">
        <f t="shared" si="159"/>
        <v>0</v>
      </c>
      <c r="Q510" s="367">
        <f t="shared" si="159"/>
        <v>0</v>
      </c>
      <c r="R510" s="367">
        <f t="shared" si="159"/>
        <v>0</v>
      </c>
      <c r="S510" s="367">
        <f t="shared" si="159"/>
        <v>0</v>
      </c>
      <c r="T510" s="367">
        <f t="shared" si="159"/>
        <v>0</v>
      </c>
      <c r="U510" s="367">
        <f t="shared" si="159"/>
        <v>0</v>
      </c>
      <c r="V510" s="367">
        <f t="shared" si="159"/>
        <v>0</v>
      </c>
      <c r="W510" s="367">
        <f t="shared" si="159"/>
        <v>0</v>
      </c>
      <c r="X510" s="367">
        <f t="shared" si="159"/>
        <v>0</v>
      </c>
      <c r="Y510" s="367">
        <f t="shared" si="159"/>
        <v>0</v>
      </c>
      <c r="Z510" s="367">
        <f t="shared" si="159"/>
        <v>0</v>
      </c>
    </row>
    <row r="511" spans="1:26" s="365" customFormat="1" ht="12.75" x14ac:dyDescent="0.2">
      <c r="A511" s="348">
        <f>IF(ADSI!$G$12="",ADSI!$H$16,ADSI!$H$12)</f>
        <v>6</v>
      </c>
      <c r="B511" s="348" t="str">
        <f ca="1">IF(ADSI!$G$12="",ADSI!$H$16,ADSI!$H$14)</f>
        <v/>
      </c>
      <c r="C511" s="403">
        <f t="shared" si="149"/>
        <v>985</v>
      </c>
      <c r="D511" s="348">
        <f>ADSI!$K$12</f>
        <v>2021</v>
      </c>
      <c r="E511" s="367">
        <f t="shared" ref="E511:Z511" si="160">D19</f>
        <v>0</v>
      </c>
      <c r="F511" s="367">
        <f t="shared" si="160"/>
        <v>0</v>
      </c>
      <c r="G511" s="367">
        <f t="shared" si="160"/>
        <v>0</v>
      </c>
      <c r="H511" s="367">
        <f t="shared" si="160"/>
        <v>0</v>
      </c>
      <c r="I511" s="367">
        <f t="shared" si="160"/>
        <v>0</v>
      </c>
      <c r="J511" s="367">
        <f t="shared" si="160"/>
        <v>0</v>
      </c>
      <c r="K511" s="367">
        <f t="shared" si="160"/>
        <v>0</v>
      </c>
      <c r="L511" s="367">
        <f t="shared" si="160"/>
        <v>0</v>
      </c>
      <c r="M511" s="367">
        <f t="shared" si="160"/>
        <v>0</v>
      </c>
      <c r="N511" s="367">
        <f t="shared" si="160"/>
        <v>0</v>
      </c>
      <c r="O511" s="367">
        <f t="shared" si="160"/>
        <v>0</v>
      </c>
      <c r="P511" s="367">
        <f t="shared" si="160"/>
        <v>0</v>
      </c>
      <c r="Q511" s="367">
        <f t="shared" si="160"/>
        <v>0</v>
      </c>
      <c r="R511" s="367">
        <f t="shared" si="160"/>
        <v>0</v>
      </c>
      <c r="S511" s="367">
        <f t="shared" si="160"/>
        <v>0</v>
      </c>
      <c r="T511" s="367">
        <f t="shared" si="160"/>
        <v>0</v>
      </c>
      <c r="U511" s="367">
        <f t="shared" si="160"/>
        <v>0</v>
      </c>
      <c r="V511" s="367">
        <f t="shared" si="160"/>
        <v>0</v>
      </c>
      <c r="W511" s="367">
        <f t="shared" si="160"/>
        <v>0</v>
      </c>
      <c r="X511" s="367">
        <f t="shared" si="160"/>
        <v>0</v>
      </c>
      <c r="Y511" s="367">
        <f t="shared" si="160"/>
        <v>0</v>
      </c>
      <c r="Z511" s="367">
        <f t="shared" si="160"/>
        <v>0</v>
      </c>
    </row>
    <row r="512" spans="1:26" s="365" customFormat="1" ht="12.75" x14ac:dyDescent="0.2">
      <c r="A512" s="348">
        <f>IF(ADSI!$G$12="",ADSI!$H$16,ADSI!$H$12)</f>
        <v>6</v>
      </c>
      <c r="B512" s="348" t="str">
        <f ca="1">IF(ADSI!$G$12="",ADSI!$H$16,ADSI!$H$14)</f>
        <v/>
      </c>
      <c r="C512" s="403">
        <f t="shared" si="149"/>
        <v>986</v>
      </c>
      <c r="D512" s="348">
        <f>ADSI!$K$12</f>
        <v>2021</v>
      </c>
      <c r="E512" s="367">
        <f t="shared" ref="E512:Z512" si="161">D20</f>
        <v>0</v>
      </c>
      <c r="F512" s="367">
        <f t="shared" si="161"/>
        <v>0</v>
      </c>
      <c r="G512" s="367">
        <f t="shared" si="161"/>
        <v>0</v>
      </c>
      <c r="H512" s="367">
        <f t="shared" si="161"/>
        <v>0</v>
      </c>
      <c r="I512" s="367">
        <f t="shared" si="161"/>
        <v>0</v>
      </c>
      <c r="J512" s="367">
        <f t="shared" si="161"/>
        <v>0</v>
      </c>
      <c r="K512" s="367">
        <f t="shared" si="161"/>
        <v>0</v>
      </c>
      <c r="L512" s="367">
        <f t="shared" si="161"/>
        <v>0</v>
      </c>
      <c r="M512" s="367">
        <f t="shared" si="161"/>
        <v>0</v>
      </c>
      <c r="N512" s="367">
        <f t="shared" si="161"/>
        <v>0</v>
      </c>
      <c r="O512" s="367">
        <f t="shared" si="161"/>
        <v>0</v>
      </c>
      <c r="P512" s="367">
        <f t="shared" si="161"/>
        <v>0</v>
      </c>
      <c r="Q512" s="367">
        <f t="shared" si="161"/>
        <v>0</v>
      </c>
      <c r="R512" s="367">
        <f t="shared" si="161"/>
        <v>0</v>
      </c>
      <c r="S512" s="367">
        <f t="shared" si="161"/>
        <v>0</v>
      </c>
      <c r="T512" s="367">
        <f t="shared" si="161"/>
        <v>0</v>
      </c>
      <c r="U512" s="367">
        <f t="shared" si="161"/>
        <v>0</v>
      </c>
      <c r="V512" s="367">
        <f t="shared" si="161"/>
        <v>0</v>
      </c>
      <c r="W512" s="367">
        <f t="shared" si="161"/>
        <v>0</v>
      </c>
      <c r="X512" s="367">
        <f t="shared" si="161"/>
        <v>0</v>
      </c>
      <c r="Y512" s="367">
        <f t="shared" si="161"/>
        <v>0</v>
      </c>
      <c r="Z512" s="367">
        <f t="shared" si="161"/>
        <v>0</v>
      </c>
    </row>
    <row r="513" spans="1:26" s="365" customFormat="1" ht="12.75" x14ac:dyDescent="0.2">
      <c r="A513" s="348">
        <f>IF(ADSI!$G$12="",ADSI!$H$16,ADSI!$H$12)</f>
        <v>6</v>
      </c>
      <c r="B513" s="348" t="str">
        <f ca="1">IF(ADSI!$G$12="",ADSI!$H$16,ADSI!$H$14)</f>
        <v/>
      </c>
      <c r="C513" s="403">
        <f t="shared" si="149"/>
        <v>987</v>
      </c>
      <c r="D513" s="348">
        <f>ADSI!$K$12</f>
        <v>2021</v>
      </c>
      <c r="E513" s="367">
        <f t="shared" ref="E513:Z513" si="162">D21</f>
        <v>0</v>
      </c>
      <c r="F513" s="367">
        <f t="shared" si="162"/>
        <v>0</v>
      </c>
      <c r="G513" s="367">
        <f t="shared" si="162"/>
        <v>0</v>
      </c>
      <c r="H513" s="367">
        <f t="shared" si="162"/>
        <v>0</v>
      </c>
      <c r="I513" s="367">
        <f t="shared" si="162"/>
        <v>0</v>
      </c>
      <c r="J513" s="367">
        <f t="shared" si="162"/>
        <v>0</v>
      </c>
      <c r="K513" s="367">
        <f t="shared" si="162"/>
        <v>0</v>
      </c>
      <c r="L513" s="367">
        <f t="shared" si="162"/>
        <v>0</v>
      </c>
      <c r="M513" s="367">
        <f t="shared" si="162"/>
        <v>0</v>
      </c>
      <c r="N513" s="367">
        <f t="shared" si="162"/>
        <v>0</v>
      </c>
      <c r="O513" s="367">
        <f t="shared" si="162"/>
        <v>0</v>
      </c>
      <c r="P513" s="367">
        <f t="shared" si="162"/>
        <v>0</v>
      </c>
      <c r="Q513" s="367">
        <f t="shared" si="162"/>
        <v>0</v>
      </c>
      <c r="R513" s="367">
        <f t="shared" si="162"/>
        <v>0</v>
      </c>
      <c r="S513" s="367">
        <f t="shared" si="162"/>
        <v>0</v>
      </c>
      <c r="T513" s="367">
        <f t="shared" si="162"/>
        <v>0</v>
      </c>
      <c r="U513" s="367">
        <f t="shared" si="162"/>
        <v>0</v>
      </c>
      <c r="V513" s="367">
        <f t="shared" si="162"/>
        <v>0</v>
      </c>
      <c r="W513" s="367">
        <f t="shared" si="162"/>
        <v>0</v>
      </c>
      <c r="X513" s="367">
        <f t="shared" si="162"/>
        <v>0</v>
      </c>
      <c r="Y513" s="367">
        <f t="shared" si="162"/>
        <v>0</v>
      </c>
      <c r="Z513" s="367">
        <f t="shared" si="162"/>
        <v>0</v>
      </c>
    </row>
    <row r="514" spans="1:26" s="365" customFormat="1" ht="12.75" x14ac:dyDescent="0.2">
      <c r="A514" s="348">
        <f>IF(ADSI!$G$12="",ADSI!$H$16,ADSI!$H$12)</f>
        <v>6</v>
      </c>
      <c r="B514" s="348" t="str">
        <f ca="1">IF(ADSI!$G$12="",ADSI!$H$16,ADSI!$H$14)</f>
        <v/>
      </c>
      <c r="C514" s="403">
        <f t="shared" si="149"/>
        <v>988</v>
      </c>
      <c r="D514" s="348">
        <f>ADSI!$K$12</f>
        <v>2021</v>
      </c>
      <c r="E514" s="367">
        <f t="shared" ref="E514:Z514" si="163">D22</f>
        <v>0</v>
      </c>
      <c r="F514" s="367">
        <f t="shared" si="163"/>
        <v>0</v>
      </c>
      <c r="G514" s="367">
        <f t="shared" si="163"/>
        <v>0</v>
      </c>
      <c r="H514" s="367">
        <f t="shared" si="163"/>
        <v>0</v>
      </c>
      <c r="I514" s="367">
        <f t="shared" si="163"/>
        <v>0</v>
      </c>
      <c r="J514" s="367">
        <f t="shared" si="163"/>
        <v>0</v>
      </c>
      <c r="K514" s="367">
        <f t="shared" si="163"/>
        <v>0</v>
      </c>
      <c r="L514" s="367">
        <f t="shared" si="163"/>
        <v>0</v>
      </c>
      <c r="M514" s="367">
        <f t="shared" si="163"/>
        <v>0</v>
      </c>
      <c r="N514" s="367">
        <f t="shared" si="163"/>
        <v>0</v>
      </c>
      <c r="O514" s="367">
        <f t="shared" si="163"/>
        <v>0</v>
      </c>
      <c r="P514" s="367">
        <f t="shared" si="163"/>
        <v>0</v>
      </c>
      <c r="Q514" s="367">
        <f t="shared" si="163"/>
        <v>0</v>
      </c>
      <c r="R514" s="367">
        <f t="shared" si="163"/>
        <v>0</v>
      </c>
      <c r="S514" s="367">
        <f t="shared" si="163"/>
        <v>0</v>
      </c>
      <c r="T514" s="367">
        <f t="shared" si="163"/>
        <v>0</v>
      </c>
      <c r="U514" s="367">
        <f t="shared" si="163"/>
        <v>0</v>
      </c>
      <c r="V514" s="367">
        <f t="shared" si="163"/>
        <v>0</v>
      </c>
      <c r="W514" s="367">
        <f t="shared" si="163"/>
        <v>0</v>
      </c>
      <c r="X514" s="367">
        <f t="shared" si="163"/>
        <v>0</v>
      </c>
      <c r="Y514" s="367">
        <f t="shared" si="163"/>
        <v>0</v>
      </c>
      <c r="Z514" s="367">
        <f t="shared" si="163"/>
        <v>0</v>
      </c>
    </row>
    <row r="515" spans="1:26" s="365" customFormat="1" ht="12.75" x14ac:dyDescent="0.2">
      <c r="A515" s="348">
        <f>IF(ADSI!$G$12="",ADSI!$H$16,ADSI!$H$12)</f>
        <v>6</v>
      </c>
      <c r="B515" s="348" t="str">
        <f ca="1">IF(ADSI!$G$12="",ADSI!$H$16,ADSI!$H$14)</f>
        <v/>
      </c>
      <c r="C515" s="403">
        <f t="shared" si="149"/>
        <v>989</v>
      </c>
      <c r="D515" s="348">
        <f>ADSI!$K$12</f>
        <v>2021</v>
      </c>
      <c r="E515" s="367">
        <f t="shared" ref="E515:Z515" si="164">D23</f>
        <v>0</v>
      </c>
      <c r="F515" s="367">
        <f t="shared" si="164"/>
        <v>0</v>
      </c>
      <c r="G515" s="367">
        <f t="shared" si="164"/>
        <v>0</v>
      </c>
      <c r="H515" s="367">
        <f t="shared" si="164"/>
        <v>0</v>
      </c>
      <c r="I515" s="367">
        <f t="shared" si="164"/>
        <v>0</v>
      </c>
      <c r="J515" s="367">
        <f t="shared" si="164"/>
        <v>0</v>
      </c>
      <c r="K515" s="367">
        <f t="shared" si="164"/>
        <v>0</v>
      </c>
      <c r="L515" s="367">
        <f t="shared" si="164"/>
        <v>0</v>
      </c>
      <c r="M515" s="367">
        <f t="shared" si="164"/>
        <v>0</v>
      </c>
      <c r="N515" s="367">
        <f t="shared" si="164"/>
        <v>0</v>
      </c>
      <c r="O515" s="367">
        <f t="shared" si="164"/>
        <v>0</v>
      </c>
      <c r="P515" s="367">
        <f t="shared" si="164"/>
        <v>0</v>
      </c>
      <c r="Q515" s="367">
        <f t="shared" si="164"/>
        <v>0</v>
      </c>
      <c r="R515" s="367">
        <f t="shared" si="164"/>
        <v>0</v>
      </c>
      <c r="S515" s="367">
        <f t="shared" si="164"/>
        <v>0</v>
      </c>
      <c r="T515" s="367">
        <f t="shared" si="164"/>
        <v>0</v>
      </c>
      <c r="U515" s="367">
        <f t="shared" si="164"/>
        <v>0</v>
      </c>
      <c r="V515" s="367">
        <f t="shared" si="164"/>
        <v>0</v>
      </c>
      <c r="W515" s="367">
        <f t="shared" si="164"/>
        <v>0</v>
      </c>
      <c r="X515" s="367">
        <f t="shared" si="164"/>
        <v>0</v>
      </c>
      <c r="Y515" s="367">
        <f t="shared" si="164"/>
        <v>0</v>
      </c>
      <c r="Z515" s="367">
        <f t="shared" si="164"/>
        <v>0</v>
      </c>
    </row>
    <row r="516" spans="1:26" s="365" customFormat="1" ht="12.75" x14ac:dyDescent="0.2">
      <c r="A516" s="348">
        <f>IF(ADSI!$G$12="",ADSI!$H$16,ADSI!$H$12)</f>
        <v>6</v>
      </c>
      <c r="B516" s="348" t="str">
        <f ca="1">IF(ADSI!$G$12="",ADSI!$H$16,ADSI!$H$14)</f>
        <v/>
      </c>
      <c r="C516" s="403">
        <f t="shared" si="149"/>
        <v>990</v>
      </c>
      <c r="D516" s="348">
        <f>ADSI!$K$12</f>
        <v>2021</v>
      </c>
      <c r="E516" s="367">
        <f t="shared" ref="E516:Z516" si="165">D24</f>
        <v>0</v>
      </c>
      <c r="F516" s="367">
        <f t="shared" si="165"/>
        <v>0</v>
      </c>
      <c r="G516" s="367">
        <f t="shared" si="165"/>
        <v>0</v>
      </c>
      <c r="H516" s="367">
        <f t="shared" si="165"/>
        <v>0</v>
      </c>
      <c r="I516" s="367">
        <f t="shared" si="165"/>
        <v>0</v>
      </c>
      <c r="J516" s="367">
        <f t="shared" si="165"/>
        <v>0</v>
      </c>
      <c r="K516" s="367">
        <f t="shared" si="165"/>
        <v>0</v>
      </c>
      <c r="L516" s="367">
        <f t="shared" si="165"/>
        <v>0</v>
      </c>
      <c r="M516" s="367">
        <f t="shared" si="165"/>
        <v>0</v>
      </c>
      <c r="N516" s="367">
        <f t="shared" si="165"/>
        <v>0</v>
      </c>
      <c r="O516" s="367">
        <f t="shared" si="165"/>
        <v>0</v>
      </c>
      <c r="P516" s="367">
        <f t="shared" si="165"/>
        <v>0</v>
      </c>
      <c r="Q516" s="367">
        <f t="shared" si="165"/>
        <v>0</v>
      </c>
      <c r="R516" s="367">
        <f t="shared" si="165"/>
        <v>0</v>
      </c>
      <c r="S516" s="367">
        <f t="shared" si="165"/>
        <v>0</v>
      </c>
      <c r="T516" s="367">
        <f t="shared" si="165"/>
        <v>0</v>
      </c>
      <c r="U516" s="367">
        <f t="shared" si="165"/>
        <v>0</v>
      </c>
      <c r="V516" s="367">
        <f t="shared" si="165"/>
        <v>0</v>
      </c>
      <c r="W516" s="367">
        <f t="shared" si="165"/>
        <v>0</v>
      </c>
      <c r="X516" s="367">
        <f t="shared" si="165"/>
        <v>0</v>
      </c>
      <c r="Y516" s="367">
        <f t="shared" si="165"/>
        <v>0</v>
      </c>
      <c r="Z516" s="367">
        <f t="shared" si="165"/>
        <v>0</v>
      </c>
    </row>
    <row r="517" spans="1:26" s="365" customFormat="1" ht="12.75" x14ac:dyDescent="0.2">
      <c r="A517" s="348">
        <f>IF(ADSI!$G$12="",ADSI!$H$16,ADSI!$H$12)</f>
        <v>6</v>
      </c>
      <c r="B517" s="348" t="str">
        <f ca="1">IF(ADSI!$G$12="",ADSI!$H$16,ADSI!$H$14)</f>
        <v/>
      </c>
      <c r="C517" s="403">
        <f t="shared" si="149"/>
        <v>991</v>
      </c>
      <c r="D517" s="348">
        <f>ADSI!$K$12</f>
        <v>2021</v>
      </c>
      <c r="E517" s="367">
        <f t="shared" ref="E517:Z517" si="166">D25</f>
        <v>0</v>
      </c>
      <c r="F517" s="367">
        <f t="shared" si="166"/>
        <v>0</v>
      </c>
      <c r="G517" s="367">
        <f t="shared" si="166"/>
        <v>0</v>
      </c>
      <c r="H517" s="367">
        <f t="shared" si="166"/>
        <v>0</v>
      </c>
      <c r="I517" s="367">
        <f t="shared" si="166"/>
        <v>0</v>
      </c>
      <c r="J517" s="367">
        <f t="shared" si="166"/>
        <v>0</v>
      </c>
      <c r="K517" s="367">
        <f t="shared" si="166"/>
        <v>0</v>
      </c>
      <c r="L517" s="367">
        <f t="shared" si="166"/>
        <v>0</v>
      </c>
      <c r="M517" s="367">
        <f t="shared" si="166"/>
        <v>0</v>
      </c>
      <c r="N517" s="367">
        <f t="shared" si="166"/>
        <v>0</v>
      </c>
      <c r="O517" s="367">
        <f t="shared" si="166"/>
        <v>0</v>
      </c>
      <c r="P517" s="367">
        <f t="shared" si="166"/>
        <v>0</v>
      </c>
      <c r="Q517" s="367">
        <f t="shared" si="166"/>
        <v>0</v>
      </c>
      <c r="R517" s="367">
        <f t="shared" si="166"/>
        <v>0</v>
      </c>
      <c r="S517" s="367">
        <f t="shared" si="166"/>
        <v>0</v>
      </c>
      <c r="T517" s="367">
        <f t="shared" si="166"/>
        <v>0</v>
      </c>
      <c r="U517" s="367">
        <f t="shared" si="166"/>
        <v>0</v>
      </c>
      <c r="V517" s="367">
        <f t="shared" si="166"/>
        <v>0</v>
      </c>
      <c r="W517" s="367">
        <f t="shared" si="166"/>
        <v>0</v>
      </c>
      <c r="X517" s="367">
        <f t="shared" si="166"/>
        <v>0</v>
      </c>
      <c r="Y517" s="367">
        <f t="shared" si="166"/>
        <v>0</v>
      </c>
      <c r="Z517" s="367">
        <f t="shared" si="166"/>
        <v>0</v>
      </c>
    </row>
    <row r="518" spans="1:26" s="365" customFormat="1" ht="12.75" x14ac:dyDescent="0.2">
      <c r="A518" s="348">
        <f>IF(ADSI!$G$12="",ADSI!$H$16,ADSI!$H$12)</f>
        <v>6</v>
      </c>
      <c r="B518" s="348" t="str">
        <f ca="1">IF(ADSI!$G$12="",ADSI!$H$16,ADSI!$H$14)</f>
        <v/>
      </c>
      <c r="C518" s="403">
        <f t="shared" si="149"/>
        <v>992</v>
      </c>
      <c r="D518" s="348">
        <f>ADSI!$K$12</f>
        <v>2021</v>
      </c>
      <c r="E518" s="367">
        <f t="shared" ref="E518:Z518" si="167">D26</f>
        <v>0</v>
      </c>
      <c r="F518" s="367">
        <f t="shared" si="167"/>
        <v>0</v>
      </c>
      <c r="G518" s="367">
        <f t="shared" si="167"/>
        <v>0</v>
      </c>
      <c r="H518" s="367">
        <f t="shared" si="167"/>
        <v>0</v>
      </c>
      <c r="I518" s="367">
        <f t="shared" si="167"/>
        <v>0</v>
      </c>
      <c r="J518" s="367">
        <f t="shared" si="167"/>
        <v>0</v>
      </c>
      <c r="K518" s="367">
        <f t="shared" si="167"/>
        <v>0</v>
      </c>
      <c r="L518" s="367">
        <f t="shared" si="167"/>
        <v>0</v>
      </c>
      <c r="M518" s="367">
        <f t="shared" si="167"/>
        <v>0</v>
      </c>
      <c r="N518" s="367">
        <f t="shared" si="167"/>
        <v>0</v>
      </c>
      <c r="O518" s="367">
        <f t="shared" si="167"/>
        <v>0</v>
      </c>
      <c r="P518" s="367">
        <f t="shared" si="167"/>
        <v>0</v>
      </c>
      <c r="Q518" s="367">
        <f t="shared" si="167"/>
        <v>0</v>
      </c>
      <c r="R518" s="367">
        <f t="shared" si="167"/>
        <v>0</v>
      </c>
      <c r="S518" s="367">
        <f t="shared" si="167"/>
        <v>0</v>
      </c>
      <c r="T518" s="367">
        <f t="shared" si="167"/>
        <v>0</v>
      </c>
      <c r="U518" s="367">
        <f t="shared" si="167"/>
        <v>0</v>
      </c>
      <c r="V518" s="367">
        <f t="shared" si="167"/>
        <v>0</v>
      </c>
      <c r="W518" s="367">
        <f t="shared" si="167"/>
        <v>0</v>
      </c>
      <c r="X518" s="367">
        <f t="shared" si="167"/>
        <v>0</v>
      </c>
      <c r="Y518" s="367">
        <f t="shared" si="167"/>
        <v>0</v>
      </c>
      <c r="Z518" s="367">
        <f t="shared" si="167"/>
        <v>0</v>
      </c>
    </row>
    <row r="519" spans="1:26" s="365" customFormat="1" ht="12.75" x14ac:dyDescent="0.2">
      <c r="A519" s="348">
        <f>IF(ADSI!$G$12="",ADSI!$H$16,ADSI!$H$12)</f>
        <v>6</v>
      </c>
      <c r="B519" s="348" t="str">
        <f ca="1">IF(ADSI!$G$12="",ADSI!$H$16,ADSI!$H$14)</f>
        <v/>
      </c>
      <c r="C519" s="403">
        <f t="shared" si="149"/>
        <v>993</v>
      </c>
      <c r="D519" s="348">
        <f>ADSI!$K$12</f>
        <v>2021</v>
      </c>
      <c r="E519" s="367">
        <f t="shared" ref="E519:Z519" si="168">D27</f>
        <v>0</v>
      </c>
      <c r="F519" s="367">
        <f t="shared" si="168"/>
        <v>0</v>
      </c>
      <c r="G519" s="367">
        <f t="shared" si="168"/>
        <v>0</v>
      </c>
      <c r="H519" s="367">
        <f t="shared" si="168"/>
        <v>0</v>
      </c>
      <c r="I519" s="367">
        <f t="shared" si="168"/>
        <v>0</v>
      </c>
      <c r="J519" s="367">
        <f t="shared" si="168"/>
        <v>0</v>
      </c>
      <c r="K519" s="367">
        <f t="shared" si="168"/>
        <v>0</v>
      </c>
      <c r="L519" s="367">
        <f t="shared" si="168"/>
        <v>0</v>
      </c>
      <c r="M519" s="367">
        <f t="shared" si="168"/>
        <v>0</v>
      </c>
      <c r="N519" s="367">
        <f t="shared" si="168"/>
        <v>0</v>
      </c>
      <c r="O519" s="367">
        <f t="shared" si="168"/>
        <v>0</v>
      </c>
      <c r="P519" s="367">
        <f t="shared" si="168"/>
        <v>0</v>
      </c>
      <c r="Q519" s="367">
        <f t="shared" si="168"/>
        <v>0</v>
      </c>
      <c r="R519" s="367">
        <f t="shared" si="168"/>
        <v>0</v>
      </c>
      <c r="S519" s="367">
        <f t="shared" si="168"/>
        <v>0</v>
      </c>
      <c r="T519" s="367">
        <f t="shared" si="168"/>
        <v>0</v>
      </c>
      <c r="U519" s="367">
        <f t="shared" si="168"/>
        <v>0</v>
      </c>
      <c r="V519" s="367">
        <f t="shared" si="168"/>
        <v>0</v>
      </c>
      <c r="W519" s="367">
        <f t="shared" si="168"/>
        <v>0</v>
      </c>
      <c r="X519" s="367">
        <f t="shared" si="168"/>
        <v>0</v>
      </c>
      <c r="Y519" s="367">
        <f t="shared" si="168"/>
        <v>0</v>
      </c>
      <c r="Z519" s="367">
        <f t="shared" si="168"/>
        <v>0</v>
      </c>
    </row>
    <row r="520" spans="1:26" s="365" customFormat="1" ht="12.75" x14ac:dyDescent="0.2">
      <c r="A520" s="348">
        <f>IF(ADSI!$G$12="",ADSI!$H$16,ADSI!$H$12)</f>
        <v>6</v>
      </c>
      <c r="B520" s="348" t="str">
        <f ca="1">IF(ADSI!$G$12="",ADSI!$H$16,ADSI!$H$14)</f>
        <v/>
      </c>
      <c r="C520" s="403">
        <f t="shared" si="149"/>
        <v>994</v>
      </c>
      <c r="D520" s="348">
        <f>ADSI!$K$12</f>
        <v>2021</v>
      </c>
      <c r="E520" s="367">
        <f t="shared" ref="E520:Z520" si="169">D28</f>
        <v>0</v>
      </c>
      <c r="F520" s="367">
        <f t="shared" si="169"/>
        <v>0</v>
      </c>
      <c r="G520" s="367">
        <f t="shared" si="169"/>
        <v>0</v>
      </c>
      <c r="H520" s="367">
        <f t="shared" si="169"/>
        <v>0</v>
      </c>
      <c r="I520" s="367">
        <f t="shared" si="169"/>
        <v>0</v>
      </c>
      <c r="J520" s="367">
        <f t="shared" si="169"/>
        <v>0</v>
      </c>
      <c r="K520" s="367">
        <f t="shared" si="169"/>
        <v>0</v>
      </c>
      <c r="L520" s="367">
        <f t="shared" si="169"/>
        <v>0</v>
      </c>
      <c r="M520" s="367">
        <f t="shared" si="169"/>
        <v>0</v>
      </c>
      <c r="N520" s="367">
        <f t="shared" si="169"/>
        <v>0</v>
      </c>
      <c r="O520" s="367">
        <f t="shared" si="169"/>
        <v>0</v>
      </c>
      <c r="P520" s="367">
        <f t="shared" si="169"/>
        <v>0</v>
      </c>
      <c r="Q520" s="367">
        <f t="shared" si="169"/>
        <v>0</v>
      </c>
      <c r="R520" s="367">
        <f t="shared" si="169"/>
        <v>0</v>
      </c>
      <c r="S520" s="367">
        <f t="shared" si="169"/>
        <v>0</v>
      </c>
      <c r="T520" s="367">
        <f t="shared" si="169"/>
        <v>0</v>
      </c>
      <c r="U520" s="367">
        <f t="shared" si="169"/>
        <v>0</v>
      </c>
      <c r="V520" s="367">
        <f t="shared" si="169"/>
        <v>0</v>
      </c>
      <c r="W520" s="367">
        <f t="shared" si="169"/>
        <v>0</v>
      </c>
      <c r="X520" s="367">
        <f t="shared" si="169"/>
        <v>0</v>
      </c>
      <c r="Y520" s="367">
        <f t="shared" si="169"/>
        <v>0</v>
      </c>
      <c r="Z520" s="367">
        <f t="shared" si="169"/>
        <v>0</v>
      </c>
    </row>
    <row r="521" spans="1:26" s="365" customFormat="1" ht="12.75" x14ac:dyDescent="0.2">
      <c r="A521" s="348">
        <f>IF(ADSI!$G$12="",ADSI!$H$16,ADSI!$H$12)</f>
        <v>6</v>
      </c>
      <c r="B521" s="348" t="str">
        <f ca="1">IF(ADSI!$G$12="",ADSI!$H$16,ADSI!$H$14)</f>
        <v/>
      </c>
      <c r="C521" s="403">
        <f t="shared" si="149"/>
        <v>995</v>
      </c>
      <c r="D521" s="348">
        <f>ADSI!$K$12</f>
        <v>2021</v>
      </c>
      <c r="E521" s="367">
        <f t="shared" ref="E521:Z521" si="170">D29</f>
        <v>0</v>
      </c>
      <c r="F521" s="367">
        <f t="shared" si="170"/>
        <v>0</v>
      </c>
      <c r="G521" s="367">
        <f t="shared" si="170"/>
        <v>0</v>
      </c>
      <c r="H521" s="367">
        <f t="shared" si="170"/>
        <v>0</v>
      </c>
      <c r="I521" s="367">
        <f t="shared" si="170"/>
        <v>0</v>
      </c>
      <c r="J521" s="367">
        <f t="shared" si="170"/>
        <v>0</v>
      </c>
      <c r="K521" s="367">
        <f t="shared" si="170"/>
        <v>0</v>
      </c>
      <c r="L521" s="367">
        <f t="shared" si="170"/>
        <v>0</v>
      </c>
      <c r="M521" s="367">
        <f t="shared" si="170"/>
        <v>0</v>
      </c>
      <c r="N521" s="367">
        <f t="shared" si="170"/>
        <v>0</v>
      </c>
      <c r="O521" s="367">
        <f t="shared" si="170"/>
        <v>0</v>
      </c>
      <c r="P521" s="367">
        <f t="shared" si="170"/>
        <v>0</v>
      </c>
      <c r="Q521" s="367">
        <f t="shared" si="170"/>
        <v>0</v>
      </c>
      <c r="R521" s="367">
        <f t="shared" si="170"/>
        <v>0</v>
      </c>
      <c r="S521" s="367">
        <f t="shared" si="170"/>
        <v>0</v>
      </c>
      <c r="T521" s="367">
        <f t="shared" si="170"/>
        <v>0</v>
      </c>
      <c r="U521" s="367">
        <f t="shared" si="170"/>
        <v>0</v>
      </c>
      <c r="V521" s="367">
        <f t="shared" si="170"/>
        <v>0</v>
      </c>
      <c r="W521" s="367">
        <f t="shared" si="170"/>
        <v>0</v>
      </c>
      <c r="X521" s="367">
        <f t="shared" si="170"/>
        <v>0</v>
      </c>
      <c r="Y521" s="367">
        <f t="shared" si="170"/>
        <v>0</v>
      </c>
      <c r="Z521" s="367">
        <f t="shared" si="170"/>
        <v>0</v>
      </c>
    </row>
    <row r="522" spans="1:26" s="365" customFormat="1" ht="12.75" x14ac:dyDescent="0.2">
      <c r="A522" s="348">
        <f>IF(ADSI!$G$12="",ADSI!$H$16,ADSI!$H$12)</f>
        <v>6</v>
      </c>
      <c r="B522" s="348" t="str">
        <f ca="1">IF(ADSI!$G$12="",ADSI!$H$16,ADSI!$H$14)</f>
        <v/>
      </c>
      <c r="C522" s="403">
        <f t="shared" si="149"/>
        <v>996</v>
      </c>
      <c r="D522" s="348">
        <f>ADSI!$K$12</f>
        <v>2021</v>
      </c>
      <c r="E522" s="367">
        <f t="shared" ref="E522:Z522" si="171">D30</f>
        <v>0</v>
      </c>
      <c r="F522" s="367">
        <f t="shared" si="171"/>
        <v>0</v>
      </c>
      <c r="G522" s="367">
        <f t="shared" si="171"/>
        <v>0</v>
      </c>
      <c r="H522" s="367">
        <f t="shared" si="171"/>
        <v>0</v>
      </c>
      <c r="I522" s="367">
        <f t="shared" si="171"/>
        <v>0</v>
      </c>
      <c r="J522" s="367">
        <f t="shared" si="171"/>
        <v>0</v>
      </c>
      <c r="K522" s="367">
        <f t="shared" si="171"/>
        <v>0</v>
      </c>
      <c r="L522" s="367">
        <f t="shared" si="171"/>
        <v>0</v>
      </c>
      <c r="M522" s="367">
        <f t="shared" si="171"/>
        <v>0</v>
      </c>
      <c r="N522" s="367">
        <f t="shared" si="171"/>
        <v>0</v>
      </c>
      <c r="O522" s="367">
        <f t="shared" si="171"/>
        <v>0</v>
      </c>
      <c r="P522" s="367">
        <f t="shared" si="171"/>
        <v>0</v>
      </c>
      <c r="Q522" s="367">
        <f t="shared" si="171"/>
        <v>0</v>
      </c>
      <c r="R522" s="367">
        <f t="shared" si="171"/>
        <v>0</v>
      </c>
      <c r="S522" s="367">
        <f t="shared" si="171"/>
        <v>0</v>
      </c>
      <c r="T522" s="367">
        <f t="shared" si="171"/>
        <v>0</v>
      </c>
      <c r="U522" s="367">
        <f t="shared" si="171"/>
        <v>0</v>
      </c>
      <c r="V522" s="367">
        <f t="shared" si="171"/>
        <v>0</v>
      </c>
      <c r="W522" s="367">
        <f t="shared" si="171"/>
        <v>0</v>
      </c>
      <c r="X522" s="367">
        <f t="shared" si="171"/>
        <v>0</v>
      </c>
      <c r="Y522" s="367">
        <f t="shared" si="171"/>
        <v>0</v>
      </c>
      <c r="Z522" s="367">
        <f t="shared" si="171"/>
        <v>0</v>
      </c>
    </row>
    <row r="523" spans="1:26" s="365" customFormat="1" ht="12.75" x14ac:dyDescent="0.2">
      <c r="A523" s="348">
        <f>IF(ADSI!$G$12="",ADSI!$H$16,ADSI!$H$12)</f>
        <v>6</v>
      </c>
      <c r="B523" s="348" t="str">
        <f ca="1">IF(ADSI!$G$12="",ADSI!$H$16,ADSI!$H$14)</f>
        <v/>
      </c>
      <c r="C523" s="403">
        <f t="shared" si="149"/>
        <v>997</v>
      </c>
      <c r="D523" s="348">
        <f>ADSI!$K$12</f>
        <v>2021</v>
      </c>
      <c r="E523" s="367">
        <f t="shared" ref="E523:Z523" si="172">D31</f>
        <v>0</v>
      </c>
      <c r="F523" s="367">
        <f t="shared" si="172"/>
        <v>0</v>
      </c>
      <c r="G523" s="367">
        <f t="shared" si="172"/>
        <v>0</v>
      </c>
      <c r="H523" s="367">
        <f t="shared" si="172"/>
        <v>0</v>
      </c>
      <c r="I523" s="367">
        <f t="shared" si="172"/>
        <v>0</v>
      </c>
      <c r="J523" s="367">
        <f t="shared" si="172"/>
        <v>0</v>
      </c>
      <c r="K523" s="367">
        <f t="shared" si="172"/>
        <v>0</v>
      </c>
      <c r="L523" s="367">
        <f t="shared" si="172"/>
        <v>0</v>
      </c>
      <c r="M523" s="367">
        <f t="shared" si="172"/>
        <v>0</v>
      </c>
      <c r="N523" s="367">
        <f t="shared" si="172"/>
        <v>0</v>
      </c>
      <c r="O523" s="367">
        <f t="shared" si="172"/>
        <v>0</v>
      </c>
      <c r="P523" s="367">
        <f t="shared" si="172"/>
        <v>0</v>
      </c>
      <c r="Q523" s="367">
        <f t="shared" si="172"/>
        <v>0</v>
      </c>
      <c r="R523" s="367">
        <f t="shared" si="172"/>
        <v>0</v>
      </c>
      <c r="S523" s="367">
        <f t="shared" si="172"/>
        <v>0</v>
      </c>
      <c r="T523" s="367">
        <f t="shared" si="172"/>
        <v>0</v>
      </c>
      <c r="U523" s="367">
        <f t="shared" si="172"/>
        <v>0</v>
      </c>
      <c r="V523" s="367">
        <f t="shared" si="172"/>
        <v>0</v>
      </c>
      <c r="W523" s="367">
        <f t="shared" si="172"/>
        <v>0</v>
      </c>
      <c r="X523" s="367">
        <f t="shared" si="172"/>
        <v>0</v>
      </c>
      <c r="Y523" s="367">
        <f t="shared" si="172"/>
        <v>0</v>
      </c>
      <c r="Z523" s="367">
        <f t="shared" si="172"/>
        <v>0</v>
      </c>
    </row>
    <row r="524" spans="1:26" s="365" customFormat="1" ht="12.75" x14ac:dyDescent="0.2">
      <c r="A524" s="348">
        <f>IF(ADSI!$G$12="",ADSI!$H$16,ADSI!$H$12)</f>
        <v>6</v>
      </c>
      <c r="B524" s="348" t="str">
        <f ca="1">IF(ADSI!$G$12="",ADSI!$H$16,ADSI!$H$14)</f>
        <v/>
      </c>
      <c r="C524" s="403">
        <f t="shared" si="149"/>
        <v>998</v>
      </c>
      <c r="D524" s="348">
        <f>ADSI!$K$12</f>
        <v>2021</v>
      </c>
      <c r="E524" s="367">
        <f t="shared" ref="E524:Z524" si="173">D32</f>
        <v>0</v>
      </c>
      <c r="F524" s="367">
        <f t="shared" si="173"/>
        <v>0</v>
      </c>
      <c r="G524" s="367">
        <f t="shared" si="173"/>
        <v>0</v>
      </c>
      <c r="H524" s="367">
        <f t="shared" si="173"/>
        <v>0</v>
      </c>
      <c r="I524" s="367">
        <f t="shared" si="173"/>
        <v>0</v>
      </c>
      <c r="J524" s="367">
        <f t="shared" si="173"/>
        <v>0</v>
      </c>
      <c r="K524" s="367">
        <f t="shared" si="173"/>
        <v>0</v>
      </c>
      <c r="L524" s="367">
        <f t="shared" si="173"/>
        <v>0</v>
      </c>
      <c r="M524" s="367">
        <f t="shared" si="173"/>
        <v>0</v>
      </c>
      <c r="N524" s="367">
        <f t="shared" si="173"/>
        <v>0</v>
      </c>
      <c r="O524" s="367">
        <f t="shared" si="173"/>
        <v>0</v>
      </c>
      <c r="P524" s="367">
        <f t="shared" si="173"/>
        <v>0</v>
      </c>
      <c r="Q524" s="367">
        <f t="shared" si="173"/>
        <v>0</v>
      </c>
      <c r="R524" s="367">
        <f t="shared" si="173"/>
        <v>0</v>
      </c>
      <c r="S524" s="367">
        <f t="shared" si="173"/>
        <v>0</v>
      </c>
      <c r="T524" s="367">
        <f t="shared" si="173"/>
        <v>0</v>
      </c>
      <c r="U524" s="367">
        <f t="shared" si="173"/>
        <v>0</v>
      </c>
      <c r="V524" s="367">
        <f t="shared" si="173"/>
        <v>0</v>
      </c>
      <c r="W524" s="367">
        <f t="shared" si="173"/>
        <v>0</v>
      </c>
      <c r="X524" s="367">
        <f t="shared" si="173"/>
        <v>0</v>
      </c>
      <c r="Y524" s="367">
        <f t="shared" si="173"/>
        <v>0</v>
      </c>
      <c r="Z524" s="367">
        <f t="shared" si="173"/>
        <v>0</v>
      </c>
    </row>
    <row r="525" spans="1:26" s="365" customFormat="1" ht="12.75" x14ac:dyDescent="0.2">
      <c r="A525" s="348">
        <f>IF(ADSI!$G$12="",ADSI!$H$16,ADSI!$H$12)</f>
        <v>6</v>
      </c>
      <c r="B525" s="348" t="str">
        <f ca="1">IF(ADSI!$G$12="",ADSI!$H$16,ADSI!$H$14)</f>
        <v/>
      </c>
      <c r="C525" s="403">
        <f t="shared" si="149"/>
        <v>999</v>
      </c>
      <c r="D525" s="348">
        <f>ADSI!$K$12</f>
        <v>2021</v>
      </c>
      <c r="E525" s="367">
        <f t="shared" ref="E525:Z525" si="174">D33</f>
        <v>0</v>
      </c>
      <c r="F525" s="367">
        <f t="shared" si="174"/>
        <v>0</v>
      </c>
      <c r="G525" s="367">
        <f t="shared" si="174"/>
        <v>0</v>
      </c>
      <c r="H525" s="367">
        <f t="shared" si="174"/>
        <v>0</v>
      </c>
      <c r="I525" s="367">
        <f t="shared" si="174"/>
        <v>0</v>
      </c>
      <c r="J525" s="367">
        <f t="shared" si="174"/>
        <v>0</v>
      </c>
      <c r="K525" s="367">
        <f t="shared" si="174"/>
        <v>0</v>
      </c>
      <c r="L525" s="367">
        <f t="shared" si="174"/>
        <v>0</v>
      </c>
      <c r="M525" s="367">
        <f t="shared" si="174"/>
        <v>0</v>
      </c>
      <c r="N525" s="367">
        <f t="shared" si="174"/>
        <v>0</v>
      </c>
      <c r="O525" s="367">
        <f t="shared" si="174"/>
        <v>0</v>
      </c>
      <c r="P525" s="367">
        <f t="shared" si="174"/>
        <v>0</v>
      </c>
      <c r="Q525" s="367">
        <f t="shared" si="174"/>
        <v>0</v>
      </c>
      <c r="R525" s="367">
        <f t="shared" si="174"/>
        <v>0</v>
      </c>
      <c r="S525" s="367">
        <f t="shared" si="174"/>
        <v>0</v>
      </c>
      <c r="T525" s="367">
        <f t="shared" si="174"/>
        <v>0</v>
      </c>
      <c r="U525" s="367">
        <f t="shared" si="174"/>
        <v>0</v>
      </c>
      <c r="V525" s="367">
        <f t="shared" si="174"/>
        <v>0</v>
      </c>
      <c r="W525" s="367">
        <f t="shared" si="174"/>
        <v>0</v>
      </c>
      <c r="X525" s="367">
        <f t="shared" si="174"/>
        <v>0</v>
      </c>
      <c r="Y525" s="367">
        <f t="shared" si="174"/>
        <v>0</v>
      </c>
      <c r="Z525" s="367">
        <f t="shared" si="174"/>
        <v>0</v>
      </c>
    </row>
    <row r="526" spans="1:26" s="365" customFormat="1" ht="12.75" x14ac:dyDescent="0.2">
      <c r="A526" s="348">
        <f>IF(ADSI!$G$12="",ADSI!$H$16,ADSI!$H$12)</f>
        <v>6</v>
      </c>
      <c r="B526" s="348" t="str">
        <f ca="1">IF(ADSI!$G$12="",ADSI!$H$16,ADSI!$H$14)</f>
        <v/>
      </c>
      <c r="C526" s="403">
        <f t="shared" ref="C526:C529" si="175">A34</f>
        <v>1000</v>
      </c>
      <c r="D526" s="348">
        <f>ADSI!$K$12</f>
        <v>2021</v>
      </c>
      <c r="E526" s="367">
        <f t="shared" ref="E526:E529" si="176">D34</f>
        <v>0</v>
      </c>
      <c r="F526" s="367">
        <f t="shared" ref="F526:F529" si="177">E34</f>
        <v>0</v>
      </c>
      <c r="G526" s="367">
        <f t="shared" ref="G526:G529" si="178">F34</f>
        <v>0</v>
      </c>
      <c r="H526" s="367">
        <f t="shared" ref="H526:H529" si="179">G34</f>
        <v>0</v>
      </c>
      <c r="I526" s="367">
        <f t="shared" ref="I526:I529" si="180">H34</f>
        <v>0</v>
      </c>
      <c r="J526" s="367">
        <f t="shared" ref="J526:J529" si="181">I34</f>
        <v>0</v>
      </c>
      <c r="K526" s="367">
        <f t="shared" ref="K526:K529" si="182">J34</f>
        <v>0</v>
      </c>
      <c r="L526" s="367">
        <f t="shared" ref="L526:L529" si="183">K34</f>
        <v>0</v>
      </c>
      <c r="M526" s="367">
        <f t="shared" ref="M526:M529" si="184">L34</f>
        <v>0</v>
      </c>
      <c r="N526" s="367">
        <f t="shared" ref="N526:N529" si="185">M34</f>
        <v>0</v>
      </c>
      <c r="O526" s="367">
        <f t="shared" ref="O526:O529" si="186">N34</f>
        <v>0</v>
      </c>
      <c r="P526" s="367">
        <f t="shared" ref="P526:P529" si="187">O34</f>
        <v>0</v>
      </c>
      <c r="Q526" s="367">
        <f t="shared" ref="Q526:Q529" si="188">P34</f>
        <v>0</v>
      </c>
      <c r="R526" s="367">
        <f t="shared" ref="R526:R529" si="189">Q34</f>
        <v>0</v>
      </c>
      <c r="S526" s="367">
        <f t="shared" ref="S526:S529" si="190">R34</f>
        <v>0</v>
      </c>
      <c r="T526" s="367">
        <f t="shared" ref="T526:T529" si="191">S34</f>
        <v>0</v>
      </c>
      <c r="U526" s="367">
        <f t="shared" ref="U526:U529" si="192">T34</f>
        <v>0</v>
      </c>
      <c r="V526" s="367">
        <f t="shared" ref="V526:V529" si="193">U34</f>
        <v>0</v>
      </c>
      <c r="W526" s="367">
        <f t="shared" ref="W526:W529" si="194">V34</f>
        <v>0</v>
      </c>
      <c r="X526" s="367">
        <f t="shared" ref="X526:X529" si="195">W34</f>
        <v>0</v>
      </c>
      <c r="Y526" s="367">
        <f t="shared" ref="Y526:Y529" si="196">X34</f>
        <v>0</v>
      </c>
      <c r="Z526" s="367">
        <f t="shared" ref="Z526:Z529" si="197">Y34</f>
        <v>0</v>
      </c>
    </row>
    <row r="527" spans="1:26" s="365" customFormat="1" ht="12.75" x14ac:dyDescent="0.2">
      <c r="A527" s="348">
        <f>IF(ADSI!$G$12="",ADSI!$H$16,ADSI!$H$12)</f>
        <v>6</v>
      </c>
      <c r="B527" s="348" t="str">
        <f ca="1">IF(ADSI!$G$12="",ADSI!$H$16,ADSI!$H$14)</f>
        <v/>
      </c>
      <c r="C527" s="403">
        <f t="shared" si="175"/>
        <v>1001</v>
      </c>
      <c r="D527" s="348">
        <f>ADSI!$K$12</f>
        <v>2021</v>
      </c>
      <c r="E527" s="367">
        <f t="shared" si="176"/>
        <v>0</v>
      </c>
      <c r="F527" s="367">
        <f t="shared" si="177"/>
        <v>0</v>
      </c>
      <c r="G527" s="367">
        <f t="shared" si="178"/>
        <v>0</v>
      </c>
      <c r="H527" s="367">
        <f t="shared" si="179"/>
        <v>0</v>
      </c>
      <c r="I527" s="367">
        <f t="shared" si="180"/>
        <v>0</v>
      </c>
      <c r="J527" s="367">
        <f t="shared" si="181"/>
        <v>0</v>
      </c>
      <c r="K527" s="367">
        <f t="shared" si="182"/>
        <v>0</v>
      </c>
      <c r="L527" s="367">
        <f t="shared" si="183"/>
        <v>0</v>
      </c>
      <c r="M527" s="367">
        <f t="shared" si="184"/>
        <v>0</v>
      </c>
      <c r="N527" s="367">
        <f t="shared" si="185"/>
        <v>0</v>
      </c>
      <c r="O527" s="367">
        <f t="shared" si="186"/>
        <v>0</v>
      </c>
      <c r="P527" s="367">
        <f t="shared" si="187"/>
        <v>0</v>
      </c>
      <c r="Q527" s="367">
        <f t="shared" si="188"/>
        <v>0</v>
      </c>
      <c r="R527" s="367">
        <f t="shared" si="189"/>
        <v>0</v>
      </c>
      <c r="S527" s="367">
        <f t="shared" si="190"/>
        <v>0</v>
      </c>
      <c r="T527" s="367">
        <f t="shared" si="191"/>
        <v>0</v>
      </c>
      <c r="U527" s="367">
        <f t="shared" si="192"/>
        <v>0</v>
      </c>
      <c r="V527" s="367">
        <f t="shared" si="193"/>
        <v>0</v>
      </c>
      <c r="W527" s="367">
        <f t="shared" si="194"/>
        <v>0</v>
      </c>
      <c r="X527" s="367">
        <f t="shared" si="195"/>
        <v>0</v>
      </c>
      <c r="Y527" s="367">
        <f t="shared" si="196"/>
        <v>0</v>
      </c>
      <c r="Z527" s="367">
        <f t="shared" si="197"/>
        <v>0</v>
      </c>
    </row>
    <row r="528" spans="1:26" s="365" customFormat="1" ht="12.75" x14ac:dyDescent="0.2">
      <c r="A528" s="348">
        <f>IF(ADSI!$G$12="",ADSI!$H$16,ADSI!$H$12)</f>
        <v>6</v>
      </c>
      <c r="B528" s="348" t="str">
        <f ca="1">IF(ADSI!$G$12="",ADSI!$H$16,ADSI!$H$14)</f>
        <v/>
      </c>
      <c r="C528" s="403">
        <f t="shared" si="175"/>
        <v>1002</v>
      </c>
      <c r="D528" s="348">
        <f>ADSI!$K$12</f>
        <v>2021</v>
      </c>
      <c r="E528" s="367">
        <f t="shared" si="176"/>
        <v>0</v>
      </c>
      <c r="F528" s="367">
        <f t="shared" si="177"/>
        <v>0</v>
      </c>
      <c r="G528" s="367">
        <f t="shared" si="178"/>
        <v>0</v>
      </c>
      <c r="H528" s="367">
        <f t="shared" si="179"/>
        <v>0</v>
      </c>
      <c r="I528" s="367">
        <f t="shared" si="180"/>
        <v>0</v>
      </c>
      <c r="J528" s="367">
        <f t="shared" si="181"/>
        <v>0</v>
      </c>
      <c r="K528" s="367">
        <f t="shared" si="182"/>
        <v>0</v>
      </c>
      <c r="L528" s="367">
        <f t="shared" si="183"/>
        <v>0</v>
      </c>
      <c r="M528" s="367">
        <f t="shared" si="184"/>
        <v>0</v>
      </c>
      <c r="N528" s="367">
        <f t="shared" si="185"/>
        <v>0</v>
      </c>
      <c r="O528" s="367">
        <f t="shared" si="186"/>
        <v>0</v>
      </c>
      <c r="P528" s="367">
        <f t="shared" si="187"/>
        <v>0</v>
      </c>
      <c r="Q528" s="367">
        <f t="shared" si="188"/>
        <v>0</v>
      </c>
      <c r="R528" s="367">
        <f t="shared" si="189"/>
        <v>0</v>
      </c>
      <c r="S528" s="367">
        <f t="shared" si="190"/>
        <v>0</v>
      </c>
      <c r="T528" s="367">
        <f t="shared" si="191"/>
        <v>0</v>
      </c>
      <c r="U528" s="367">
        <f t="shared" si="192"/>
        <v>0</v>
      </c>
      <c r="V528" s="367">
        <f t="shared" si="193"/>
        <v>0</v>
      </c>
      <c r="W528" s="367">
        <f t="shared" si="194"/>
        <v>0</v>
      </c>
      <c r="X528" s="367">
        <f t="shared" si="195"/>
        <v>0</v>
      </c>
      <c r="Y528" s="367">
        <f t="shared" si="196"/>
        <v>0</v>
      </c>
      <c r="Z528" s="367">
        <f t="shared" si="197"/>
        <v>0</v>
      </c>
    </row>
    <row r="529" spans="1:26" s="365" customFormat="1" ht="12.75" x14ac:dyDescent="0.2">
      <c r="A529" s="348">
        <f>IF(ADSI!$G$12="",ADSI!$H$16,ADSI!$H$12)</f>
        <v>6</v>
      </c>
      <c r="B529" s="348" t="str">
        <f ca="1">IF(ADSI!$G$12="",ADSI!$H$16,ADSI!$H$14)</f>
        <v/>
      </c>
      <c r="C529" s="403">
        <f t="shared" si="175"/>
        <v>1020</v>
      </c>
      <c r="D529" s="348">
        <f>ADSI!$K$12</f>
        <v>2021</v>
      </c>
      <c r="E529" s="367">
        <f t="shared" si="176"/>
        <v>0</v>
      </c>
      <c r="F529" s="367">
        <f t="shared" si="177"/>
        <v>0</v>
      </c>
      <c r="G529" s="367">
        <f t="shared" si="178"/>
        <v>0</v>
      </c>
      <c r="H529" s="367">
        <f t="shared" si="179"/>
        <v>0</v>
      </c>
      <c r="I529" s="367">
        <f t="shared" si="180"/>
        <v>0</v>
      </c>
      <c r="J529" s="367">
        <f t="shared" si="181"/>
        <v>0</v>
      </c>
      <c r="K529" s="367">
        <f t="shared" si="182"/>
        <v>0</v>
      </c>
      <c r="L529" s="367">
        <f t="shared" si="183"/>
        <v>0</v>
      </c>
      <c r="M529" s="367">
        <f t="shared" si="184"/>
        <v>0</v>
      </c>
      <c r="N529" s="367">
        <f t="shared" si="185"/>
        <v>0</v>
      </c>
      <c r="O529" s="367">
        <f t="shared" si="186"/>
        <v>0</v>
      </c>
      <c r="P529" s="367">
        <f t="shared" si="187"/>
        <v>0</v>
      </c>
      <c r="Q529" s="367">
        <f t="shared" si="188"/>
        <v>0</v>
      </c>
      <c r="R529" s="367">
        <f t="shared" si="189"/>
        <v>0</v>
      </c>
      <c r="S529" s="367">
        <f t="shared" si="190"/>
        <v>0</v>
      </c>
      <c r="T529" s="367">
        <f t="shared" si="191"/>
        <v>0</v>
      </c>
      <c r="U529" s="367">
        <f t="shared" si="192"/>
        <v>0</v>
      </c>
      <c r="V529" s="367">
        <f t="shared" si="193"/>
        <v>0</v>
      </c>
      <c r="W529" s="367">
        <f t="shared" si="194"/>
        <v>0</v>
      </c>
      <c r="X529" s="367">
        <f t="shared" si="195"/>
        <v>0</v>
      </c>
      <c r="Y529" s="367">
        <f t="shared" si="196"/>
        <v>0</v>
      </c>
      <c r="Z529" s="367">
        <f t="shared" si="197"/>
        <v>0</v>
      </c>
    </row>
    <row r="530" spans="1:26" s="365" customFormat="1" ht="12.75" x14ac:dyDescent="0.2">
      <c r="A530" s="348"/>
      <c r="B530" s="348"/>
      <c r="C530" s="403"/>
      <c r="D530" s="348"/>
      <c r="E530" s="367"/>
      <c r="F530" s="367"/>
      <c r="G530" s="367"/>
      <c r="H530" s="367"/>
      <c r="I530" s="367"/>
      <c r="J530" s="367"/>
      <c r="K530" s="367"/>
      <c r="L530" s="367"/>
      <c r="M530" s="367"/>
      <c r="N530" s="367"/>
      <c r="O530" s="367"/>
      <c r="P530" s="367"/>
      <c r="Q530" s="367"/>
      <c r="R530" s="367"/>
      <c r="S530" s="367"/>
      <c r="T530" s="367"/>
      <c r="U530" s="367"/>
      <c r="V530" s="367"/>
      <c r="W530" s="367"/>
      <c r="X530" s="367"/>
      <c r="Y530" s="367"/>
      <c r="Z530" s="367"/>
    </row>
  </sheetData>
  <sheetProtection password="C614" sheet="1" objects="1" scenarios="1" selectLockedCells="1"/>
  <dataConsolidate/>
  <mergeCells count="28">
    <mergeCell ref="BA241:BB241"/>
    <mergeCell ref="BA242:BB242"/>
    <mergeCell ref="BA239:BB239"/>
    <mergeCell ref="BA237:BB237"/>
    <mergeCell ref="BA238:BB238"/>
    <mergeCell ref="BA240:BB240"/>
    <mergeCell ref="BA204:BA206"/>
    <mergeCell ref="BB204:BB206"/>
    <mergeCell ref="BC204:BP204"/>
    <mergeCell ref="BQ204:BW204"/>
    <mergeCell ref="BX204:BX206"/>
    <mergeCell ref="BQ205:BW205"/>
    <mergeCell ref="BJ205:BP205"/>
    <mergeCell ref="BC205:BI205"/>
    <mergeCell ref="A42:C42"/>
    <mergeCell ref="A43:C43"/>
    <mergeCell ref="A39:C39"/>
    <mergeCell ref="A41:C41"/>
    <mergeCell ref="Y5:Y7"/>
    <mergeCell ref="D6:J6"/>
    <mergeCell ref="K6:Q6"/>
    <mergeCell ref="B5:B7"/>
    <mergeCell ref="C5:C7"/>
    <mergeCell ref="R6:X6"/>
    <mergeCell ref="D5:X5"/>
    <mergeCell ref="A38:C38"/>
    <mergeCell ref="A40:C40"/>
    <mergeCell ref="A5:A7"/>
  </mergeCells>
  <conditionalFormatting sqref="D39:Y39">
    <cfRule type="cellIs" dxfId="24" priority="6" operator="equal">
      <formula>FALSE</formula>
    </cfRule>
  </conditionalFormatting>
  <conditionalFormatting sqref="D41:Y41">
    <cfRule type="cellIs" dxfId="23" priority="5" operator="equal">
      <formula>FALSE</formula>
    </cfRule>
  </conditionalFormatting>
  <conditionalFormatting sqref="D42:Y42">
    <cfRule type="cellIs" dxfId="22" priority="3" operator="equal">
      <formula>"ABVAR"</formula>
    </cfRule>
    <cfRule type="cellIs" dxfId="21" priority="4" operator="equal">
      <formula>FALSE</formula>
    </cfRule>
  </conditionalFormatting>
  <conditionalFormatting sqref="D43:Y43">
    <cfRule type="cellIs" dxfId="20" priority="1" operator="equal">
      <formula>"ABVAR"</formula>
    </cfRule>
    <cfRule type="cellIs" dxfId="19" priority="2" operator="equal">
      <formula>FALSE</formula>
    </cfRule>
  </conditionalFormatting>
  <dataValidations count="1">
    <dataValidation type="whole" allowBlank="1" showInputMessage="1" showErrorMessage="1" sqref="D9:I10 D12:I17 D20:I22 D24:I30 K9:P10 K12:P17 K20:P22 K24:P30 R9:W10 R12:W17 R20:W22 R24:W30 R32:W36 K32:P36 D32:I36">
      <formula1>0</formula1>
      <formula2>999999999</formula2>
    </dataValidation>
  </dataValidations>
  <pageMargins left="0.74803149606299213" right="0.51181102362204722" top="0.70866141732283472" bottom="0.70866141732283472" header="0.31496062992125984" footer="0.19685039370078741"/>
  <pageSetup paperSize="5" orientation="landscape" r:id="rId1"/>
  <headerFooter>
    <oddFooter>&amp;L&amp;9ADSI - &amp;A&amp;C&amp;9&amp;D &amp;T&amp;R&amp;9Page &amp;P of &amp;N</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A542"/>
  <sheetViews>
    <sheetView showGridLines="0" workbookViewId="0">
      <pane xSplit="3" ySplit="8" topLeftCell="D9" activePane="bottomRight" state="frozen"/>
      <selection pane="topRight" activeCell="D1" sqref="D1"/>
      <selection pane="bottomLeft" activeCell="A9" sqref="A9"/>
      <selection pane="bottomRight" activeCell="D9" sqref="D9"/>
    </sheetView>
  </sheetViews>
  <sheetFormatPr defaultRowHeight="15" x14ac:dyDescent="0.25"/>
  <cols>
    <col min="1" max="2" width="6.7109375" style="87" customWidth="1"/>
    <col min="3" max="3" width="31.7109375" style="87" customWidth="1"/>
    <col min="4" max="9" width="12.7109375" style="87" customWidth="1"/>
    <col min="10" max="10" width="15.7109375" style="87" customWidth="1"/>
    <col min="11" max="16" width="12.7109375" style="87" customWidth="1"/>
    <col min="17" max="17" width="15.7109375" style="87" customWidth="1"/>
    <col min="18" max="23" width="12.7109375" style="87" customWidth="1"/>
    <col min="24" max="25" width="15.7109375" style="87" customWidth="1"/>
    <col min="26" max="26" width="8.7109375" style="87" customWidth="1"/>
    <col min="27" max="52" width="9.140625" style="87"/>
    <col min="53" max="53" width="5" style="87" customWidth="1"/>
    <col min="54" max="54" width="27" style="87" customWidth="1"/>
    <col min="55" max="16384" width="9.140625" style="87"/>
  </cols>
  <sheetData>
    <row r="1" spans="1:26" ht="15.75" x14ac:dyDescent="0.25">
      <c r="A1" s="289" t="str">
        <f>ADSI!$B$1</f>
        <v>Goa, , ADSI-2021</v>
      </c>
    </row>
    <row r="2" spans="1:26" ht="15.75" x14ac:dyDescent="0.25">
      <c r="A2" s="286" t="s">
        <v>657</v>
      </c>
      <c r="C2" s="291">
        <f>COUNTIF(D24:Y24,FALSE)+COUNTIF(D26:Y26,FALSE)</f>
        <v>0</v>
      </c>
      <c r="E2" s="465" t="s">
        <v>1570</v>
      </c>
      <c r="F2" s="464">
        <f>COUNTIF(D27:Y28,"ABVAR")</f>
        <v>0</v>
      </c>
      <c r="I2" s="498"/>
      <c r="J2" s="498"/>
    </row>
    <row r="3" spans="1:26" ht="15.75" x14ac:dyDescent="0.25">
      <c r="A3" s="296" t="s">
        <v>1562</v>
      </c>
      <c r="C3" s="499"/>
      <c r="D3" s="499"/>
      <c r="E3" s="499"/>
      <c r="F3" s="499"/>
      <c r="G3" s="499"/>
      <c r="H3" s="499"/>
      <c r="I3" s="500"/>
      <c r="J3" s="500"/>
      <c r="K3" s="499"/>
      <c r="L3" s="499"/>
      <c r="M3" s="499"/>
      <c r="N3" s="35"/>
      <c r="P3" s="499"/>
      <c r="Q3" s="499"/>
      <c r="R3" s="499"/>
      <c r="S3" s="499"/>
      <c r="T3" s="499"/>
      <c r="U3" s="499"/>
      <c r="V3" s="499"/>
      <c r="W3" s="499"/>
      <c r="X3" s="499"/>
      <c r="Y3" s="499"/>
    </row>
    <row r="4" spans="1:26" x14ac:dyDescent="0.25">
      <c r="A4" s="296" t="s">
        <v>1661</v>
      </c>
      <c r="C4" s="499"/>
      <c r="D4" s="499"/>
      <c r="E4" s="499"/>
      <c r="F4" s="499"/>
      <c r="G4" s="499"/>
      <c r="H4" s="499"/>
      <c r="I4" s="499"/>
      <c r="J4" s="499"/>
      <c r="K4" s="499"/>
      <c r="L4" s="499"/>
      <c r="M4" s="499"/>
      <c r="P4" s="499"/>
      <c r="Q4" s="499"/>
      <c r="R4" s="499"/>
      <c r="S4" s="499"/>
      <c r="T4" s="499"/>
      <c r="U4" s="499"/>
      <c r="V4" s="499"/>
      <c r="W4" s="499"/>
      <c r="X4" s="499"/>
      <c r="Y4" s="499"/>
    </row>
    <row r="5" spans="1:26" x14ac:dyDescent="0.25">
      <c r="A5" s="842" t="s">
        <v>249</v>
      </c>
      <c r="B5" s="842" t="s">
        <v>0</v>
      </c>
      <c r="C5" s="845" t="s">
        <v>34</v>
      </c>
      <c r="D5" s="587" t="s">
        <v>139</v>
      </c>
      <c r="E5" s="588"/>
      <c r="F5" s="588"/>
      <c r="G5" s="588"/>
      <c r="H5" s="588"/>
      <c r="I5" s="588"/>
      <c r="J5" s="588"/>
      <c r="K5" s="588"/>
      <c r="L5" s="588"/>
      <c r="M5" s="588"/>
      <c r="N5" s="588"/>
      <c r="O5" s="588"/>
      <c r="P5" s="588"/>
      <c r="Q5" s="588"/>
      <c r="R5" s="588"/>
      <c r="S5" s="588"/>
      <c r="T5" s="588"/>
      <c r="U5" s="588"/>
      <c r="V5" s="588"/>
      <c r="W5" s="588"/>
      <c r="X5" s="589"/>
      <c r="Y5" s="633" t="s">
        <v>284</v>
      </c>
    </row>
    <row r="6" spans="1:26" x14ac:dyDescent="0.25">
      <c r="A6" s="843"/>
      <c r="B6" s="843"/>
      <c r="C6" s="846"/>
      <c r="D6" s="632" t="s">
        <v>38</v>
      </c>
      <c r="E6" s="632"/>
      <c r="F6" s="632"/>
      <c r="G6" s="632"/>
      <c r="H6" s="632"/>
      <c r="I6" s="632"/>
      <c r="J6" s="632"/>
      <c r="K6" s="633" t="s">
        <v>39</v>
      </c>
      <c r="L6" s="633"/>
      <c r="M6" s="633"/>
      <c r="N6" s="633"/>
      <c r="O6" s="633"/>
      <c r="P6" s="633"/>
      <c r="Q6" s="633"/>
      <c r="R6" s="587" t="s">
        <v>240</v>
      </c>
      <c r="S6" s="588"/>
      <c r="T6" s="588"/>
      <c r="U6" s="588"/>
      <c r="V6" s="588"/>
      <c r="W6" s="588"/>
      <c r="X6" s="589"/>
      <c r="Y6" s="633"/>
    </row>
    <row r="7" spans="1:26" ht="45" x14ac:dyDescent="0.25">
      <c r="A7" s="844"/>
      <c r="B7" s="844"/>
      <c r="C7" s="847"/>
      <c r="D7" s="495" t="s">
        <v>169</v>
      </c>
      <c r="E7" s="495" t="s">
        <v>31</v>
      </c>
      <c r="F7" s="495" t="s">
        <v>171</v>
      </c>
      <c r="G7" s="495" t="s">
        <v>15</v>
      </c>
      <c r="H7" s="495" t="s">
        <v>178</v>
      </c>
      <c r="I7" s="495" t="s">
        <v>16</v>
      </c>
      <c r="J7" s="495" t="s">
        <v>198</v>
      </c>
      <c r="K7" s="496" t="s">
        <v>169</v>
      </c>
      <c r="L7" s="496" t="s">
        <v>31</v>
      </c>
      <c r="M7" s="496" t="s">
        <v>171</v>
      </c>
      <c r="N7" s="496" t="s">
        <v>15</v>
      </c>
      <c r="O7" s="496" t="s">
        <v>178</v>
      </c>
      <c r="P7" s="496" t="s">
        <v>16</v>
      </c>
      <c r="Q7" s="496" t="s">
        <v>202</v>
      </c>
      <c r="R7" s="495" t="s">
        <v>169</v>
      </c>
      <c r="S7" s="495" t="s">
        <v>31</v>
      </c>
      <c r="T7" s="495" t="s">
        <v>171</v>
      </c>
      <c r="U7" s="495" t="s">
        <v>15</v>
      </c>
      <c r="V7" s="495" t="s">
        <v>178</v>
      </c>
      <c r="W7" s="495" t="s">
        <v>16</v>
      </c>
      <c r="X7" s="495" t="s">
        <v>241</v>
      </c>
      <c r="Y7" s="633"/>
    </row>
    <row r="8" spans="1:26" x14ac:dyDescent="0.25">
      <c r="A8" s="29"/>
      <c r="B8" s="29" t="s">
        <v>181</v>
      </c>
      <c r="C8" s="222" t="s">
        <v>182</v>
      </c>
      <c r="D8" s="29" t="s">
        <v>183</v>
      </c>
      <c r="E8" s="27" t="s">
        <v>184</v>
      </c>
      <c r="F8" s="27" t="s">
        <v>185</v>
      </c>
      <c r="G8" s="27" t="s">
        <v>186</v>
      </c>
      <c r="H8" s="29" t="s">
        <v>187</v>
      </c>
      <c r="I8" s="29" t="s">
        <v>188</v>
      </c>
      <c r="J8" s="29" t="s">
        <v>189</v>
      </c>
      <c r="K8" s="222" t="s">
        <v>190</v>
      </c>
      <c r="L8" s="222" t="s">
        <v>191</v>
      </c>
      <c r="M8" s="222" t="s">
        <v>192</v>
      </c>
      <c r="N8" s="222" t="s">
        <v>193</v>
      </c>
      <c r="O8" s="222" t="s">
        <v>194</v>
      </c>
      <c r="P8" s="222" t="s">
        <v>195</v>
      </c>
      <c r="Q8" s="222" t="s">
        <v>196</v>
      </c>
      <c r="R8" s="29" t="s">
        <v>197</v>
      </c>
      <c r="S8" s="29" t="s">
        <v>204</v>
      </c>
      <c r="T8" s="29" t="s">
        <v>205</v>
      </c>
      <c r="U8" s="29" t="s">
        <v>206</v>
      </c>
      <c r="V8" s="29" t="s">
        <v>207</v>
      </c>
      <c r="W8" s="29" t="s">
        <v>208</v>
      </c>
      <c r="X8" s="29" t="s">
        <v>209</v>
      </c>
      <c r="Y8" s="222" t="s">
        <v>210</v>
      </c>
    </row>
    <row r="9" spans="1:26" ht="20.100000000000001" customHeight="1" x14ac:dyDescent="0.25">
      <c r="A9" s="501">
        <v>1150</v>
      </c>
      <c r="B9" s="34">
        <v>1</v>
      </c>
      <c r="C9" s="502" t="s">
        <v>121</v>
      </c>
      <c r="D9" s="234">
        <v>0</v>
      </c>
      <c r="E9" s="234">
        <v>0</v>
      </c>
      <c r="F9" s="234">
        <v>0</v>
      </c>
      <c r="G9" s="234">
        <v>0</v>
      </c>
      <c r="H9" s="234">
        <v>0</v>
      </c>
      <c r="I9" s="234">
        <v>0</v>
      </c>
      <c r="J9" s="503">
        <f>SUM(D9:I9)</f>
        <v>0</v>
      </c>
      <c r="K9" s="234">
        <v>0</v>
      </c>
      <c r="L9" s="234">
        <v>0</v>
      </c>
      <c r="M9" s="234">
        <v>0</v>
      </c>
      <c r="N9" s="234">
        <v>0</v>
      </c>
      <c r="O9" s="234">
        <v>0</v>
      </c>
      <c r="P9" s="234">
        <v>0</v>
      </c>
      <c r="Q9" s="503">
        <f>SUM(K9:P9)</f>
        <v>0</v>
      </c>
      <c r="R9" s="251">
        <v>0</v>
      </c>
      <c r="S9" s="251">
        <v>0</v>
      </c>
      <c r="T9" s="251">
        <v>0</v>
      </c>
      <c r="U9" s="251">
        <v>0</v>
      </c>
      <c r="V9" s="251">
        <v>0</v>
      </c>
      <c r="W9" s="251">
        <v>0</v>
      </c>
      <c r="X9" s="503">
        <f>SUM(R9:W9)</f>
        <v>0</v>
      </c>
      <c r="Y9" s="503">
        <f>SUM(J9+Q9+X9)</f>
        <v>0</v>
      </c>
      <c r="Z9" s="336"/>
    </row>
    <row r="10" spans="1:26" ht="20.100000000000001" customHeight="1" x14ac:dyDescent="0.25">
      <c r="A10" s="501">
        <v>1151</v>
      </c>
      <c r="B10" s="34">
        <v>2</v>
      </c>
      <c r="C10" s="504" t="s">
        <v>123</v>
      </c>
      <c r="D10" s="234">
        <v>0</v>
      </c>
      <c r="E10" s="234">
        <v>0</v>
      </c>
      <c r="F10" s="234">
        <v>0</v>
      </c>
      <c r="G10" s="234">
        <v>0</v>
      </c>
      <c r="H10" s="234">
        <v>0</v>
      </c>
      <c r="I10" s="234">
        <v>0</v>
      </c>
      <c r="J10" s="503">
        <f t="shared" ref="J10:J21" si="0">SUM(D10:I10)</f>
        <v>0</v>
      </c>
      <c r="K10" s="234">
        <v>0</v>
      </c>
      <c r="L10" s="234">
        <v>0</v>
      </c>
      <c r="M10" s="234">
        <v>0</v>
      </c>
      <c r="N10" s="234">
        <v>0</v>
      </c>
      <c r="O10" s="234">
        <v>0</v>
      </c>
      <c r="P10" s="234">
        <v>0</v>
      </c>
      <c r="Q10" s="503">
        <f t="shared" ref="Q10:Q21" si="1">SUM(K10:P10)</f>
        <v>0</v>
      </c>
      <c r="R10" s="251">
        <v>0</v>
      </c>
      <c r="S10" s="251">
        <v>0</v>
      </c>
      <c r="T10" s="251">
        <v>0</v>
      </c>
      <c r="U10" s="251">
        <v>0</v>
      </c>
      <c r="V10" s="251">
        <v>0</v>
      </c>
      <c r="W10" s="251">
        <v>0</v>
      </c>
      <c r="X10" s="503">
        <f t="shared" ref="X10:X21" si="2">SUM(R10:W10)</f>
        <v>0</v>
      </c>
      <c r="Y10" s="503">
        <f t="shared" ref="Y10:Y22" si="3">SUM(J10+Q10+X10)</f>
        <v>0</v>
      </c>
      <c r="Z10" s="336"/>
    </row>
    <row r="11" spans="1:26" ht="45" x14ac:dyDescent="0.25">
      <c r="A11" s="501">
        <v>1152</v>
      </c>
      <c r="B11" s="34">
        <v>3</v>
      </c>
      <c r="C11" s="505" t="s">
        <v>1563</v>
      </c>
      <c r="D11" s="235">
        <v>0</v>
      </c>
      <c r="E11" s="235">
        <v>0</v>
      </c>
      <c r="F11" s="235">
        <v>0</v>
      </c>
      <c r="G11" s="235">
        <v>0</v>
      </c>
      <c r="H11" s="235">
        <v>0</v>
      </c>
      <c r="I11" s="235">
        <v>0</v>
      </c>
      <c r="J11" s="503">
        <f t="shared" si="0"/>
        <v>0</v>
      </c>
      <c r="K11" s="234">
        <v>0</v>
      </c>
      <c r="L11" s="234">
        <v>0</v>
      </c>
      <c r="M11" s="234">
        <v>0</v>
      </c>
      <c r="N11" s="234">
        <v>0</v>
      </c>
      <c r="O11" s="234">
        <v>0</v>
      </c>
      <c r="P11" s="234">
        <v>0</v>
      </c>
      <c r="Q11" s="503">
        <f t="shared" si="1"/>
        <v>0</v>
      </c>
      <c r="R11" s="251">
        <v>0</v>
      </c>
      <c r="S11" s="251">
        <v>0</v>
      </c>
      <c r="T11" s="251">
        <v>0</v>
      </c>
      <c r="U11" s="251">
        <v>0</v>
      </c>
      <c r="V11" s="251">
        <v>0</v>
      </c>
      <c r="W11" s="251">
        <v>0</v>
      </c>
      <c r="X11" s="503">
        <f t="shared" si="2"/>
        <v>0</v>
      </c>
      <c r="Y11" s="503">
        <f t="shared" si="3"/>
        <v>0</v>
      </c>
      <c r="Z11" s="336"/>
    </row>
    <row r="12" spans="1:26" ht="20.100000000000001" customHeight="1" x14ac:dyDescent="0.25">
      <c r="A12" s="501">
        <v>1153</v>
      </c>
      <c r="B12" s="34">
        <v>4</v>
      </c>
      <c r="C12" s="505" t="s">
        <v>117</v>
      </c>
      <c r="D12" s="235">
        <v>0</v>
      </c>
      <c r="E12" s="235">
        <v>0</v>
      </c>
      <c r="F12" s="235">
        <v>0</v>
      </c>
      <c r="G12" s="235">
        <v>0</v>
      </c>
      <c r="H12" s="235">
        <v>0</v>
      </c>
      <c r="I12" s="235">
        <v>0</v>
      </c>
      <c r="J12" s="503">
        <f t="shared" si="0"/>
        <v>0</v>
      </c>
      <c r="K12" s="234">
        <v>0</v>
      </c>
      <c r="L12" s="234">
        <v>0</v>
      </c>
      <c r="M12" s="234">
        <v>0</v>
      </c>
      <c r="N12" s="234">
        <v>0</v>
      </c>
      <c r="O12" s="234">
        <v>0</v>
      </c>
      <c r="P12" s="234">
        <v>0</v>
      </c>
      <c r="Q12" s="503">
        <f t="shared" si="1"/>
        <v>0</v>
      </c>
      <c r="R12" s="251">
        <v>0</v>
      </c>
      <c r="S12" s="251">
        <v>0</v>
      </c>
      <c r="T12" s="251">
        <v>0</v>
      </c>
      <c r="U12" s="251">
        <v>0</v>
      </c>
      <c r="V12" s="251">
        <v>0</v>
      </c>
      <c r="W12" s="251">
        <v>0</v>
      </c>
      <c r="X12" s="503">
        <f t="shared" si="2"/>
        <v>0</v>
      </c>
      <c r="Y12" s="503">
        <f t="shared" si="3"/>
        <v>0</v>
      </c>
      <c r="Z12" s="336"/>
    </row>
    <row r="13" spans="1:26" ht="20.100000000000001" customHeight="1" x14ac:dyDescent="0.25">
      <c r="A13" s="501">
        <v>1154</v>
      </c>
      <c r="B13" s="34">
        <v>5</v>
      </c>
      <c r="C13" s="527" t="s">
        <v>127</v>
      </c>
      <c r="D13" s="234">
        <v>0</v>
      </c>
      <c r="E13" s="234">
        <v>0</v>
      </c>
      <c r="F13" s="234">
        <v>0</v>
      </c>
      <c r="G13" s="234">
        <v>1</v>
      </c>
      <c r="H13" s="234">
        <v>1</v>
      </c>
      <c r="I13" s="234">
        <v>0</v>
      </c>
      <c r="J13" s="503">
        <f t="shared" si="0"/>
        <v>2</v>
      </c>
      <c r="K13" s="234">
        <v>0</v>
      </c>
      <c r="L13" s="234">
        <v>0</v>
      </c>
      <c r="M13" s="234">
        <v>0</v>
      </c>
      <c r="N13" s="234">
        <v>0</v>
      </c>
      <c r="O13" s="234">
        <v>0</v>
      </c>
      <c r="P13" s="234">
        <v>0</v>
      </c>
      <c r="Q13" s="503">
        <f t="shared" si="1"/>
        <v>0</v>
      </c>
      <c r="R13" s="251">
        <v>0</v>
      </c>
      <c r="S13" s="251">
        <v>0</v>
      </c>
      <c r="T13" s="251">
        <v>0</v>
      </c>
      <c r="U13" s="251">
        <v>0</v>
      </c>
      <c r="V13" s="251">
        <v>0</v>
      </c>
      <c r="W13" s="251">
        <v>0</v>
      </c>
      <c r="X13" s="503">
        <f t="shared" si="2"/>
        <v>0</v>
      </c>
      <c r="Y13" s="503">
        <f t="shared" si="3"/>
        <v>2</v>
      </c>
      <c r="Z13" s="336"/>
    </row>
    <row r="14" spans="1:26" ht="20.100000000000001" customHeight="1" x14ac:dyDescent="0.25">
      <c r="A14" s="501">
        <v>1155</v>
      </c>
      <c r="B14" s="34">
        <v>6</v>
      </c>
      <c r="C14" s="506" t="s">
        <v>1564</v>
      </c>
      <c r="D14" s="265">
        <v>0</v>
      </c>
      <c r="E14" s="265">
        <v>0</v>
      </c>
      <c r="F14" s="265">
        <v>0</v>
      </c>
      <c r="G14" s="265">
        <v>0</v>
      </c>
      <c r="H14" s="265">
        <v>0</v>
      </c>
      <c r="I14" s="265">
        <v>0</v>
      </c>
      <c r="J14" s="503">
        <f t="shared" si="0"/>
        <v>0</v>
      </c>
      <c r="K14" s="265">
        <v>0</v>
      </c>
      <c r="L14" s="265">
        <v>0</v>
      </c>
      <c r="M14" s="265">
        <v>0</v>
      </c>
      <c r="N14" s="265">
        <v>0</v>
      </c>
      <c r="O14" s="265">
        <v>0</v>
      </c>
      <c r="P14" s="265">
        <v>0</v>
      </c>
      <c r="Q14" s="503">
        <f t="shared" si="1"/>
        <v>0</v>
      </c>
      <c r="R14" s="251">
        <v>0</v>
      </c>
      <c r="S14" s="251">
        <v>0</v>
      </c>
      <c r="T14" s="251">
        <v>0</v>
      </c>
      <c r="U14" s="251">
        <v>0</v>
      </c>
      <c r="V14" s="251">
        <v>0</v>
      </c>
      <c r="W14" s="251">
        <v>0</v>
      </c>
      <c r="X14" s="503">
        <f t="shared" si="2"/>
        <v>0</v>
      </c>
      <c r="Y14" s="503">
        <f t="shared" si="3"/>
        <v>0</v>
      </c>
      <c r="Z14" s="336"/>
    </row>
    <row r="15" spans="1:26" ht="20.100000000000001" customHeight="1" x14ac:dyDescent="0.25">
      <c r="A15" s="501">
        <v>1156</v>
      </c>
      <c r="B15" s="34">
        <v>7</v>
      </c>
      <c r="C15" s="31" t="s">
        <v>128</v>
      </c>
      <c r="D15" s="265">
        <v>0</v>
      </c>
      <c r="E15" s="265">
        <v>0</v>
      </c>
      <c r="F15" s="265">
        <v>0</v>
      </c>
      <c r="G15" s="265">
        <v>0</v>
      </c>
      <c r="H15" s="265">
        <v>0</v>
      </c>
      <c r="I15" s="265">
        <v>0</v>
      </c>
      <c r="J15" s="503">
        <f t="shared" si="0"/>
        <v>0</v>
      </c>
      <c r="K15" s="265">
        <v>0</v>
      </c>
      <c r="L15" s="265">
        <v>0</v>
      </c>
      <c r="M15" s="265">
        <v>0</v>
      </c>
      <c r="N15" s="265">
        <v>0</v>
      </c>
      <c r="O15" s="265">
        <v>0</v>
      </c>
      <c r="P15" s="265">
        <v>0</v>
      </c>
      <c r="Q15" s="503">
        <f t="shared" si="1"/>
        <v>0</v>
      </c>
      <c r="R15" s="251">
        <v>0</v>
      </c>
      <c r="S15" s="251">
        <v>0</v>
      </c>
      <c r="T15" s="251">
        <v>0</v>
      </c>
      <c r="U15" s="251">
        <v>0</v>
      </c>
      <c r="V15" s="251">
        <v>0</v>
      </c>
      <c r="W15" s="251">
        <v>0</v>
      </c>
      <c r="X15" s="503">
        <f t="shared" si="2"/>
        <v>0</v>
      </c>
      <c r="Y15" s="503">
        <f t="shared" si="3"/>
        <v>0</v>
      </c>
      <c r="Z15" s="336"/>
    </row>
    <row r="16" spans="1:26" ht="20.100000000000001" customHeight="1" x14ac:dyDescent="0.25">
      <c r="A16" s="501">
        <v>1157</v>
      </c>
      <c r="B16" s="34">
        <v>8</v>
      </c>
      <c r="C16" s="31" t="s">
        <v>118</v>
      </c>
      <c r="D16" s="265">
        <v>0</v>
      </c>
      <c r="E16" s="265">
        <v>0</v>
      </c>
      <c r="F16" s="265">
        <v>0</v>
      </c>
      <c r="G16" s="265">
        <v>0</v>
      </c>
      <c r="H16" s="265">
        <v>0</v>
      </c>
      <c r="I16" s="265">
        <v>0</v>
      </c>
      <c r="J16" s="503">
        <f t="shared" si="0"/>
        <v>0</v>
      </c>
      <c r="K16" s="265">
        <v>0</v>
      </c>
      <c r="L16" s="265">
        <v>0</v>
      </c>
      <c r="M16" s="265">
        <v>0</v>
      </c>
      <c r="N16" s="265">
        <v>0</v>
      </c>
      <c r="O16" s="265">
        <v>0</v>
      </c>
      <c r="P16" s="265">
        <v>0</v>
      </c>
      <c r="Q16" s="503">
        <f t="shared" si="1"/>
        <v>0</v>
      </c>
      <c r="R16" s="251">
        <v>0</v>
      </c>
      <c r="S16" s="251">
        <v>0</v>
      </c>
      <c r="T16" s="251">
        <v>0</v>
      </c>
      <c r="U16" s="251">
        <v>0</v>
      </c>
      <c r="V16" s="251">
        <v>0</v>
      </c>
      <c r="W16" s="251">
        <v>0</v>
      </c>
      <c r="X16" s="503">
        <f t="shared" si="2"/>
        <v>0</v>
      </c>
      <c r="Y16" s="503">
        <f t="shared" si="3"/>
        <v>0</v>
      </c>
      <c r="Z16" s="336"/>
    </row>
    <row r="17" spans="1:26" ht="30" x14ac:dyDescent="0.25">
      <c r="A17" s="501">
        <v>1158</v>
      </c>
      <c r="B17" s="34">
        <v>9</v>
      </c>
      <c r="C17" s="506" t="s">
        <v>1663</v>
      </c>
      <c r="D17" s="265">
        <v>0</v>
      </c>
      <c r="E17" s="265">
        <v>0</v>
      </c>
      <c r="F17" s="265">
        <v>0</v>
      </c>
      <c r="G17" s="265">
        <v>0</v>
      </c>
      <c r="H17" s="265">
        <v>0</v>
      </c>
      <c r="I17" s="265">
        <v>0</v>
      </c>
      <c r="J17" s="503">
        <f t="shared" si="0"/>
        <v>0</v>
      </c>
      <c r="K17" s="265">
        <v>0</v>
      </c>
      <c r="L17" s="265">
        <v>0</v>
      </c>
      <c r="M17" s="265">
        <v>0</v>
      </c>
      <c r="N17" s="265">
        <v>0</v>
      </c>
      <c r="O17" s="265">
        <v>0</v>
      </c>
      <c r="P17" s="265">
        <v>0</v>
      </c>
      <c r="Q17" s="503">
        <f t="shared" si="1"/>
        <v>0</v>
      </c>
      <c r="R17" s="251">
        <v>0</v>
      </c>
      <c r="S17" s="251">
        <v>0</v>
      </c>
      <c r="T17" s="251">
        <v>0</v>
      </c>
      <c r="U17" s="251">
        <v>0</v>
      </c>
      <c r="V17" s="251">
        <v>0</v>
      </c>
      <c r="W17" s="251">
        <v>0</v>
      </c>
      <c r="X17" s="503">
        <f t="shared" si="2"/>
        <v>0</v>
      </c>
      <c r="Y17" s="503">
        <f t="shared" si="3"/>
        <v>0</v>
      </c>
      <c r="Z17" s="336"/>
    </row>
    <row r="18" spans="1:26" ht="45" x14ac:dyDescent="0.25">
      <c r="A18" s="501">
        <v>1159</v>
      </c>
      <c r="B18" s="34">
        <v>10</v>
      </c>
      <c r="C18" s="506" t="s">
        <v>1662</v>
      </c>
      <c r="D18" s="265">
        <v>0</v>
      </c>
      <c r="E18" s="265">
        <v>0</v>
      </c>
      <c r="F18" s="265">
        <v>0</v>
      </c>
      <c r="G18" s="265">
        <v>0</v>
      </c>
      <c r="H18" s="265">
        <v>0</v>
      </c>
      <c r="I18" s="265">
        <v>0</v>
      </c>
      <c r="J18" s="503">
        <f t="shared" si="0"/>
        <v>0</v>
      </c>
      <c r="K18" s="265">
        <v>0</v>
      </c>
      <c r="L18" s="265">
        <v>0</v>
      </c>
      <c r="M18" s="265">
        <v>0</v>
      </c>
      <c r="N18" s="265">
        <v>0</v>
      </c>
      <c r="O18" s="265">
        <v>0</v>
      </c>
      <c r="P18" s="265">
        <v>0</v>
      </c>
      <c r="Q18" s="503">
        <f t="shared" si="1"/>
        <v>0</v>
      </c>
      <c r="R18" s="251">
        <v>0</v>
      </c>
      <c r="S18" s="251">
        <v>0</v>
      </c>
      <c r="T18" s="251">
        <v>0</v>
      </c>
      <c r="U18" s="251">
        <v>0</v>
      </c>
      <c r="V18" s="251">
        <v>0</v>
      </c>
      <c r="W18" s="251">
        <v>0</v>
      </c>
      <c r="X18" s="503">
        <f t="shared" si="2"/>
        <v>0</v>
      </c>
      <c r="Y18" s="503">
        <f t="shared" si="3"/>
        <v>0</v>
      </c>
      <c r="Z18" s="336"/>
    </row>
    <row r="19" spans="1:26" ht="20.100000000000001" customHeight="1" x14ac:dyDescent="0.25">
      <c r="A19" s="501">
        <v>1160</v>
      </c>
      <c r="B19" s="34">
        <v>11</v>
      </c>
      <c r="C19" s="506" t="s">
        <v>1565</v>
      </c>
      <c r="D19" s="265">
        <v>0</v>
      </c>
      <c r="E19" s="265">
        <v>0</v>
      </c>
      <c r="F19" s="265">
        <v>0</v>
      </c>
      <c r="G19" s="265">
        <v>0</v>
      </c>
      <c r="H19" s="265">
        <v>0</v>
      </c>
      <c r="I19" s="265">
        <v>0</v>
      </c>
      <c r="J19" s="503">
        <f t="shared" si="0"/>
        <v>0</v>
      </c>
      <c r="K19" s="265">
        <v>0</v>
      </c>
      <c r="L19" s="265">
        <v>0</v>
      </c>
      <c r="M19" s="265">
        <v>0</v>
      </c>
      <c r="N19" s="265">
        <v>0</v>
      </c>
      <c r="O19" s="265">
        <v>0</v>
      </c>
      <c r="P19" s="265">
        <v>0</v>
      </c>
      <c r="Q19" s="503">
        <f t="shared" si="1"/>
        <v>0</v>
      </c>
      <c r="R19" s="251">
        <v>0</v>
      </c>
      <c r="S19" s="251">
        <v>0</v>
      </c>
      <c r="T19" s="251">
        <v>0</v>
      </c>
      <c r="U19" s="251">
        <v>0</v>
      </c>
      <c r="V19" s="251">
        <v>0</v>
      </c>
      <c r="W19" s="251">
        <v>0</v>
      </c>
      <c r="X19" s="503">
        <f t="shared" si="2"/>
        <v>0</v>
      </c>
      <c r="Y19" s="503">
        <f t="shared" si="3"/>
        <v>0</v>
      </c>
      <c r="Z19" s="336"/>
    </row>
    <row r="20" spans="1:26" ht="20.100000000000001" customHeight="1" x14ac:dyDescent="0.25">
      <c r="A20" s="501">
        <v>1161</v>
      </c>
      <c r="B20" s="34">
        <v>12</v>
      </c>
      <c r="C20" s="31" t="s">
        <v>49</v>
      </c>
      <c r="D20" s="265">
        <v>0</v>
      </c>
      <c r="E20" s="265">
        <v>0</v>
      </c>
      <c r="F20" s="265">
        <v>0</v>
      </c>
      <c r="G20" s="265">
        <v>0</v>
      </c>
      <c r="H20" s="265">
        <v>0</v>
      </c>
      <c r="I20" s="265">
        <v>0</v>
      </c>
      <c r="J20" s="503">
        <f t="shared" si="0"/>
        <v>0</v>
      </c>
      <c r="K20" s="265">
        <v>0</v>
      </c>
      <c r="L20" s="265">
        <v>0</v>
      </c>
      <c r="M20" s="265">
        <v>0</v>
      </c>
      <c r="N20" s="265">
        <v>0</v>
      </c>
      <c r="O20" s="265">
        <v>0</v>
      </c>
      <c r="P20" s="265">
        <v>0</v>
      </c>
      <c r="Q20" s="503">
        <f t="shared" si="1"/>
        <v>0</v>
      </c>
      <c r="R20" s="265">
        <v>0</v>
      </c>
      <c r="S20" s="265">
        <v>0</v>
      </c>
      <c r="T20" s="265">
        <v>0</v>
      </c>
      <c r="U20" s="265">
        <v>0</v>
      </c>
      <c r="V20" s="265">
        <v>0</v>
      </c>
      <c r="W20" s="265">
        <v>0</v>
      </c>
      <c r="X20" s="503">
        <f t="shared" si="2"/>
        <v>0</v>
      </c>
      <c r="Y20" s="503">
        <f t="shared" si="3"/>
        <v>0</v>
      </c>
      <c r="Z20" s="336"/>
    </row>
    <row r="21" spans="1:26" ht="20.100000000000001" customHeight="1" x14ac:dyDescent="0.25">
      <c r="A21" s="501">
        <v>1162</v>
      </c>
      <c r="B21" s="34">
        <v>13</v>
      </c>
      <c r="C21" s="31" t="s">
        <v>125</v>
      </c>
      <c r="D21" s="265">
        <v>0</v>
      </c>
      <c r="E21" s="265">
        <v>0</v>
      </c>
      <c r="F21" s="265">
        <v>0</v>
      </c>
      <c r="G21" s="265">
        <v>0</v>
      </c>
      <c r="H21" s="265">
        <v>0</v>
      </c>
      <c r="I21" s="265">
        <v>0</v>
      </c>
      <c r="J21" s="503">
        <f t="shared" si="0"/>
        <v>0</v>
      </c>
      <c r="K21" s="265">
        <v>0</v>
      </c>
      <c r="L21" s="265">
        <v>0</v>
      </c>
      <c r="M21" s="265">
        <v>0</v>
      </c>
      <c r="N21" s="265">
        <v>0</v>
      </c>
      <c r="O21" s="265">
        <v>0</v>
      </c>
      <c r="P21" s="265">
        <v>0</v>
      </c>
      <c r="Q21" s="503">
        <f t="shared" si="1"/>
        <v>0</v>
      </c>
      <c r="R21" s="265">
        <v>0</v>
      </c>
      <c r="S21" s="265">
        <v>0</v>
      </c>
      <c r="T21" s="265">
        <v>0</v>
      </c>
      <c r="U21" s="265">
        <v>0</v>
      </c>
      <c r="V21" s="265">
        <v>0</v>
      </c>
      <c r="W21" s="265">
        <v>0</v>
      </c>
      <c r="X21" s="503">
        <f t="shared" si="2"/>
        <v>0</v>
      </c>
      <c r="Y21" s="503">
        <f t="shared" si="3"/>
        <v>0</v>
      </c>
      <c r="Z21" s="336"/>
    </row>
    <row r="22" spans="1:26" ht="20.100000000000001" customHeight="1" x14ac:dyDescent="0.25">
      <c r="A22" s="501">
        <v>1175</v>
      </c>
      <c r="B22" s="507">
        <v>14</v>
      </c>
      <c r="C22" s="508" t="s">
        <v>1566</v>
      </c>
      <c r="D22" s="424">
        <f>SUM(D9:D21)</f>
        <v>0</v>
      </c>
      <c r="E22" s="424">
        <f t="shared" ref="E22:K22" si="4">SUM(E9:E21)</f>
        <v>0</v>
      </c>
      <c r="F22" s="424">
        <f t="shared" si="4"/>
        <v>0</v>
      </c>
      <c r="G22" s="424">
        <f t="shared" si="4"/>
        <v>1</v>
      </c>
      <c r="H22" s="424">
        <f t="shared" si="4"/>
        <v>1</v>
      </c>
      <c r="I22" s="424">
        <f t="shared" si="4"/>
        <v>0</v>
      </c>
      <c r="J22" s="424">
        <f>SUM(D22:I22)</f>
        <v>2</v>
      </c>
      <c r="K22" s="424">
        <f t="shared" si="4"/>
        <v>0</v>
      </c>
      <c r="L22" s="424">
        <f t="shared" ref="L22" si="5">SUM(L9:L21)</f>
        <v>0</v>
      </c>
      <c r="M22" s="424">
        <f t="shared" ref="M22" si="6">SUM(M9:M21)</f>
        <v>0</v>
      </c>
      <c r="N22" s="424">
        <f t="shared" ref="N22" si="7">SUM(N9:N21)</f>
        <v>0</v>
      </c>
      <c r="O22" s="424">
        <f t="shared" ref="O22" si="8">SUM(O9:O21)</f>
        <v>0</v>
      </c>
      <c r="P22" s="424">
        <f t="shared" ref="P22:R22" si="9">SUM(P9:P21)</f>
        <v>0</v>
      </c>
      <c r="Q22" s="424">
        <f>SUM(K22:P22)</f>
        <v>0</v>
      </c>
      <c r="R22" s="424">
        <f t="shared" si="9"/>
        <v>0</v>
      </c>
      <c r="S22" s="424">
        <f t="shared" ref="S22" si="10">SUM(S9:S21)</f>
        <v>0</v>
      </c>
      <c r="T22" s="424">
        <f t="shared" ref="T22" si="11">SUM(T9:T21)</f>
        <v>0</v>
      </c>
      <c r="U22" s="424">
        <f t="shared" ref="U22" si="12">SUM(U9:U21)</f>
        <v>0</v>
      </c>
      <c r="V22" s="424">
        <f t="shared" ref="V22" si="13">SUM(V9:V21)</f>
        <v>0</v>
      </c>
      <c r="W22" s="424">
        <f t="shared" ref="W22" si="14">SUM(W9:W21)</f>
        <v>0</v>
      </c>
      <c r="X22" s="424">
        <f>SUM(R22:W22)</f>
        <v>0</v>
      </c>
      <c r="Y22" s="421">
        <f t="shared" si="3"/>
        <v>2</v>
      </c>
      <c r="Z22" s="336"/>
    </row>
    <row r="23" spans="1:26" ht="30" customHeight="1" x14ac:dyDescent="0.25">
      <c r="A23" s="848" t="s">
        <v>1567</v>
      </c>
      <c r="B23" s="848"/>
      <c r="C23" s="848"/>
      <c r="D23" s="509">
        <f>'P-XV'!E29</f>
        <v>0</v>
      </c>
      <c r="E23" s="509">
        <f>'P-XV'!F29</f>
        <v>0</v>
      </c>
      <c r="F23" s="509">
        <f>'P-XV'!G29</f>
        <v>0</v>
      </c>
      <c r="G23" s="509">
        <f>'P-XV'!H29</f>
        <v>1</v>
      </c>
      <c r="H23" s="509">
        <f>'P-XV'!I29</f>
        <v>1</v>
      </c>
      <c r="I23" s="509">
        <f>'P-XV'!J29</f>
        <v>0</v>
      </c>
      <c r="J23" s="509">
        <f>'P-XV'!K29</f>
        <v>2</v>
      </c>
      <c r="K23" s="509">
        <f>'P-XV'!L29</f>
        <v>0</v>
      </c>
      <c r="L23" s="509">
        <f>'P-XV'!M29</f>
        <v>0</v>
      </c>
      <c r="M23" s="509">
        <f>'P-XV'!N29</f>
        <v>0</v>
      </c>
      <c r="N23" s="509">
        <f>'P-XV'!O29</f>
        <v>0</v>
      </c>
      <c r="O23" s="509">
        <f>'P-XV'!P29</f>
        <v>0</v>
      </c>
      <c r="P23" s="509">
        <f>'P-XV'!Q29</f>
        <v>0</v>
      </c>
      <c r="Q23" s="509">
        <f>'P-XV'!R29</f>
        <v>0</v>
      </c>
      <c r="R23" s="509">
        <f>'P-XV'!S29</f>
        <v>0</v>
      </c>
      <c r="S23" s="509">
        <f>'P-XV'!T29</f>
        <v>0</v>
      </c>
      <c r="T23" s="509">
        <f>'P-XV'!U29</f>
        <v>0</v>
      </c>
      <c r="U23" s="509">
        <f>'P-XV'!V29</f>
        <v>0</v>
      </c>
      <c r="V23" s="509">
        <f>'P-XV'!W29</f>
        <v>0</v>
      </c>
      <c r="W23" s="509">
        <f>'P-XV'!X29</f>
        <v>0</v>
      </c>
      <c r="X23" s="509">
        <f>'P-XV'!Y29</f>
        <v>0</v>
      </c>
      <c r="Y23" s="509">
        <f>'P-XV'!Z29</f>
        <v>2</v>
      </c>
    </row>
    <row r="24" spans="1:26" ht="30" customHeight="1" x14ac:dyDescent="0.25">
      <c r="A24" s="695" t="s">
        <v>1568</v>
      </c>
      <c r="B24" s="695"/>
      <c r="C24" s="695"/>
      <c r="D24" s="399" t="str">
        <f>IF(D22='P-XV'!E29,"",FALSE)</f>
        <v/>
      </c>
      <c r="E24" s="399" t="str">
        <f>IF(E22='P-XV'!F29,"",FALSE)</f>
        <v/>
      </c>
      <c r="F24" s="399" t="str">
        <f>IF(F22='P-XV'!G29,"",FALSE)</f>
        <v/>
      </c>
      <c r="G24" s="399" t="str">
        <f>IF(G22='P-XV'!H29,"",FALSE)</f>
        <v/>
      </c>
      <c r="H24" s="399" t="str">
        <f>IF(H22='P-XV'!I29,"",FALSE)</f>
        <v/>
      </c>
      <c r="I24" s="399" t="str">
        <f>IF(I22='P-XV'!J29,"",FALSE)</f>
        <v/>
      </c>
      <c r="J24" s="399" t="str">
        <f>IF(J22='P-XV'!K29,"",FALSE)</f>
        <v/>
      </c>
      <c r="K24" s="399" t="str">
        <f>IF(K22='P-XV'!L29,"",FALSE)</f>
        <v/>
      </c>
      <c r="L24" s="399" t="str">
        <f>IF(L22='P-XV'!M29,"",FALSE)</f>
        <v/>
      </c>
      <c r="M24" s="399" t="str">
        <f>IF(M22='P-XV'!N29,"",FALSE)</f>
        <v/>
      </c>
      <c r="N24" s="399" t="str">
        <f>IF(N22='P-XV'!O29,"",FALSE)</f>
        <v/>
      </c>
      <c r="O24" s="399" t="str">
        <f>IF(O22='P-XV'!P29,"",FALSE)</f>
        <v/>
      </c>
      <c r="P24" s="399" t="str">
        <f>IF(P22='P-XV'!Q29,"",FALSE)</f>
        <v/>
      </c>
      <c r="Q24" s="399" t="str">
        <f>IF(Q22='P-XV'!R29,"",FALSE)</f>
        <v/>
      </c>
      <c r="R24" s="399" t="str">
        <f>IF(R22='P-XV'!S29,"",FALSE)</f>
        <v/>
      </c>
      <c r="S24" s="399" t="str">
        <f>IF(S22='P-XV'!T29,"",FALSE)</f>
        <v/>
      </c>
      <c r="T24" s="399" t="str">
        <f>IF(T22='P-XV'!U29,"",FALSE)</f>
        <v/>
      </c>
      <c r="U24" s="399" t="str">
        <f>IF(U22='P-XV'!V29,"",FALSE)</f>
        <v/>
      </c>
      <c r="V24" s="399" t="str">
        <f>IF(V22='P-XV'!W29,"",FALSE)</f>
        <v/>
      </c>
      <c r="W24" s="399" t="str">
        <f>IF(W22='P-XV'!X29,"",FALSE)</f>
        <v/>
      </c>
      <c r="X24" s="399" t="str">
        <f>IF(X22='P-XV'!Y29,"",FALSE)</f>
        <v/>
      </c>
      <c r="Y24" s="399" t="str">
        <f>IF(Y22='P-XV'!Z29,"",FALSE)</f>
        <v/>
      </c>
    </row>
    <row r="25" spans="1:26" ht="30" customHeight="1" x14ac:dyDescent="0.25">
      <c r="A25" s="848" t="s">
        <v>627</v>
      </c>
      <c r="B25" s="848"/>
      <c r="C25" s="848"/>
      <c r="D25" s="509">
        <f>'P-XIV'!D38</f>
        <v>2</v>
      </c>
      <c r="E25" s="509">
        <f>'P-XIV'!E38</f>
        <v>6</v>
      </c>
      <c r="F25" s="509">
        <f>'P-XIV'!F38</f>
        <v>65</v>
      </c>
      <c r="G25" s="509">
        <f>'P-XIV'!G38</f>
        <v>79</v>
      </c>
      <c r="H25" s="509">
        <f>'P-XIV'!H38</f>
        <v>81</v>
      </c>
      <c r="I25" s="509">
        <f>'P-XIV'!I38</f>
        <v>16</v>
      </c>
      <c r="J25" s="509">
        <f>'P-XIV'!J38</f>
        <v>249</v>
      </c>
      <c r="K25" s="509">
        <f>'P-XIV'!K38</f>
        <v>1</v>
      </c>
      <c r="L25" s="509">
        <f>'P-XIV'!L38</f>
        <v>4</v>
      </c>
      <c r="M25" s="509">
        <f>'P-XIV'!M38</f>
        <v>19</v>
      </c>
      <c r="N25" s="509">
        <f>'P-XIV'!N38</f>
        <v>21</v>
      </c>
      <c r="O25" s="509">
        <f>'P-XIV'!O38</f>
        <v>11</v>
      </c>
      <c r="P25" s="509">
        <f>'P-XIV'!P38</f>
        <v>16</v>
      </c>
      <c r="Q25" s="509">
        <f>'P-XIV'!Q38</f>
        <v>72</v>
      </c>
      <c r="R25" s="509">
        <f>'P-XIV'!R38</f>
        <v>0</v>
      </c>
      <c r="S25" s="509">
        <f>'P-XIV'!S38</f>
        <v>0</v>
      </c>
      <c r="T25" s="509">
        <f>'P-XIV'!T38</f>
        <v>0</v>
      </c>
      <c r="U25" s="509">
        <f>'P-XIV'!U38</f>
        <v>0</v>
      </c>
      <c r="V25" s="509">
        <f>'P-XIV'!V38</f>
        <v>0</v>
      </c>
      <c r="W25" s="509">
        <f>'P-XIV'!W38</f>
        <v>0</v>
      </c>
      <c r="X25" s="509">
        <f>'P-XIV'!X38</f>
        <v>0</v>
      </c>
      <c r="Y25" s="509">
        <f>'P-XIV'!Y38</f>
        <v>321</v>
      </c>
    </row>
    <row r="26" spans="1:26" ht="30" customHeight="1" x14ac:dyDescent="0.25">
      <c r="A26" s="695" t="s">
        <v>645</v>
      </c>
      <c r="B26" s="695"/>
      <c r="C26" s="695"/>
      <c r="D26" s="399" t="str">
        <f>IF(D22&lt;='P-XIV'!D38,"",FALSE)</f>
        <v/>
      </c>
      <c r="E26" s="399" t="str">
        <f>IF(E22&lt;='P-XIV'!E38,"",FALSE)</f>
        <v/>
      </c>
      <c r="F26" s="399" t="str">
        <f>IF(F22&lt;='P-XIV'!F38,"",FALSE)</f>
        <v/>
      </c>
      <c r="G26" s="399" t="str">
        <f>IF(G22&lt;='P-XIV'!G38,"",FALSE)</f>
        <v/>
      </c>
      <c r="H26" s="399" t="str">
        <f>IF(H22&lt;='P-XIV'!H38,"",FALSE)</f>
        <v/>
      </c>
      <c r="I26" s="399" t="str">
        <f>IF(I22&lt;='P-XIV'!I38,"",FALSE)</f>
        <v/>
      </c>
      <c r="J26" s="399" t="str">
        <f>IF(J22&lt;='P-XIV'!J38,"",FALSE)</f>
        <v/>
      </c>
      <c r="K26" s="399" t="str">
        <f>IF(K22&lt;='P-XIV'!K38,"",FALSE)</f>
        <v/>
      </c>
      <c r="L26" s="399" t="str">
        <f>IF(L22&lt;='P-XIV'!L38,"",FALSE)</f>
        <v/>
      </c>
      <c r="M26" s="399" t="str">
        <f>IF(M22&lt;='P-XIV'!M38,"",FALSE)</f>
        <v/>
      </c>
      <c r="N26" s="399" t="str">
        <f>IF(N22&lt;='P-XIV'!N38,"",FALSE)</f>
        <v/>
      </c>
      <c r="O26" s="399" t="str">
        <f>IF(O22&lt;='P-XIV'!O38,"",FALSE)</f>
        <v/>
      </c>
      <c r="P26" s="399" t="str">
        <f>IF(P22&lt;='P-XIV'!P38,"",FALSE)</f>
        <v/>
      </c>
      <c r="Q26" s="399" t="str">
        <f>IF(Q22&lt;='P-XIV'!Q38,"",FALSE)</f>
        <v/>
      </c>
      <c r="R26" s="399" t="str">
        <f>IF(R22&lt;='P-XIV'!R38,"",FALSE)</f>
        <v/>
      </c>
      <c r="S26" s="399" t="str">
        <f>IF(S22&lt;='P-XIV'!S38,"",FALSE)</f>
        <v/>
      </c>
      <c r="T26" s="399" t="str">
        <f>IF(T22&lt;='P-XIV'!T38,"",FALSE)</f>
        <v/>
      </c>
      <c r="U26" s="399" t="str">
        <f>IF(U22&lt;='P-XIV'!U38,"",FALSE)</f>
        <v/>
      </c>
      <c r="V26" s="399" t="str">
        <f>IF(V22&lt;='P-XIV'!V38,"",FALSE)</f>
        <v/>
      </c>
      <c r="W26" s="399" t="str">
        <f>IF(W22&lt;='P-XIV'!W38,"",FALSE)</f>
        <v/>
      </c>
      <c r="X26" s="399" t="str">
        <f>IF(X22&lt;='P-XIV'!X38,"",FALSE)</f>
        <v/>
      </c>
      <c r="Y26" s="399" t="str">
        <f>IF(Y22&lt;='P-XIV'!Y38,"",FALSE)</f>
        <v/>
      </c>
    </row>
    <row r="27" spans="1:26" ht="30" customHeight="1" x14ac:dyDescent="0.25">
      <c r="A27" s="595" t="s">
        <v>1598</v>
      </c>
      <c r="B27" s="596"/>
      <c r="C27" s="597"/>
      <c r="D27" s="463" t="str">
        <f>IF(D22&gt;0,IF((D20/D22*100)&gt;10,"ABVAR",""),"")</f>
        <v/>
      </c>
      <c r="E27" s="463" t="str">
        <f t="shared" ref="E27:Y27" si="15">IF(E22&gt;0,IF((E20/E22*100)&gt;10,"ABVAR",""),"")</f>
        <v/>
      </c>
      <c r="F27" s="463" t="str">
        <f t="shared" si="15"/>
        <v/>
      </c>
      <c r="G27" s="463" t="str">
        <f t="shared" si="15"/>
        <v/>
      </c>
      <c r="H27" s="463" t="str">
        <f t="shared" si="15"/>
        <v/>
      </c>
      <c r="I27" s="463" t="str">
        <f t="shared" si="15"/>
        <v/>
      </c>
      <c r="J27" s="463" t="str">
        <f t="shared" si="15"/>
        <v/>
      </c>
      <c r="K27" s="463" t="str">
        <f t="shared" si="15"/>
        <v/>
      </c>
      <c r="L27" s="463" t="str">
        <f t="shared" si="15"/>
        <v/>
      </c>
      <c r="M27" s="463" t="str">
        <f t="shared" si="15"/>
        <v/>
      </c>
      <c r="N27" s="463" t="str">
        <f t="shared" si="15"/>
        <v/>
      </c>
      <c r="O27" s="463" t="str">
        <f t="shared" si="15"/>
        <v/>
      </c>
      <c r="P27" s="463" t="str">
        <f t="shared" si="15"/>
        <v/>
      </c>
      <c r="Q27" s="463" t="str">
        <f t="shared" si="15"/>
        <v/>
      </c>
      <c r="R27" s="463" t="str">
        <f t="shared" si="15"/>
        <v/>
      </c>
      <c r="S27" s="463" t="str">
        <f t="shared" si="15"/>
        <v/>
      </c>
      <c r="T27" s="463" t="str">
        <f t="shared" si="15"/>
        <v/>
      </c>
      <c r="U27" s="463" t="str">
        <f t="shared" si="15"/>
        <v/>
      </c>
      <c r="V27" s="463" t="str">
        <f t="shared" si="15"/>
        <v/>
      </c>
      <c r="W27" s="463" t="str">
        <f t="shared" si="15"/>
        <v/>
      </c>
      <c r="X27" s="463" t="str">
        <f t="shared" si="15"/>
        <v/>
      </c>
      <c r="Y27" s="463" t="str">
        <f t="shared" si="15"/>
        <v/>
      </c>
    </row>
    <row r="28" spans="1:26" ht="30" customHeight="1" x14ac:dyDescent="0.25">
      <c r="A28" s="595" t="s">
        <v>1599</v>
      </c>
      <c r="B28" s="596"/>
      <c r="C28" s="597"/>
      <c r="D28" s="463" t="str">
        <f>IF(D22&gt;0,IF((D21/D22*100)&gt;10,"ABVAR",""),"")</f>
        <v/>
      </c>
      <c r="E28" s="463" t="str">
        <f t="shared" ref="E28:Y28" si="16">IF(E22&gt;0,IF((E21/E22*100)&gt;10,"ABVAR",""),"")</f>
        <v/>
      </c>
      <c r="F28" s="463" t="str">
        <f t="shared" si="16"/>
        <v/>
      </c>
      <c r="G28" s="463" t="str">
        <f t="shared" si="16"/>
        <v/>
      </c>
      <c r="H28" s="463" t="str">
        <f t="shared" si="16"/>
        <v/>
      </c>
      <c r="I28" s="463" t="str">
        <f t="shared" si="16"/>
        <v/>
      </c>
      <c r="J28" s="463" t="str">
        <f t="shared" si="16"/>
        <v/>
      </c>
      <c r="K28" s="463" t="str">
        <f t="shared" si="16"/>
        <v/>
      </c>
      <c r="L28" s="463" t="str">
        <f t="shared" si="16"/>
        <v/>
      </c>
      <c r="M28" s="463" t="str">
        <f t="shared" si="16"/>
        <v/>
      </c>
      <c r="N28" s="463" t="str">
        <f t="shared" si="16"/>
        <v/>
      </c>
      <c r="O28" s="463" t="str">
        <f t="shared" si="16"/>
        <v/>
      </c>
      <c r="P28" s="463" t="str">
        <f t="shared" si="16"/>
        <v/>
      </c>
      <c r="Q28" s="463" t="str">
        <f t="shared" si="16"/>
        <v/>
      </c>
      <c r="R28" s="463" t="str">
        <f t="shared" si="16"/>
        <v/>
      </c>
      <c r="S28" s="463" t="str">
        <f t="shared" si="16"/>
        <v/>
      </c>
      <c r="T28" s="463" t="str">
        <f t="shared" si="16"/>
        <v/>
      </c>
      <c r="U28" s="463" t="str">
        <f t="shared" si="16"/>
        <v/>
      </c>
      <c r="V28" s="463" t="str">
        <f t="shared" si="16"/>
        <v/>
      </c>
      <c r="W28" s="463" t="str">
        <f t="shared" si="16"/>
        <v/>
      </c>
      <c r="X28" s="463" t="str">
        <f t="shared" si="16"/>
        <v/>
      </c>
      <c r="Y28" s="463" t="str">
        <f t="shared" si="16"/>
        <v/>
      </c>
    </row>
    <row r="30" spans="1:26" x14ac:dyDescent="0.25">
      <c r="A30" s="528" t="s">
        <v>1665</v>
      </c>
    </row>
    <row r="200" spans="53:79" x14ac:dyDescent="0.25">
      <c r="BA200" s="236" t="str">
        <f>A1</f>
        <v>Goa, , ADSI-2021</v>
      </c>
      <c r="BB200" s="236"/>
    </row>
    <row r="201" spans="53:79" x14ac:dyDescent="0.25">
      <c r="BA201" s="236" t="str">
        <f>A2</f>
        <v>Errors</v>
      </c>
      <c r="BB201" s="510">
        <f>C2</f>
        <v>0</v>
      </c>
      <c r="BD201" s="489" t="str">
        <f>E2</f>
        <v>Abnormal Variations</v>
      </c>
      <c r="BE201" s="236">
        <f>F2</f>
        <v>0</v>
      </c>
      <c r="BG201" s="236"/>
    </row>
    <row r="202" spans="53:79" x14ac:dyDescent="0.25">
      <c r="BA202" s="236" t="str">
        <f>A3</f>
        <v>Proforma–XIX(A)</v>
      </c>
      <c r="BB202" s="237"/>
      <c r="BC202" s="237"/>
      <c r="BD202" s="237"/>
      <c r="BE202" s="237"/>
      <c r="BF202" s="237"/>
      <c r="BG202" s="237"/>
      <c r="BH202" s="237"/>
      <c r="BI202" s="237"/>
      <c r="BJ202" s="237"/>
      <c r="BK202" s="237"/>
      <c r="BL202" s="237"/>
      <c r="BM202" s="237"/>
      <c r="BN202" s="511"/>
      <c r="BP202" s="237"/>
      <c r="BQ202" s="237"/>
      <c r="BR202" s="237"/>
      <c r="BS202" s="237"/>
      <c r="BT202" s="237"/>
      <c r="BU202" s="237"/>
      <c r="BV202" s="237"/>
      <c r="BW202" s="237"/>
      <c r="BX202" s="237"/>
      <c r="BY202" s="237"/>
      <c r="BZ202" s="237"/>
      <c r="CA202" s="237"/>
    </row>
    <row r="203" spans="53:79" x14ac:dyDescent="0.25">
      <c r="BA203" s="236" t="str">
        <f>A4</f>
        <v>Cause-wise distribution of suicides committed by Agricultural Labourers</v>
      </c>
      <c r="BB203" s="237"/>
      <c r="BC203" s="237"/>
      <c r="BD203" s="237"/>
      <c r="BE203" s="237"/>
      <c r="BF203" s="237"/>
      <c r="BG203" s="237"/>
      <c r="BH203" s="237"/>
      <c r="BI203" s="237"/>
      <c r="BJ203" s="237"/>
      <c r="BK203" s="237"/>
      <c r="BL203" s="237"/>
      <c r="BM203" s="237"/>
      <c r="BP203" s="237"/>
      <c r="BQ203" s="237"/>
      <c r="BR203" s="237"/>
      <c r="BS203" s="237"/>
      <c r="BT203" s="237"/>
      <c r="BU203" s="237"/>
      <c r="BV203" s="237"/>
      <c r="BW203" s="237"/>
      <c r="BX203" s="237"/>
      <c r="BY203" s="237"/>
      <c r="BZ203" s="237"/>
      <c r="CA203" s="237"/>
    </row>
    <row r="204" spans="53:79" ht="15" customHeight="1" x14ac:dyDescent="0.25">
      <c r="BA204" s="572" t="str">
        <f>B5</f>
        <v>Sl. No.</v>
      </c>
      <c r="BB204" s="572" t="str">
        <f>C5</f>
        <v>Causes</v>
      </c>
      <c r="BC204" s="849" t="str">
        <f>D5</f>
        <v>Number of Suicidal Deaths</v>
      </c>
      <c r="BD204" s="849"/>
      <c r="BE204" s="849"/>
      <c r="BF204" s="849"/>
      <c r="BG204" s="849"/>
      <c r="BH204" s="849"/>
      <c r="BI204" s="849"/>
      <c r="BJ204" s="849"/>
      <c r="BK204" s="849"/>
      <c r="BL204" s="849"/>
      <c r="BM204" s="849"/>
      <c r="BN204" s="849"/>
      <c r="BO204" s="849"/>
      <c r="BP204" s="849"/>
      <c r="BQ204" s="849" t="s">
        <v>139</v>
      </c>
      <c r="BR204" s="849"/>
      <c r="BS204" s="849"/>
      <c r="BT204" s="849"/>
      <c r="BU204" s="849"/>
      <c r="BV204" s="849"/>
      <c r="BW204" s="849"/>
      <c r="BX204" s="572" t="str">
        <f>Y5</f>
        <v>Grand Total [col. (9)+(16)+(23)]</v>
      </c>
      <c r="BY204" s="237"/>
      <c r="BZ204" s="237"/>
    </row>
    <row r="205" spans="53:79" x14ac:dyDescent="0.25">
      <c r="BA205" s="573"/>
      <c r="BB205" s="573"/>
      <c r="BC205" s="575" t="str">
        <f>D6</f>
        <v>Male</v>
      </c>
      <c r="BD205" s="576"/>
      <c r="BE205" s="576"/>
      <c r="BF205" s="576"/>
      <c r="BG205" s="576"/>
      <c r="BH205" s="576"/>
      <c r="BI205" s="577"/>
      <c r="BJ205" s="575" t="str">
        <f>K6</f>
        <v>Female</v>
      </c>
      <c r="BK205" s="576"/>
      <c r="BL205" s="576"/>
      <c r="BM205" s="576"/>
      <c r="BN205" s="576"/>
      <c r="BO205" s="576"/>
      <c r="BP205" s="577"/>
      <c r="BQ205" s="575" t="str">
        <f>R6</f>
        <v>Transgender</v>
      </c>
      <c r="BR205" s="576"/>
      <c r="BS205" s="576"/>
      <c r="BT205" s="576"/>
      <c r="BU205" s="576"/>
      <c r="BV205" s="576"/>
      <c r="BW205" s="577"/>
      <c r="BX205" s="573"/>
      <c r="BY205" s="237"/>
      <c r="BZ205" s="237"/>
    </row>
    <row r="206" spans="53:79" ht="51" x14ac:dyDescent="0.25">
      <c r="BA206" s="574"/>
      <c r="BB206" s="574"/>
      <c r="BC206" s="239" t="str">
        <f>D7</f>
        <v>below 14 years</v>
      </c>
      <c r="BD206" s="239" t="str">
        <f t="shared" ref="BD206:BI207" si="17">E7</f>
        <v>14 and above – below 18 yrs</v>
      </c>
      <c r="BE206" s="239" t="str">
        <f t="shared" si="17"/>
        <v>18 and above – below 30 years</v>
      </c>
      <c r="BF206" s="239" t="str">
        <f t="shared" si="17"/>
        <v>30 and above – below 45 years</v>
      </c>
      <c r="BG206" s="239" t="str">
        <f t="shared" si="17"/>
        <v>45 and above – below 60 years</v>
      </c>
      <c r="BH206" s="239" t="str">
        <f t="shared" si="17"/>
        <v>60 years &amp; above</v>
      </c>
      <c r="BI206" s="239" t="str">
        <f t="shared" si="17"/>
        <v xml:space="preserve"> Total [sum of (3) to (8)]</v>
      </c>
      <c r="BJ206" s="239" t="str">
        <f>K7</f>
        <v>below 14 years</v>
      </c>
      <c r="BK206" s="239" t="str">
        <f t="shared" ref="BK206:BP207" si="18">L7</f>
        <v>14 and above – below 18 yrs</v>
      </c>
      <c r="BL206" s="239" t="str">
        <f t="shared" si="18"/>
        <v>18 and above – below 30 years</v>
      </c>
      <c r="BM206" s="239" t="str">
        <f t="shared" si="18"/>
        <v>30 and above – below 45 years</v>
      </c>
      <c r="BN206" s="239" t="str">
        <f t="shared" si="18"/>
        <v>45 and above – below 60 years</v>
      </c>
      <c r="BO206" s="239" t="str">
        <f t="shared" si="18"/>
        <v>60 years &amp; above</v>
      </c>
      <c r="BP206" s="239" t="str">
        <f t="shared" si="18"/>
        <v>Total 
[sum of (10) to (15)]</v>
      </c>
      <c r="BQ206" s="239" t="str">
        <f>R7</f>
        <v>below 14 years</v>
      </c>
      <c r="BR206" s="239" t="str">
        <f t="shared" ref="BR206:BW207" si="19">S7</f>
        <v>14 and above – below 18 yrs</v>
      </c>
      <c r="BS206" s="239" t="str">
        <f t="shared" si="19"/>
        <v>18 and above – below 30 years</v>
      </c>
      <c r="BT206" s="239" t="str">
        <f t="shared" si="19"/>
        <v>30 and above – below 45 years</v>
      </c>
      <c r="BU206" s="239" t="str">
        <f t="shared" si="19"/>
        <v>45 and above – below 60 years</v>
      </c>
      <c r="BV206" s="239" t="str">
        <f t="shared" si="19"/>
        <v>60 years &amp; above</v>
      </c>
      <c r="BW206" s="239" t="str">
        <f t="shared" si="19"/>
        <v>Total 
[sum of (17) to (22)]</v>
      </c>
      <c r="BX206" s="574"/>
      <c r="BY206" s="237"/>
      <c r="BZ206" s="237"/>
    </row>
    <row r="207" spans="53:79" x14ac:dyDescent="0.25">
      <c r="BA207" s="512" t="str">
        <f>B8</f>
        <v>(1)</v>
      </c>
      <c r="BB207" s="512" t="str">
        <f>C8</f>
        <v>(2)</v>
      </c>
      <c r="BC207" s="512" t="str">
        <f>D8</f>
        <v>(3)</v>
      </c>
      <c r="BD207" s="512" t="str">
        <f t="shared" si="17"/>
        <v>(4)</v>
      </c>
      <c r="BE207" s="512" t="str">
        <f t="shared" si="17"/>
        <v>(5)</v>
      </c>
      <c r="BF207" s="512" t="str">
        <f t="shared" si="17"/>
        <v>(6)</v>
      </c>
      <c r="BG207" s="512" t="str">
        <f t="shared" si="17"/>
        <v>(7)</v>
      </c>
      <c r="BH207" s="512" t="str">
        <f t="shared" si="17"/>
        <v>(8)</v>
      </c>
      <c r="BI207" s="512" t="str">
        <f t="shared" si="17"/>
        <v>(9)</v>
      </c>
      <c r="BJ207" s="512" t="str">
        <f>K8</f>
        <v>(10)</v>
      </c>
      <c r="BK207" s="512" t="str">
        <f t="shared" si="18"/>
        <v>(11)</v>
      </c>
      <c r="BL207" s="512" t="str">
        <f t="shared" si="18"/>
        <v>(12)</v>
      </c>
      <c r="BM207" s="512" t="str">
        <f t="shared" si="18"/>
        <v>(13)</v>
      </c>
      <c r="BN207" s="512" t="str">
        <f t="shared" si="18"/>
        <v>(14)</v>
      </c>
      <c r="BO207" s="512" t="str">
        <f t="shared" si="18"/>
        <v>(15)</v>
      </c>
      <c r="BP207" s="512" t="str">
        <f t="shared" si="18"/>
        <v>(16)</v>
      </c>
      <c r="BQ207" s="512" t="str">
        <f>R8</f>
        <v>(17)</v>
      </c>
      <c r="BR207" s="512" t="str">
        <f t="shared" si="19"/>
        <v>(18)</v>
      </c>
      <c r="BS207" s="512" t="str">
        <f t="shared" si="19"/>
        <v>(19)</v>
      </c>
      <c r="BT207" s="512" t="str">
        <f t="shared" si="19"/>
        <v>(20)</v>
      </c>
      <c r="BU207" s="512" t="str">
        <f t="shared" si="19"/>
        <v>(21)</v>
      </c>
      <c r="BV207" s="512" t="str">
        <f t="shared" si="19"/>
        <v>(22)</v>
      </c>
      <c r="BW207" s="512" t="str">
        <f t="shared" si="19"/>
        <v>(23)</v>
      </c>
      <c r="BX207" s="512" t="str">
        <f>Y8</f>
        <v>(24)</v>
      </c>
    </row>
    <row r="208" spans="53:79" x14ac:dyDescent="0.25">
      <c r="BA208" s="240">
        <f>B9</f>
        <v>1</v>
      </c>
      <c r="BB208" s="242" t="str">
        <f t="shared" ref="BB208:BX208" si="20">C9</f>
        <v>Poverty</v>
      </c>
      <c r="BC208" s="240">
        <f t="shared" si="20"/>
        <v>0</v>
      </c>
      <c r="BD208" s="240">
        <f t="shared" si="20"/>
        <v>0</v>
      </c>
      <c r="BE208" s="240">
        <f t="shared" si="20"/>
        <v>0</v>
      </c>
      <c r="BF208" s="240">
        <f t="shared" si="20"/>
        <v>0</v>
      </c>
      <c r="BG208" s="240">
        <f t="shared" si="20"/>
        <v>0</v>
      </c>
      <c r="BH208" s="240">
        <f t="shared" si="20"/>
        <v>0</v>
      </c>
      <c r="BI208" s="240">
        <f t="shared" si="20"/>
        <v>0</v>
      </c>
      <c r="BJ208" s="240">
        <f t="shared" si="20"/>
        <v>0</v>
      </c>
      <c r="BK208" s="240">
        <f t="shared" si="20"/>
        <v>0</v>
      </c>
      <c r="BL208" s="240">
        <f t="shared" si="20"/>
        <v>0</v>
      </c>
      <c r="BM208" s="240">
        <f t="shared" si="20"/>
        <v>0</v>
      </c>
      <c r="BN208" s="240">
        <f t="shared" si="20"/>
        <v>0</v>
      </c>
      <c r="BO208" s="240">
        <f t="shared" si="20"/>
        <v>0</v>
      </c>
      <c r="BP208" s="240">
        <f t="shared" si="20"/>
        <v>0</v>
      </c>
      <c r="BQ208" s="240">
        <f t="shared" si="20"/>
        <v>0</v>
      </c>
      <c r="BR208" s="240">
        <f t="shared" si="20"/>
        <v>0</v>
      </c>
      <c r="BS208" s="240">
        <f t="shared" si="20"/>
        <v>0</v>
      </c>
      <c r="BT208" s="240">
        <f t="shared" si="20"/>
        <v>0</v>
      </c>
      <c r="BU208" s="240">
        <f t="shared" si="20"/>
        <v>0</v>
      </c>
      <c r="BV208" s="240">
        <f t="shared" si="20"/>
        <v>0</v>
      </c>
      <c r="BW208" s="240">
        <f t="shared" si="20"/>
        <v>0</v>
      </c>
      <c r="BX208" s="240">
        <f t="shared" si="20"/>
        <v>0</v>
      </c>
    </row>
    <row r="209" spans="53:76" x14ac:dyDescent="0.25">
      <c r="BA209" s="240">
        <f t="shared" ref="BA209:BA218" si="21">B10</f>
        <v>2</v>
      </c>
      <c r="BB209" s="242" t="str">
        <f t="shared" ref="BB209:BB218" si="22">C10</f>
        <v>Property dispute</v>
      </c>
      <c r="BC209" s="240">
        <f t="shared" ref="BC209:BC218" si="23">D10</f>
        <v>0</v>
      </c>
      <c r="BD209" s="240">
        <f t="shared" ref="BD209:BD218" si="24">E10</f>
        <v>0</v>
      </c>
      <c r="BE209" s="240">
        <f t="shared" ref="BE209:BE218" si="25">F10</f>
        <v>0</v>
      </c>
      <c r="BF209" s="240">
        <f t="shared" ref="BF209:BF218" si="26">G10</f>
        <v>0</v>
      </c>
      <c r="BG209" s="240">
        <f t="shared" ref="BG209:BG218" si="27">H10</f>
        <v>0</v>
      </c>
      <c r="BH209" s="240">
        <f t="shared" ref="BH209:BH218" si="28">I10</f>
        <v>0</v>
      </c>
      <c r="BI209" s="240">
        <f t="shared" ref="BI209:BI218" si="29">J10</f>
        <v>0</v>
      </c>
      <c r="BJ209" s="240">
        <f t="shared" ref="BJ209:BJ218" si="30">K10</f>
        <v>0</v>
      </c>
      <c r="BK209" s="240">
        <f t="shared" ref="BK209:BK218" si="31">L10</f>
        <v>0</v>
      </c>
      <c r="BL209" s="240">
        <f t="shared" ref="BL209:BL218" si="32">M10</f>
        <v>0</v>
      </c>
      <c r="BM209" s="240">
        <f t="shared" ref="BM209:BM218" si="33">N10</f>
        <v>0</v>
      </c>
      <c r="BN209" s="240">
        <f t="shared" ref="BN209:BN218" si="34">O10</f>
        <v>0</v>
      </c>
      <c r="BO209" s="240">
        <f t="shared" ref="BO209:BO218" si="35">P10</f>
        <v>0</v>
      </c>
      <c r="BP209" s="240">
        <f t="shared" ref="BP209:BP218" si="36">Q10</f>
        <v>0</v>
      </c>
      <c r="BQ209" s="240">
        <f t="shared" ref="BQ209:BQ218" si="37">R10</f>
        <v>0</v>
      </c>
      <c r="BR209" s="240">
        <f t="shared" ref="BR209:BR218" si="38">S10</f>
        <v>0</v>
      </c>
      <c r="BS209" s="240">
        <f t="shared" ref="BS209:BS218" si="39">T10</f>
        <v>0</v>
      </c>
      <c r="BT209" s="240">
        <f t="shared" ref="BT209:BT218" si="40">U10</f>
        <v>0</v>
      </c>
      <c r="BU209" s="240">
        <f t="shared" ref="BU209:BU218" si="41">V10</f>
        <v>0</v>
      </c>
      <c r="BV209" s="240">
        <f t="shared" ref="BV209:BV218" si="42">W10</f>
        <v>0</v>
      </c>
      <c r="BW209" s="240">
        <f t="shared" ref="BW209:BW218" si="43">X10</f>
        <v>0</v>
      </c>
      <c r="BX209" s="240">
        <f t="shared" ref="BX209:BX218" si="44">Y10</f>
        <v>0</v>
      </c>
    </row>
    <row r="210" spans="53:76" x14ac:dyDescent="0.25">
      <c r="BA210" s="240">
        <f t="shared" si="21"/>
        <v>3</v>
      </c>
      <c r="BB210" s="242" t="str">
        <f t="shared" si="22"/>
        <v>Marriage Related Issues (Dowry, Non settlement of marriage, divorce/extra-marital affairs etc.)</v>
      </c>
      <c r="BC210" s="240">
        <f t="shared" si="23"/>
        <v>0</v>
      </c>
      <c r="BD210" s="240">
        <f t="shared" si="24"/>
        <v>0</v>
      </c>
      <c r="BE210" s="240">
        <f t="shared" si="25"/>
        <v>0</v>
      </c>
      <c r="BF210" s="240">
        <f t="shared" si="26"/>
        <v>0</v>
      </c>
      <c r="BG210" s="240">
        <f t="shared" si="27"/>
        <v>0</v>
      </c>
      <c r="BH210" s="240">
        <f t="shared" si="28"/>
        <v>0</v>
      </c>
      <c r="BI210" s="240">
        <f t="shared" si="29"/>
        <v>0</v>
      </c>
      <c r="BJ210" s="240">
        <f t="shared" si="30"/>
        <v>0</v>
      </c>
      <c r="BK210" s="240">
        <f t="shared" si="31"/>
        <v>0</v>
      </c>
      <c r="BL210" s="240">
        <f t="shared" si="32"/>
        <v>0</v>
      </c>
      <c r="BM210" s="240">
        <f t="shared" si="33"/>
        <v>0</v>
      </c>
      <c r="BN210" s="240">
        <f t="shared" si="34"/>
        <v>0</v>
      </c>
      <c r="BO210" s="240">
        <f t="shared" si="35"/>
        <v>0</v>
      </c>
      <c r="BP210" s="240">
        <f t="shared" si="36"/>
        <v>0</v>
      </c>
      <c r="BQ210" s="240">
        <f t="shared" si="37"/>
        <v>0</v>
      </c>
      <c r="BR210" s="240">
        <f t="shared" si="38"/>
        <v>0</v>
      </c>
      <c r="BS210" s="240">
        <f t="shared" si="39"/>
        <v>0</v>
      </c>
      <c r="BT210" s="240">
        <f t="shared" si="40"/>
        <v>0</v>
      </c>
      <c r="BU210" s="240">
        <f t="shared" si="41"/>
        <v>0</v>
      </c>
      <c r="BV210" s="240">
        <f t="shared" si="42"/>
        <v>0</v>
      </c>
      <c r="BW210" s="240">
        <f t="shared" si="43"/>
        <v>0</v>
      </c>
      <c r="BX210" s="240">
        <f t="shared" si="44"/>
        <v>0</v>
      </c>
    </row>
    <row r="211" spans="53:76" x14ac:dyDescent="0.25">
      <c r="BA211" s="240">
        <f t="shared" si="21"/>
        <v>4</v>
      </c>
      <c r="BB211" s="242" t="str">
        <f t="shared" si="22"/>
        <v>Death of dear person</v>
      </c>
      <c r="BC211" s="240">
        <f t="shared" si="23"/>
        <v>0</v>
      </c>
      <c r="BD211" s="240">
        <f t="shared" si="24"/>
        <v>0</v>
      </c>
      <c r="BE211" s="240">
        <f t="shared" si="25"/>
        <v>0</v>
      </c>
      <c r="BF211" s="240">
        <f t="shared" si="26"/>
        <v>0</v>
      </c>
      <c r="BG211" s="240">
        <f t="shared" si="27"/>
        <v>0</v>
      </c>
      <c r="BH211" s="240">
        <f t="shared" si="28"/>
        <v>0</v>
      </c>
      <c r="BI211" s="240">
        <f t="shared" si="29"/>
        <v>0</v>
      </c>
      <c r="BJ211" s="240">
        <f t="shared" si="30"/>
        <v>0</v>
      </c>
      <c r="BK211" s="240">
        <f t="shared" si="31"/>
        <v>0</v>
      </c>
      <c r="BL211" s="240">
        <f t="shared" si="32"/>
        <v>0</v>
      </c>
      <c r="BM211" s="240">
        <f t="shared" si="33"/>
        <v>0</v>
      </c>
      <c r="BN211" s="240">
        <f t="shared" si="34"/>
        <v>0</v>
      </c>
      <c r="BO211" s="240">
        <f t="shared" si="35"/>
        <v>0</v>
      </c>
      <c r="BP211" s="240">
        <f t="shared" si="36"/>
        <v>0</v>
      </c>
      <c r="BQ211" s="240">
        <f t="shared" si="37"/>
        <v>0</v>
      </c>
      <c r="BR211" s="240">
        <f t="shared" si="38"/>
        <v>0</v>
      </c>
      <c r="BS211" s="240">
        <f t="shared" si="39"/>
        <v>0</v>
      </c>
      <c r="BT211" s="240">
        <f t="shared" si="40"/>
        <v>0</v>
      </c>
      <c r="BU211" s="240">
        <f t="shared" si="41"/>
        <v>0</v>
      </c>
      <c r="BV211" s="240">
        <f t="shared" si="42"/>
        <v>0</v>
      </c>
      <c r="BW211" s="240">
        <f t="shared" si="43"/>
        <v>0</v>
      </c>
      <c r="BX211" s="240">
        <f t="shared" si="44"/>
        <v>0</v>
      </c>
    </row>
    <row r="212" spans="53:76" x14ac:dyDescent="0.25">
      <c r="BA212" s="240">
        <f t="shared" si="21"/>
        <v>5</v>
      </c>
      <c r="BB212" s="242" t="str">
        <f t="shared" si="22"/>
        <v>Family problems</v>
      </c>
      <c r="BC212" s="240">
        <f t="shared" si="23"/>
        <v>0</v>
      </c>
      <c r="BD212" s="240">
        <f t="shared" si="24"/>
        <v>0</v>
      </c>
      <c r="BE212" s="240">
        <f t="shared" si="25"/>
        <v>0</v>
      </c>
      <c r="BF212" s="240">
        <f t="shared" si="26"/>
        <v>1</v>
      </c>
      <c r="BG212" s="240">
        <f t="shared" si="27"/>
        <v>1</v>
      </c>
      <c r="BH212" s="240">
        <f t="shared" si="28"/>
        <v>0</v>
      </c>
      <c r="BI212" s="240">
        <f t="shared" si="29"/>
        <v>2</v>
      </c>
      <c r="BJ212" s="240">
        <f t="shared" si="30"/>
        <v>0</v>
      </c>
      <c r="BK212" s="240">
        <f t="shared" si="31"/>
        <v>0</v>
      </c>
      <c r="BL212" s="240">
        <f t="shared" si="32"/>
        <v>0</v>
      </c>
      <c r="BM212" s="240">
        <f t="shared" si="33"/>
        <v>0</v>
      </c>
      <c r="BN212" s="240">
        <f t="shared" si="34"/>
        <v>0</v>
      </c>
      <c r="BO212" s="240">
        <f t="shared" si="35"/>
        <v>0</v>
      </c>
      <c r="BP212" s="240">
        <f t="shared" si="36"/>
        <v>0</v>
      </c>
      <c r="BQ212" s="240">
        <f t="shared" si="37"/>
        <v>0</v>
      </c>
      <c r="BR212" s="240">
        <f t="shared" si="38"/>
        <v>0</v>
      </c>
      <c r="BS212" s="240">
        <f t="shared" si="39"/>
        <v>0</v>
      </c>
      <c r="BT212" s="240">
        <f t="shared" si="40"/>
        <v>0</v>
      </c>
      <c r="BU212" s="240">
        <f t="shared" si="41"/>
        <v>0</v>
      </c>
      <c r="BV212" s="240">
        <f t="shared" si="42"/>
        <v>0</v>
      </c>
      <c r="BW212" s="240">
        <f t="shared" si="43"/>
        <v>0</v>
      </c>
      <c r="BX212" s="240">
        <f t="shared" si="44"/>
        <v>2</v>
      </c>
    </row>
    <row r="213" spans="53:76" x14ac:dyDescent="0.25">
      <c r="BA213" s="240">
        <f t="shared" si="21"/>
        <v>6</v>
      </c>
      <c r="BB213" s="242" t="str">
        <f t="shared" si="22"/>
        <v>Illness</v>
      </c>
      <c r="BC213" s="240">
        <f t="shared" si="23"/>
        <v>0</v>
      </c>
      <c r="BD213" s="240">
        <f t="shared" si="24"/>
        <v>0</v>
      </c>
      <c r="BE213" s="240">
        <f t="shared" si="25"/>
        <v>0</v>
      </c>
      <c r="BF213" s="240">
        <f t="shared" si="26"/>
        <v>0</v>
      </c>
      <c r="BG213" s="240">
        <f t="shared" si="27"/>
        <v>0</v>
      </c>
      <c r="BH213" s="240">
        <f t="shared" si="28"/>
        <v>0</v>
      </c>
      <c r="BI213" s="240">
        <f t="shared" si="29"/>
        <v>0</v>
      </c>
      <c r="BJ213" s="240">
        <f t="shared" si="30"/>
        <v>0</v>
      </c>
      <c r="BK213" s="240">
        <f t="shared" si="31"/>
        <v>0</v>
      </c>
      <c r="BL213" s="240">
        <f t="shared" si="32"/>
        <v>0</v>
      </c>
      <c r="BM213" s="240">
        <f t="shared" si="33"/>
        <v>0</v>
      </c>
      <c r="BN213" s="240">
        <f t="shared" si="34"/>
        <v>0</v>
      </c>
      <c r="BO213" s="240">
        <f t="shared" si="35"/>
        <v>0</v>
      </c>
      <c r="BP213" s="240">
        <f t="shared" si="36"/>
        <v>0</v>
      </c>
      <c r="BQ213" s="240">
        <f t="shared" si="37"/>
        <v>0</v>
      </c>
      <c r="BR213" s="240">
        <f t="shared" si="38"/>
        <v>0</v>
      </c>
      <c r="BS213" s="240">
        <f t="shared" si="39"/>
        <v>0</v>
      </c>
      <c r="BT213" s="240">
        <f t="shared" si="40"/>
        <v>0</v>
      </c>
      <c r="BU213" s="240">
        <f t="shared" si="41"/>
        <v>0</v>
      </c>
      <c r="BV213" s="240">
        <f t="shared" si="42"/>
        <v>0</v>
      </c>
      <c r="BW213" s="240">
        <f t="shared" si="43"/>
        <v>0</v>
      </c>
      <c r="BX213" s="240">
        <f t="shared" si="44"/>
        <v>0</v>
      </c>
    </row>
    <row r="214" spans="53:76" x14ac:dyDescent="0.25">
      <c r="BA214" s="240">
        <f t="shared" si="21"/>
        <v>7</v>
      </c>
      <c r="BB214" s="242" t="str">
        <f t="shared" si="22"/>
        <v>Drug abuse/Alcoholic addiction</v>
      </c>
      <c r="BC214" s="240">
        <f t="shared" si="23"/>
        <v>0</v>
      </c>
      <c r="BD214" s="240">
        <f t="shared" si="24"/>
        <v>0</v>
      </c>
      <c r="BE214" s="240">
        <f t="shared" si="25"/>
        <v>0</v>
      </c>
      <c r="BF214" s="240">
        <f t="shared" si="26"/>
        <v>0</v>
      </c>
      <c r="BG214" s="240">
        <f t="shared" si="27"/>
        <v>0</v>
      </c>
      <c r="BH214" s="240">
        <f t="shared" si="28"/>
        <v>0</v>
      </c>
      <c r="BI214" s="240">
        <f t="shared" si="29"/>
        <v>0</v>
      </c>
      <c r="BJ214" s="240">
        <f t="shared" si="30"/>
        <v>0</v>
      </c>
      <c r="BK214" s="240">
        <f t="shared" si="31"/>
        <v>0</v>
      </c>
      <c r="BL214" s="240">
        <f t="shared" si="32"/>
        <v>0</v>
      </c>
      <c r="BM214" s="240">
        <f t="shared" si="33"/>
        <v>0</v>
      </c>
      <c r="BN214" s="240">
        <f t="shared" si="34"/>
        <v>0</v>
      </c>
      <c r="BO214" s="240">
        <f t="shared" si="35"/>
        <v>0</v>
      </c>
      <c r="BP214" s="240">
        <f t="shared" si="36"/>
        <v>0</v>
      </c>
      <c r="BQ214" s="240">
        <f t="shared" si="37"/>
        <v>0</v>
      </c>
      <c r="BR214" s="240">
        <f t="shared" si="38"/>
        <v>0</v>
      </c>
      <c r="BS214" s="240">
        <f t="shared" si="39"/>
        <v>0</v>
      </c>
      <c r="BT214" s="240">
        <f t="shared" si="40"/>
        <v>0</v>
      </c>
      <c r="BU214" s="240">
        <f t="shared" si="41"/>
        <v>0</v>
      </c>
      <c r="BV214" s="240">
        <f t="shared" si="42"/>
        <v>0</v>
      </c>
      <c r="BW214" s="240">
        <f t="shared" si="43"/>
        <v>0</v>
      </c>
      <c r="BX214" s="240">
        <f t="shared" si="44"/>
        <v>0</v>
      </c>
    </row>
    <row r="215" spans="53:76" x14ac:dyDescent="0.25">
      <c r="BA215" s="240">
        <f t="shared" si="21"/>
        <v>8</v>
      </c>
      <c r="BB215" s="242" t="str">
        <f t="shared" si="22"/>
        <v>Fall in social reputation</v>
      </c>
      <c r="BC215" s="240">
        <f t="shared" si="23"/>
        <v>0</v>
      </c>
      <c r="BD215" s="240">
        <f t="shared" si="24"/>
        <v>0</v>
      </c>
      <c r="BE215" s="240">
        <f t="shared" si="25"/>
        <v>0</v>
      </c>
      <c r="BF215" s="240">
        <f t="shared" si="26"/>
        <v>0</v>
      </c>
      <c r="BG215" s="240">
        <f t="shared" si="27"/>
        <v>0</v>
      </c>
      <c r="BH215" s="240">
        <f t="shared" si="28"/>
        <v>0</v>
      </c>
      <c r="BI215" s="240">
        <f t="shared" si="29"/>
        <v>0</v>
      </c>
      <c r="BJ215" s="240">
        <f t="shared" si="30"/>
        <v>0</v>
      </c>
      <c r="BK215" s="240">
        <f t="shared" si="31"/>
        <v>0</v>
      </c>
      <c r="BL215" s="240">
        <f t="shared" si="32"/>
        <v>0</v>
      </c>
      <c r="BM215" s="240">
        <f t="shared" si="33"/>
        <v>0</v>
      </c>
      <c r="BN215" s="240">
        <f t="shared" si="34"/>
        <v>0</v>
      </c>
      <c r="BO215" s="240">
        <f t="shared" si="35"/>
        <v>0</v>
      </c>
      <c r="BP215" s="240">
        <f t="shared" si="36"/>
        <v>0</v>
      </c>
      <c r="BQ215" s="240">
        <f t="shared" si="37"/>
        <v>0</v>
      </c>
      <c r="BR215" s="240">
        <f t="shared" si="38"/>
        <v>0</v>
      </c>
      <c r="BS215" s="240">
        <f t="shared" si="39"/>
        <v>0</v>
      </c>
      <c r="BT215" s="240">
        <f t="shared" si="40"/>
        <v>0</v>
      </c>
      <c r="BU215" s="240">
        <f t="shared" si="41"/>
        <v>0</v>
      </c>
      <c r="BV215" s="240">
        <f t="shared" si="42"/>
        <v>0</v>
      </c>
      <c r="BW215" s="240">
        <f t="shared" si="43"/>
        <v>0</v>
      </c>
      <c r="BX215" s="240">
        <f t="shared" si="44"/>
        <v>0</v>
      </c>
    </row>
    <row r="216" spans="53:76" x14ac:dyDescent="0.25">
      <c r="BA216" s="240">
        <f t="shared" si="21"/>
        <v>9</v>
      </c>
      <c r="BB216" s="242" t="str">
        <f t="shared" si="22"/>
        <v>Bankruptcy or Indebtedness from Financial Institutions</v>
      </c>
      <c r="BC216" s="240">
        <f t="shared" si="23"/>
        <v>0</v>
      </c>
      <c r="BD216" s="240">
        <f t="shared" si="24"/>
        <v>0</v>
      </c>
      <c r="BE216" s="240">
        <f t="shared" si="25"/>
        <v>0</v>
      </c>
      <c r="BF216" s="240">
        <f t="shared" si="26"/>
        <v>0</v>
      </c>
      <c r="BG216" s="240">
        <f t="shared" si="27"/>
        <v>0</v>
      </c>
      <c r="BH216" s="240">
        <f t="shared" si="28"/>
        <v>0</v>
      </c>
      <c r="BI216" s="240">
        <f t="shared" si="29"/>
        <v>0</v>
      </c>
      <c r="BJ216" s="240">
        <f t="shared" si="30"/>
        <v>0</v>
      </c>
      <c r="BK216" s="240">
        <f t="shared" si="31"/>
        <v>0</v>
      </c>
      <c r="BL216" s="240">
        <f t="shared" si="32"/>
        <v>0</v>
      </c>
      <c r="BM216" s="240">
        <f t="shared" si="33"/>
        <v>0</v>
      </c>
      <c r="BN216" s="240">
        <f t="shared" si="34"/>
        <v>0</v>
      </c>
      <c r="BO216" s="240">
        <f t="shared" si="35"/>
        <v>0</v>
      </c>
      <c r="BP216" s="240">
        <f t="shared" si="36"/>
        <v>0</v>
      </c>
      <c r="BQ216" s="240">
        <f t="shared" si="37"/>
        <v>0</v>
      </c>
      <c r="BR216" s="240">
        <f t="shared" si="38"/>
        <v>0</v>
      </c>
      <c r="BS216" s="240">
        <f t="shared" si="39"/>
        <v>0</v>
      </c>
      <c r="BT216" s="240">
        <f t="shared" si="40"/>
        <v>0</v>
      </c>
      <c r="BU216" s="240">
        <f t="shared" si="41"/>
        <v>0</v>
      </c>
      <c r="BV216" s="240">
        <f t="shared" si="42"/>
        <v>0</v>
      </c>
      <c r="BW216" s="240">
        <f t="shared" si="43"/>
        <v>0</v>
      </c>
      <c r="BX216" s="240">
        <f t="shared" si="44"/>
        <v>0</v>
      </c>
    </row>
    <row r="217" spans="53:76" x14ac:dyDescent="0.25">
      <c r="BA217" s="240">
        <f t="shared" si="21"/>
        <v>10</v>
      </c>
      <c r="BB217" s="242" t="str">
        <f t="shared" si="22"/>
        <v>Bankruptcy or Indebtedness from  Non-Financial Institutions/Money Lenders</v>
      </c>
      <c r="BC217" s="240">
        <f t="shared" si="23"/>
        <v>0</v>
      </c>
      <c r="BD217" s="240">
        <f t="shared" si="24"/>
        <v>0</v>
      </c>
      <c r="BE217" s="240">
        <f t="shared" si="25"/>
        <v>0</v>
      </c>
      <c r="BF217" s="240">
        <f t="shared" si="26"/>
        <v>0</v>
      </c>
      <c r="BG217" s="240">
        <f t="shared" si="27"/>
        <v>0</v>
      </c>
      <c r="BH217" s="240">
        <f t="shared" si="28"/>
        <v>0</v>
      </c>
      <c r="BI217" s="240">
        <f t="shared" si="29"/>
        <v>0</v>
      </c>
      <c r="BJ217" s="240">
        <f t="shared" si="30"/>
        <v>0</v>
      </c>
      <c r="BK217" s="240">
        <f t="shared" si="31"/>
        <v>0</v>
      </c>
      <c r="BL217" s="240">
        <f t="shared" si="32"/>
        <v>0</v>
      </c>
      <c r="BM217" s="240">
        <f t="shared" si="33"/>
        <v>0</v>
      </c>
      <c r="BN217" s="240">
        <f t="shared" si="34"/>
        <v>0</v>
      </c>
      <c r="BO217" s="240">
        <f t="shared" si="35"/>
        <v>0</v>
      </c>
      <c r="BP217" s="240">
        <f t="shared" si="36"/>
        <v>0</v>
      </c>
      <c r="BQ217" s="240">
        <f t="shared" si="37"/>
        <v>0</v>
      </c>
      <c r="BR217" s="240">
        <f t="shared" si="38"/>
        <v>0</v>
      </c>
      <c r="BS217" s="240">
        <f t="shared" si="39"/>
        <v>0</v>
      </c>
      <c r="BT217" s="240">
        <f t="shared" si="40"/>
        <v>0</v>
      </c>
      <c r="BU217" s="240">
        <f t="shared" si="41"/>
        <v>0</v>
      </c>
      <c r="BV217" s="240">
        <f t="shared" si="42"/>
        <v>0</v>
      </c>
      <c r="BW217" s="240">
        <f t="shared" si="43"/>
        <v>0</v>
      </c>
      <c r="BX217" s="240">
        <f t="shared" si="44"/>
        <v>0</v>
      </c>
    </row>
    <row r="218" spans="53:76" x14ac:dyDescent="0.25">
      <c r="BA218" s="240">
        <f t="shared" si="21"/>
        <v>11</v>
      </c>
      <c r="BB218" s="242" t="str">
        <f t="shared" si="22"/>
        <v>Physical Abuse (rape etc.)</v>
      </c>
      <c r="BC218" s="240">
        <f t="shared" si="23"/>
        <v>0</v>
      </c>
      <c r="BD218" s="240">
        <f t="shared" si="24"/>
        <v>0</v>
      </c>
      <c r="BE218" s="240">
        <f t="shared" si="25"/>
        <v>0</v>
      </c>
      <c r="BF218" s="240">
        <f t="shared" si="26"/>
        <v>0</v>
      </c>
      <c r="BG218" s="240">
        <f t="shared" si="27"/>
        <v>0</v>
      </c>
      <c r="BH218" s="240">
        <f t="shared" si="28"/>
        <v>0</v>
      </c>
      <c r="BI218" s="240">
        <f t="shared" si="29"/>
        <v>0</v>
      </c>
      <c r="BJ218" s="240">
        <f t="shared" si="30"/>
        <v>0</v>
      </c>
      <c r="BK218" s="240">
        <f t="shared" si="31"/>
        <v>0</v>
      </c>
      <c r="BL218" s="240">
        <f t="shared" si="32"/>
        <v>0</v>
      </c>
      <c r="BM218" s="240">
        <f t="shared" si="33"/>
        <v>0</v>
      </c>
      <c r="BN218" s="240">
        <f t="shared" si="34"/>
        <v>0</v>
      </c>
      <c r="BO218" s="240">
        <f t="shared" si="35"/>
        <v>0</v>
      </c>
      <c r="BP218" s="240">
        <f t="shared" si="36"/>
        <v>0</v>
      </c>
      <c r="BQ218" s="240">
        <f t="shared" si="37"/>
        <v>0</v>
      </c>
      <c r="BR218" s="240">
        <f t="shared" si="38"/>
        <v>0</v>
      </c>
      <c r="BS218" s="240">
        <f t="shared" si="39"/>
        <v>0</v>
      </c>
      <c r="BT218" s="240">
        <f t="shared" si="40"/>
        <v>0</v>
      </c>
      <c r="BU218" s="240">
        <f t="shared" si="41"/>
        <v>0</v>
      </c>
      <c r="BV218" s="240">
        <f t="shared" si="42"/>
        <v>0</v>
      </c>
      <c r="BW218" s="240">
        <f t="shared" si="43"/>
        <v>0</v>
      </c>
      <c r="BX218" s="240">
        <f t="shared" si="44"/>
        <v>0</v>
      </c>
    </row>
    <row r="219" spans="53:76" x14ac:dyDescent="0.25">
      <c r="BA219" s="240">
        <f>B20</f>
        <v>12</v>
      </c>
      <c r="BB219" s="242" t="str">
        <f t="shared" ref="BB219:BB221" si="45">C20</f>
        <v>Causes not known</v>
      </c>
      <c r="BC219" s="240">
        <f t="shared" ref="BC219:BC221" si="46">D20</f>
        <v>0</v>
      </c>
      <c r="BD219" s="240">
        <f t="shared" ref="BD219:BD224" si="47">E20</f>
        <v>0</v>
      </c>
      <c r="BE219" s="240">
        <f t="shared" ref="BE219:BE224" si="48">F20</f>
        <v>0</v>
      </c>
      <c r="BF219" s="240">
        <f t="shared" ref="BF219:BF224" si="49">G20</f>
        <v>0</v>
      </c>
      <c r="BG219" s="240">
        <f t="shared" ref="BG219:BG224" si="50">H20</f>
        <v>0</v>
      </c>
      <c r="BH219" s="240">
        <f t="shared" ref="BH219:BH224" si="51">I20</f>
        <v>0</v>
      </c>
      <c r="BI219" s="240">
        <f t="shared" ref="BI219:BI224" si="52">J20</f>
        <v>0</v>
      </c>
      <c r="BJ219" s="240">
        <f t="shared" ref="BJ219:BJ224" si="53">K20</f>
        <v>0</v>
      </c>
      <c r="BK219" s="240">
        <f t="shared" ref="BK219:BK224" si="54">L20</f>
        <v>0</v>
      </c>
      <c r="BL219" s="240">
        <f t="shared" ref="BL219:BL224" si="55">M20</f>
        <v>0</v>
      </c>
      <c r="BM219" s="240">
        <f t="shared" ref="BM219:BM224" si="56">N20</f>
        <v>0</v>
      </c>
      <c r="BN219" s="240">
        <f t="shared" ref="BN219:BN224" si="57">O20</f>
        <v>0</v>
      </c>
      <c r="BO219" s="240">
        <f t="shared" ref="BO219:BO224" si="58">P20</f>
        <v>0</v>
      </c>
      <c r="BP219" s="240">
        <f t="shared" ref="BP219:BP224" si="59">Q20</f>
        <v>0</v>
      </c>
      <c r="BQ219" s="240">
        <f t="shared" ref="BQ219:BQ224" si="60">R20</f>
        <v>0</v>
      </c>
      <c r="BR219" s="240">
        <f t="shared" ref="BR219:BR224" si="61">S20</f>
        <v>0</v>
      </c>
      <c r="BS219" s="240">
        <f t="shared" ref="BS219:BS224" si="62">T20</f>
        <v>0</v>
      </c>
      <c r="BT219" s="240">
        <f t="shared" ref="BT219:BT224" si="63">U20</f>
        <v>0</v>
      </c>
      <c r="BU219" s="240">
        <f t="shared" ref="BU219:BU224" si="64">V20</f>
        <v>0</v>
      </c>
      <c r="BV219" s="240">
        <f t="shared" ref="BV219:BV224" si="65">W20</f>
        <v>0</v>
      </c>
      <c r="BW219" s="240">
        <f t="shared" ref="BW219:BW224" si="66">X20</f>
        <v>0</v>
      </c>
      <c r="BX219" s="240">
        <f t="shared" ref="BX219:BX224" si="67">Y20</f>
        <v>0</v>
      </c>
    </row>
    <row r="220" spans="53:76" x14ac:dyDescent="0.25">
      <c r="BA220" s="240">
        <f>B21</f>
        <v>13</v>
      </c>
      <c r="BB220" s="242" t="str">
        <f t="shared" si="45"/>
        <v>Other causes</v>
      </c>
      <c r="BC220" s="240">
        <f t="shared" si="46"/>
        <v>0</v>
      </c>
      <c r="BD220" s="240">
        <f t="shared" si="47"/>
        <v>0</v>
      </c>
      <c r="BE220" s="240">
        <f t="shared" si="48"/>
        <v>0</v>
      </c>
      <c r="BF220" s="240">
        <f t="shared" si="49"/>
        <v>0</v>
      </c>
      <c r="BG220" s="240">
        <f t="shared" si="50"/>
        <v>0</v>
      </c>
      <c r="BH220" s="240">
        <f t="shared" si="51"/>
        <v>0</v>
      </c>
      <c r="BI220" s="240">
        <f t="shared" si="52"/>
        <v>0</v>
      </c>
      <c r="BJ220" s="240">
        <f t="shared" si="53"/>
        <v>0</v>
      </c>
      <c r="BK220" s="240">
        <f t="shared" si="54"/>
        <v>0</v>
      </c>
      <c r="BL220" s="240">
        <f t="shared" si="55"/>
        <v>0</v>
      </c>
      <c r="BM220" s="240">
        <f t="shared" si="56"/>
        <v>0</v>
      </c>
      <c r="BN220" s="240">
        <f t="shared" si="57"/>
        <v>0</v>
      </c>
      <c r="BO220" s="240">
        <f t="shared" si="58"/>
        <v>0</v>
      </c>
      <c r="BP220" s="240">
        <f t="shared" si="59"/>
        <v>0</v>
      </c>
      <c r="BQ220" s="240">
        <f t="shared" si="60"/>
        <v>0</v>
      </c>
      <c r="BR220" s="240">
        <f t="shared" si="61"/>
        <v>0</v>
      </c>
      <c r="BS220" s="240">
        <f t="shared" si="62"/>
        <v>0</v>
      </c>
      <c r="BT220" s="240">
        <f t="shared" si="63"/>
        <v>0</v>
      </c>
      <c r="BU220" s="240">
        <f t="shared" si="64"/>
        <v>0</v>
      </c>
      <c r="BV220" s="240">
        <f t="shared" si="65"/>
        <v>0</v>
      </c>
      <c r="BW220" s="240">
        <f t="shared" si="66"/>
        <v>0</v>
      </c>
      <c r="BX220" s="240">
        <f t="shared" si="67"/>
        <v>0</v>
      </c>
    </row>
    <row r="221" spans="53:76" x14ac:dyDescent="0.25">
      <c r="BA221" s="240">
        <f>B22</f>
        <v>14</v>
      </c>
      <c r="BB221" s="242" t="str">
        <f t="shared" si="45"/>
        <v>Total (sum of Sl. 1 to 13)</v>
      </c>
      <c r="BC221" s="240">
        <f t="shared" si="46"/>
        <v>0</v>
      </c>
      <c r="BD221" s="240">
        <f t="shared" si="47"/>
        <v>0</v>
      </c>
      <c r="BE221" s="240">
        <f t="shared" si="48"/>
        <v>0</v>
      </c>
      <c r="BF221" s="240">
        <f t="shared" si="49"/>
        <v>1</v>
      </c>
      <c r="BG221" s="240">
        <f t="shared" si="50"/>
        <v>1</v>
      </c>
      <c r="BH221" s="240">
        <f t="shared" si="51"/>
        <v>0</v>
      </c>
      <c r="BI221" s="240">
        <f t="shared" si="52"/>
        <v>2</v>
      </c>
      <c r="BJ221" s="240">
        <f t="shared" si="53"/>
        <v>0</v>
      </c>
      <c r="BK221" s="240">
        <f t="shared" si="54"/>
        <v>0</v>
      </c>
      <c r="BL221" s="240">
        <f t="shared" si="55"/>
        <v>0</v>
      </c>
      <c r="BM221" s="240">
        <f t="shared" si="56"/>
        <v>0</v>
      </c>
      <c r="BN221" s="240">
        <f t="shared" si="57"/>
        <v>0</v>
      </c>
      <c r="BO221" s="240">
        <f t="shared" si="58"/>
        <v>0</v>
      </c>
      <c r="BP221" s="240">
        <f t="shared" si="59"/>
        <v>0</v>
      </c>
      <c r="BQ221" s="240">
        <f t="shared" si="60"/>
        <v>0</v>
      </c>
      <c r="BR221" s="240">
        <f t="shared" si="61"/>
        <v>0</v>
      </c>
      <c r="BS221" s="240">
        <f t="shared" si="62"/>
        <v>0</v>
      </c>
      <c r="BT221" s="240">
        <f t="shared" si="63"/>
        <v>0</v>
      </c>
      <c r="BU221" s="240">
        <f t="shared" si="64"/>
        <v>0</v>
      </c>
      <c r="BV221" s="240">
        <f t="shared" si="65"/>
        <v>0</v>
      </c>
      <c r="BW221" s="240">
        <f t="shared" si="66"/>
        <v>0</v>
      </c>
      <c r="BX221" s="240">
        <f t="shared" si="67"/>
        <v>2</v>
      </c>
    </row>
    <row r="222" spans="53:76" ht="24.95" customHeight="1" x14ac:dyDescent="0.25">
      <c r="BA222" s="593" t="str">
        <f>A23</f>
        <v>PROFORMA–XV VALUES [6.2 Agricultural labourers]</v>
      </c>
      <c r="BB222" s="594"/>
      <c r="BC222" s="513">
        <f>D23</f>
        <v>0</v>
      </c>
      <c r="BD222" s="513">
        <f t="shared" si="47"/>
        <v>0</v>
      </c>
      <c r="BE222" s="513">
        <f t="shared" si="48"/>
        <v>0</v>
      </c>
      <c r="BF222" s="513">
        <f t="shared" si="49"/>
        <v>1</v>
      </c>
      <c r="BG222" s="513">
        <f t="shared" si="50"/>
        <v>1</v>
      </c>
      <c r="BH222" s="513">
        <f t="shared" si="51"/>
        <v>0</v>
      </c>
      <c r="BI222" s="513">
        <f t="shared" si="52"/>
        <v>2</v>
      </c>
      <c r="BJ222" s="513">
        <f t="shared" si="53"/>
        <v>0</v>
      </c>
      <c r="BK222" s="513">
        <f t="shared" si="54"/>
        <v>0</v>
      </c>
      <c r="BL222" s="513">
        <f t="shared" si="55"/>
        <v>0</v>
      </c>
      <c r="BM222" s="513">
        <f t="shared" si="56"/>
        <v>0</v>
      </c>
      <c r="BN222" s="513">
        <f t="shared" si="57"/>
        <v>0</v>
      </c>
      <c r="BO222" s="513">
        <f t="shared" si="58"/>
        <v>0</v>
      </c>
      <c r="BP222" s="513">
        <f t="shared" si="59"/>
        <v>0</v>
      </c>
      <c r="BQ222" s="513">
        <f t="shared" si="60"/>
        <v>0</v>
      </c>
      <c r="BR222" s="513">
        <f t="shared" si="61"/>
        <v>0</v>
      </c>
      <c r="BS222" s="513">
        <f t="shared" si="62"/>
        <v>0</v>
      </c>
      <c r="BT222" s="513">
        <f t="shared" si="63"/>
        <v>0</v>
      </c>
      <c r="BU222" s="513">
        <f t="shared" si="64"/>
        <v>0</v>
      </c>
      <c r="BV222" s="513">
        <f t="shared" si="65"/>
        <v>0</v>
      </c>
      <c r="BW222" s="513">
        <f t="shared" si="66"/>
        <v>0</v>
      </c>
      <c r="BX222" s="513">
        <f t="shared" si="67"/>
        <v>2</v>
      </c>
    </row>
    <row r="223" spans="53:76" ht="24.95" customHeight="1" x14ac:dyDescent="0.25">
      <c r="BA223" s="593" t="str">
        <f t="shared" ref="BA223:BA225" si="68">A24</f>
        <v>VALIDATION  WITH PROFORMA–XV [6.2 Agricultural labourers]</v>
      </c>
      <c r="BB223" s="594"/>
      <c r="BC223" s="513" t="str">
        <f>D24</f>
        <v/>
      </c>
      <c r="BD223" s="513" t="str">
        <f t="shared" si="47"/>
        <v/>
      </c>
      <c r="BE223" s="513" t="str">
        <f t="shared" si="48"/>
        <v/>
      </c>
      <c r="BF223" s="513" t="str">
        <f t="shared" si="49"/>
        <v/>
      </c>
      <c r="BG223" s="513" t="str">
        <f t="shared" si="50"/>
        <v/>
      </c>
      <c r="BH223" s="513" t="str">
        <f t="shared" si="51"/>
        <v/>
      </c>
      <c r="BI223" s="513" t="str">
        <f t="shared" si="52"/>
        <v/>
      </c>
      <c r="BJ223" s="513" t="str">
        <f t="shared" si="53"/>
        <v/>
      </c>
      <c r="BK223" s="513" t="str">
        <f t="shared" si="54"/>
        <v/>
      </c>
      <c r="BL223" s="513" t="str">
        <f t="shared" si="55"/>
        <v/>
      </c>
      <c r="BM223" s="513" t="str">
        <f t="shared" si="56"/>
        <v/>
      </c>
      <c r="BN223" s="513" t="str">
        <f t="shared" si="57"/>
        <v/>
      </c>
      <c r="BO223" s="513" t="str">
        <f t="shared" si="58"/>
        <v/>
      </c>
      <c r="BP223" s="513" t="str">
        <f t="shared" si="59"/>
        <v/>
      </c>
      <c r="BQ223" s="513" t="str">
        <f t="shared" si="60"/>
        <v/>
      </c>
      <c r="BR223" s="513" t="str">
        <f t="shared" si="61"/>
        <v/>
      </c>
      <c r="BS223" s="513" t="str">
        <f t="shared" si="62"/>
        <v/>
      </c>
      <c r="BT223" s="513" t="str">
        <f t="shared" si="63"/>
        <v/>
      </c>
      <c r="BU223" s="513" t="str">
        <f t="shared" si="64"/>
        <v/>
      </c>
      <c r="BV223" s="513" t="str">
        <f t="shared" si="65"/>
        <v/>
      </c>
      <c r="BW223" s="513" t="str">
        <f t="shared" si="66"/>
        <v/>
      </c>
      <c r="BX223" s="513" t="str">
        <f t="shared" si="67"/>
        <v/>
      </c>
    </row>
    <row r="224" spans="53:76" ht="24.95" customHeight="1" x14ac:dyDescent="0.25">
      <c r="BA224" s="593" t="str">
        <f t="shared" si="68"/>
        <v xml:space="preserve"> PROFORMA–XIV VALUES [Sl.–21 (Total)]</v>
      </c>
      <c r="BB224" s="594"/>
      <c r="BC224" s="513">
        <f>D25</f>
        <v>2</v>
      </c>
      <c r="BD224" s="513">
        <f t="shared" si="47"/>
        <v>6</v>
      </c>
      <c r="BE224" s="513">
        <f t="shared" si="48"/>
        <v>65</v>
      </c>
      <c r="BF224" s="513">
        <f t="shared" si="49"/>
        <v>79</v>
      </c>
      <c r="BG224" s="513">
        <f t="shared" si="50"/>
        <v>81</v>
      </c>
      <c r="BH224" s="513">
        <f t="shared" si="51"/>
        <v>16</v>
      </c>
      <c r="BI224" s="513">
        <f t="shared" si="52"/>
        <v>249</v>
      </c>
      <c r="BJ224" s="513">
        <f t="shared" si="53"/>
        <v>1</v>
      </c>
      <c r="BK224" s="513">
        <f t="shared" si="54"/>
        <v>4</v>
      </c>
      <c r="BL224" s="513">
        <f t="shared" si="55"/>
        <v>19</v>
      </c>
      <c r="BM224" s="513">
        <f t="shared" si="56"/>
        <v>21</v>
      </c>
      <c r="BN224" s="513">
        <f t="shared" si="57"/>
        <v>11</v>
      </c>
      <c r="BO224" s="513">
        <f t="shared" si="58"/>
        <v>16</v>
      </c>
      <c r="BP224" s="513">
        <f t="shared" si="59"/>
        <v>72</v>
      </c>
      <c r="BQ224" s="513">
        <f t="shared" si="60"/>
        <v>0</v>
      </c>
      <c r="BR224" s="513">
        <f t="shared" si="61"/>
        <v>0</v>
      </c>
      <c r="BS224" s="513">
        <f t="shared" si="62"/>
        <v>0</v>
      </c>
      <c r="BT224" s="513">
        <f t="shared" si="63"/>
        <v>0</v>
      </c>
      <c r="BU224" s="513">
        <f t="shared" si="64"/>
        <v>0</v>
      </c>
      <c r="BV224" s="513">
        <f t="shared" si="65"/>
        <v>0</v>
      </c>
      <c r="BW224" s="513">
        <f t="shared" si="66"/>
        <v>0</v>
      </c>
      <c r="BX224" s="513">
        <f t="shared" si="67"/>
        <v>321</v>
      </c>
    </row>
    <row r="225" spans="53:77" ht="24.95" customHeight="1" x14ac:dyDescent="0.25">
      <c r="BA225" s="593" t="str">
        <f t="shared" si="68"/>
        <v>VALIDATION  WITH  PROFORMA–XIV [Sl.–21 (Total)]</v>
      </c>
      <c r="BB225" s="594"/>
      <c r="BC225" s="513" t="str">
        <f t="shared" ref="BC225:BC227" si="69">D26</f>
        <v/>
      </c>
      <c r="BD225" s="513" t="str">
        <f t="shared" ref="BD225:BD227" si="70">E26</f>
        <v/>
      </c>
      <c r="BE225" s="513" t="str">
        <f t="shared" ref="BE225:BE227" si="71">F26</f>
        <v/>
      </c>
      <c r="BF225" s="513" t="str">
        <f t="shared" ref="BF225:BF227" si="72">G26</f>
        <v/>
      </c>
      <c r="BG225" s="513" t="str">
        <f t="shared" ref="BG225:BG227" si="73">H26</f>
        <v/>
      </c>
      <c r="BH225" s="513" t="str">
        <f t="shared" ref="BH225:BH227" si="74">I26</f>
        <v/>
      </c>
      <c r="BI225" s="513" t="str">
        <f t="shared" ref="BI225:BI227" si="75">J26</f>
        <v/>
      </c>
      <c r="BJ225" s="513" t="str">
        <f t="shared" ref="BJ225:BJ227" si="76">K26</f>
        <v/>
      </c>
      <c r="BK225" s="513" t="str">
        <f t="shared" ref="BK225:BK227" si="77">L26</f>
        <v/>
      </c>
      <c r="BL225" s="513" t="str">
        <f t="shared" ref="BL225:BL227" si="78">M26</f>
        <v/>
      </c>
      <c r="BM225" s="513" t="str">
        <f t="shared" ref="BM225:BM227" si="79">N26</f>
        <v/>
      </c>
      <c r="BN225" s="513" t="str">
        <f t="shared" ref="BN225:BN227" si="80">O26</f>
        <v/>
      </c>
      <c r="BO225" s="513" t="str">
        <f t="shared" ref="BO225:BO227" si="81">P26</f>
        <v/>
      </c>
      <c r="BP225" s="513" t="str">
        <f t="shared" ref="BP225:BP227" si="82">Q26</f>
        <v/>
      </c>
      <c r="BQ225" s="513" t="str">
        <f t="shared" ref="BQ225:BQ227" si="83">R26</f>
        <v/>
      </c>
      <c r="BR225" s="513" t="str">
        <f t="shared" ref="BR225:BR227" si="84">S26</f>
        <v/>
      </c>
      <c r="BS225" s="513" t="str">
        <f t="shared" ref="BS225:BS227" si="85">T26</f>
        <v/>
      </c>
      <c r="BT225" s="513" t="str">
        <f t="shared" ref="BT225:BT227" si="86">U26</f>
        <v/>
      </c>
      <c r="BU225" s="513" t="str">
        <f t="shared" ref="BU225:BU227" si="87">V26</f>
        <v/>
      </c>
      <c r="BV225" s="513" t="str">
        <f t="shared" ref="BV225:BV227" si="88">W26</f>
        <v/>
      </c>
      <c r="BW225" s="513" t="str">
        <f t="shared" ref="BW225:BW227" si="89">X26</f>
        <v/>
      </c>
      <c r="BX225" s="513" t="str">
        <f t="shared" ref="BX225:BX227" si="90">Y26</f>
        <v/>
      </c>
    </row>
    <row r="226" spans="53:77" ht="24.95" customHeight="1" x14ac:dyDescent="0.25">
      <c r="BA226" s="593" t="str">
        <f>A27</f>
        <v>SL-12 ABNORMAL VARIATION IN "CAUSES NOT KNOWN" DATA</v>
      </c>
      <c r="BB226" s="594"/>
      <c r="BC226" s="513" t="str">
        <f t="shared" si="69"/>
        <v/>
      </c>
      <c r="BD226" s="513" t="str">
        <f t="shared" si="70"/>
        <v/>
      </c>
      <c r="BE226" s="513" t="str">
        <f t="shared" si="71"/>
        <v/>
      </c>
      <c r="BF226" s="513" t="str">
        <f t="shared" si="72"/>
        <v/>
      </c>
      <c r="BG226" s="513" t="str">
        <f t="shared" si="73"/>
        <v/>
      </c>
      <c r="BH226" s="513" t="str">
        <f t="shared" si="74"/>
        <v/>
      </c>
      <c r="BI226" s="513" t="str">
        <f t="shared" si="75"/>
        <v/>
      </c>
      <c r="BJ226" s="513" t="str">
        <f t="shared" si="76"/>
        <v/>
      </c>
      <c r="BK226" s="513" t="str">
        <f t="shared" si="77"/>
        <v/>
      </c>
      <c r="BL226" s="513" t="str">
        <f t="shared" si="78"/>
        <v/>
      </c>
      <c r="BM226" s="513" t="str">
        <f t="shared" si="79"/>
        <v/>
      </c>
      <c r="BN226" s="513" t="str">
        <f t="shared" si="80"/>
        <v/>
      </c>
      <c r="BO226" s="513" t="str">
        <f t="shared" si="81"/>
        <v/>
      </c>
      <c r="BP226" s="513" t="str">
        <f t="shared" si="82"/>
        <v/>
      </c>
      <c r="BQ226" s="513" t="str">
        <f t="shared" si="83"/>
        <v/>
      </c>
      <c r="BR226" s="513" t="str">
        <f t="shared" si="84"/>
        <v/>
      </c>
      <c r="BS226" s="513" t="str">
        <f t="shared" si="85"/>
        <v/>
      </c>
      <c r="BT226" s="513" t="str">
        <f t="shared" si="86"/>
        <v/>
      </c>
      <c r="BU226" s="513" t="str">
        <f t="shared" si="87"/>
        <v/>
      </c>
      <c r="BV226" s="513" t="str">
        <f t="shared" si="88"/>
        <v/>
      </c>
      <c r="BW226" s="513" t="str">
        <f t="shared" si="89"/>
        <v/>
      </c>
      <c r="BX226" s="513" t="str">
        <f t="shared" si="90"/>
        <v/>
      </c>
    </row>
    <row r="227" spans="53:77" ht="24.95" customHeight="1" x14ac:dyDescent="0.25">
      <c r="BA227" s="593" t="str">
        <f t="shared" ref="BA227" si="91">A28</f>
        <v>SL-13 ABNORMAL VARIATION IN "OTHER CAUSES" DATA</v>
      </c>
      <c r="BB227" s="594"/>
      <c r="BC227" s="513" t="str">
        <f t="shared" si="69"/>
        <v/>
      </c>
      <c r="BD227" s="513" t="str">
        <f t="shared" si="70"/>
        <v/>
      </c>
      <c r="BE227" s="513" t="str">
        <f t="shared" si="71"/>
        <v/>
      </c>
      <c r="BF227" s="513" t="str">
        <f t="shared" si="72"/>
        <v/>
      </c>
      <c r="BG227" s="513" t="str">
        <f t="shared" si="73"/>
        <v/>
      </c>
      <c r="BH227" s="513" t="str">
        <f t="shared" si="74"/>
        <v/>
      </c>
      <c r="BI227" s="513" t="str">
        <f t="shared" si="75"/>
        <v/>
      </c>
      <c r="BJ227" s="513" t="str">
        <f t="shared" si="76"/>
        <v/>
      </c>
      <c r="BK227" s="513" t="str">
        <f t="shared" si="77"/>
        <v/>
      </c>
      <c r="BL227" s="513" t="str">
        <f t="shared" si="78"/>
        <v/>
      </c>
      <c r="BM227" s="513" t="str">
        <f t="shared" si="79"/>
        <v/>
      </c>
      <c r="BN227" s="513" t="str">
        <f t="shared" si="80"/>
        <v/>
      </c>
      <c r="BO227" s="513" t="str">
        <f t="shared" si="81"/>
        <v/>
      </c>
      <c r="BP227" s="513" t="str">
        <f t="shared" si="82"/>
        <v/>
      </c>
      <c r="BQ227" s="513" t="str">
        <f t="shared" si="83"/>
        <v/>
      </c>
      <c r="BR227" s="513" t="str">
        <f t="shared" si="84"/>
        <v/>
      </c>
      <c r="BS227" s="513" t="str">
        <f t="shared" si="85"/>
        <v/>
      </c>
      <c r="BT227" s="513" t="str">
        <f t="shared" si="86"/>
        <v/>
      </c>
      <c r="BU227" s="513" t="str">
        <f t="shared" si="87"/>
        <v/>
      </c>
      <c r="BV227" s="513" t="str">
        <f t="shared" si="88"/>
        <v/>
      </c>
      <c r="BW227" s="513" t="str">
        <f t="shared" si="89"/>
        <v/>
      </c>
      <c r="BX227" s="513" t="str">
        <f t="shared" si="90"/>
        <v/>
      </c>
    </row>
    <row r="228" spans="53:77" x14ac:dyDescent="0.25">
      <c r="BA228" s="237"/>
      <c r="BB228" s="237"/>
      <c r="BC228" s="237"/>
      <c r="BD228" s="237"/>
      <c r="BE228" s="237"/>
      <c r="BF228" s="237"/>
      <c r="BG228" s="237"/>
      <c r="BH228" s="237"/>
      <c r="BI228" s="237"/>
      <c r="BJ228" s="237"/>
      <c r="BK228" s="237"/>
      <c r="BL228" s="237"/>
      <c r="BM228" s="237"/>
      <c r="BN228" s="237"/>
      <c r="BO228" s="237"/>
      <c r="BP228" s="237"/>
      <c r="BQ228" s="237"/>
      <c r="BR228" s="237"/>
      <c r="BS228" s="237"/>
      <c r="BT228" s="237"/>
      <c r="BU228" s="237"/>
      <c r="BV228" s="237"/>
      <c r="BW228" s="237"/>
      <c r="BX228" s="237"/>
      <c r="BY228" s="237"/>
    </row>
    <row r="229" spans="53:77" x14ac:dyDescent="0.25">
      <c r="BA229" s="237"/>
      <c r="BB229" s="237"/>
      <c r="BC229" s="237"/>
      <c r="BD229" s="237"/>
      <c r="BE229" s="237"/>
      <c r="BF229" s="237"/>
      <c r="BG229" s="237"/>
      <c r="BH229" s="237"/>
      <c r="BI229" s="237"/>
      <c r="BJ229" s="237"/>
      <c r="BK229" s="237"/>
      <c r="BL229" s="237"/>
      <c r="BM229" s="237"/>
      <c r="BN229" s="237"/>
      <c r="BO229" s="237"/>
      <c r="BP229" s="237"/>
      <c r="BQ229" s="237"/>
      <c r="BR229" s="237"/>
      <c r="BS229" s="237"/>
      <c r="BT229" s="237"/>
      <c r="BU229" s="237"/>
      <c r="BV229" s="237"/>
      <c r="BW229" s="237"/>
      <c r="BX229" s="237"/>
      <c r="BY229" s="237"/>
    </row>
    <row r="230" spans="53:77" x14ac:dyDescent="0.25">
      <c r="BA230" s="237"/>
      <c r="BB230" s="237"/>
      <c r="BC230" s="237"/>
      <c r="BD230" s="237"/>
      <c r="BE230" s="237"/>
      <c r="BF230" s="237"/>
      <c r="BG230" s="237"/>
      <c r="BH230" s="237"/>
      <c r="BI230" s="237"/>
      <c r="BJ230" s="237"/>
      <c r="BK230" s="237"/>
      <c r="BL230" s="237"/>
      <c r="BM230" s="237"/>
      <c r="BN230" s="237"/>
      <c r="BO230" s="237"/>
      <c r="BP230" s="237"/>
      <c r="BQ230" s="237"/>
      <c r="BR230" s="237"/>
      <c r="BS230" s="237"/>
      <c r="BT230" s="237"/>
      <c r="BU230" s="237"/>
      <c r="BV230" s="237"/>
      <c r="BW230" s="237"/>
      <c r="BX230" s="237"/>
      <c r="BY230" s="237"/>
    </row>
    <row r="231" spans="53:77" x14ac:dyDescent="0.25">
      <c r="BA231" s="237"/>
      <c r="BB231" s="237"/>
      <c r="BC231" s="237"/>
      <c r="BD231" s="237"/>
      <c r="BE231" s="237"/>
      <c r="BF231" s="237"/>
      <c r="BG231" s="237"/>
      <c r="BH231" s="237"/>
      <c r="BI231" s="237"/>
      <c r="BJ231" s="237"/>
      <c r="BK231" s="237"/>
      <c r="BL231" s="237"/>
      <c r="BM231" s="237"/>
      <c r="BN231" s="237"/>
      <c r="BO231" s="237"/>
      <c r="BP231" s="237"/>
      <c r="BQ231" s="237"/>
      <c r="BR231" s="237"/>
      <c r="BS231" s="237"/>
      <c r="BT231" s="237"/>
      <c r="BU231" s="237"/>
      <c r="BV231" s="237"/>
      <c r="BW231" s="237"/>
      <c r="BX231" s="237"/>
      <c r="BY231" s="237"/>
    </row>
    <row r="232" spans="53:77" x14ac:dyDescent="0.25">
      <c r="BA232" s="237"/>
      <c r="BB232" s="237"/>
      <c r="BC232" s="237"/>
      <c r="BD232" s="237"/>
      <c r="BE232" s="237"/>
      <c r="BF232" s="237"/>
      <c r="BG232" s="237"/>
      <c r="BH232" s="237"/>
      <c r="BI232" s="237"/>
      <c r="BJ232" s="237"/>
      <c r="BK232" s="237"/>
      <c r="BL232" s="237"/>
      <c r="BM232" s="237"/>
      <c r="BN232" s="237"/>
      <c r="BO232" s="237"/>
      <c r="BP232" s="237"/>
      <c r="BQ232" s="237"/>
      <c r="BR232" s="237"/>
      <c r="BS232" s="237"/>
      <c r="BT232" s="237"/>
      <c r="BU232" s="237"/>
      <c r="BV232" s="237"/>
      <c r="BW232" s="237"/>
      <c r="BX232" s="237"/>
      <c r="BY232" s="237"/>
    </row>
    <row r="233" spans="53:77" x14ac:dyDescent="0.25">
      <c r="BA233" s="237"/>
      <c r="BB233" s="237"/>
      <c r="BC233" s="237"/>
      <c r="BD233" s="237"/>
      <c r="BE233" s="237"/>
      <c r="BF233" s="237"/>
      <c r="BG233" s="237"/>
      <c r="BH233" s="237"/>
      <c r="BI233" s="237"/>
      <c r="BJ233" s="237"/>
      <c r="BK233" s="237"/>
      <c r="BL233" s="237"/>
      <c r="BM233" s="237"/>
      <c r="BN233" s="237"/>
      <c r="BO233" s="237"/>
      <c r="BP233" s="237"/>
      <c r="BQ233" s="237"/>
      <c r="BR233" s="237"/>
      <c r="BS233" s="237"/>
      <c r="BT233" s="237"/>
      <c r="BU233" s="237"/>
      <c r="BV233" s="237"/>
      <c r="BW233" s="237"/>
      <c r="BX233" s="237"/>
      <c r="BY233" s="237"/>
    </row>
    <row r="492" spans="3:3" s="515" customFormat="1" ht="12.75" x14ac:dyDescent="0.2">
      <c r="C492" s="514"/>
    </row>
    <row r="493" spans="3:3" s="515" customFormat="1" ht="12.75" x14ac:dyDescent="0.2"/>
    <row r="494" spans="3:3" s="515" customFormat="1" ht="12.75" x14ac:dyDescent="0.2"/>
    <row r="500" spans="1:26" s="515" customFormat="1" x14ac:dyDescent="0.25">
      <c r="A500" s="516" t="s">
        <v>450</v>
      </c>
      <c r="B500" s="516" t="s">
        <v>451</v>
      </c>
      <c r="C500" s="516" t="s">
        <v>452</v>
      </c>
      <c r="D500" s="516" t="s">
        <v>453</v>
      </c>
      <c r="E500" s="516" t="s">
        <v>1365</v>
      </c>
      <c r="F500" s="516" t="s">
        <v>454</v>
      </c>
      <c r="G500" s="516" t="s">
        <v>455</v>
      </c>
      <c r="H500" s="516" t="s">
        <v>456</v>
      </c>
      <c r="I500" s="516" t="s">
        <v>457</v>
      </c>
      <c r="J500" s="516" t="s">
        <v>458</v>
      </c>
      <c r="K500" s="516" t="s">
        <v>459</v>
      </c>
      <c r="L500" s="516" t="s">
        <v>1366</v>
      </c>
      <c r="M500" s="516" t="s">
        <v>460</v>
      </c>
      <c r="N500" s="516" t="s">
        <v>461</v>
      </c>
      <c r="O500" s="516" t="s">
        <v>462</v>
      </c>
      <c r="P500" s="516" t="s">
        <v>463</v>
      </c>
      <c r="Q500" s="516" t="s">
        <v>464</v>
      </c>
      <c r="R500" s="516" t="s">
        <v>465</v>
      </c>
      <c r="S500" s="516" t="s">
        <v>1367</v>
      </c>
      <c r="T500" s="516" t="s">
        <v>466</v>
      </c>
      <c r="U500" s="516" t="s">
        <v>467</v>
      </c>
      <c r="V500" s="516" t="s">
        <v>468</v>
      </c>
      <c r="W500" s="516" t="s">
        <v>469</v>
      </c>
      <c r="X500" s="516" t="s">
        <v>470</v>
      </c>
      <c r="Y500" s="516" t="s">
        <v>471</v>
      </c>
      <c r="Z500" s="516" t="s">
        <v>150</v>
      </c>
    </row>
    <row r="501" spans="1:26" s="515" customFormat="1" ht="12.75" x14ac:dyDescent="0.2">
      <c r="A501" s="348">
        <f>IF(ADSI!$G$12="",ADSI!$H$16,ADSI!$H$12)</f>
        <v>6</v>
      </c>
      <c r="B501" s="348" t="str">
        <f ca="1">IF(ADSI!$G$12="",ADSI!$H$16,ADSI!$H$14)</f>
        <v/>
      </c>
      <c r="C501" s="517">
        <f t="shared" ref="C501:C514" si="92">A9</f>
        <v>1150</v>
      </c>
      <c r="D501" s="348">
        <f>ADSI!$K$12</f>
        <v>2021</v>
      </c>
      <c r="E501" s="518">
        <f>D9</f>
        <v>0</v>
      </c>
      <c r="F501" s="518">
        <f t="shared" ref="F501:Z501" si="93">E9</f>
        <v>0</v>
      </c>
      <c r="G501" s="518">
        <f t="shared" si="93"/>
        <v>0</v>
      </c>
      <c r="H501" s="518">
        <f t="shared" si="93"/>
        <v>0</v>
      </c>
      <c r="I501" s="518">
        <f t="shared" si="93"/>
        <v>0</v>
      </c>
      <c r="J501" s="518">
        <f t="shared" si="93"/>
        <v>0</v>
      </c>
      <c r="K501" s="518">
        <f t="shared" si="93"/>
        <v>0</v>
      </c>
      <c r="L501" s="518">
        <f t="shared" si="93"/>
        <v>0</v>
      </c>
      <c r="M501" s="518">
        <f t="shared" si="93"/>
        <v>0</v>
      </c>
      <c r="N501" s="518">
        <f t="shared" si="93"/>
        <v>0</v>
      </c>
      <c r="O501" s="518">
        <f t="shared" si="93"/>
        <v>0</v>
      </c>
      <c r="P501" s="518">
        <f t="shared" si="93"/>
        <v>0</v>
      </c>
      <c r="Q501" s="518">
        <f t="shared" si="93"/>
        <v>0</v>
      </c>
      <c r="R501" s="518">
        <f t="shared" si="93"/>
        <v>0</v>
      </c>
      <c r="S501" s="518">
        <f t="shared" si="93"/>
        <v>0</v>
      </c>
      <c r="T501" s="518">
        <f t="shared" si="93"/>
        <v>0</v>
      </c>
      <c r="U501" s="518">
        <f t="shared" si="93"/>
        <v>0</v>
      </c>
      <c r="V501" s="518">
        <f t="shared" si="93"/>
        <v>0</v>
      </c>
      <c r="W501" s="518">
        <f t="shared" si="93"/>
        <v>0</v>
      </c>
      <c r="X501" s="518">
        <f t="shared" si="93"/>
        <v>0</v>
      </c>
      <c r="Y501" s="518">
        <f t="shared" si="93"/>
        <v>0</v>
      </c>
      <c r="Z501" s="518">
        <f t="shared" si="93"/>
        <v>0</v>
      </c>
    </row>
    <row r="502" spans="1:26" s="515" customFormat="1" ht="12.75" x14ac:dyDescent="0.2">
      <c r="A502" s="348">
        <f>IF(ADSI!$G$12="",ADSI!$H$16,ADSI!$H$12)</f>
        <v>6</v>
      </c>
      <c r="B502" s="348" t="str">
        <f ca="1">IF(ADSI!$G$12="",ADSI!$H$16,ADSI!$H$14)</f>
        <v/>
      </c>
      <c r="C502" s="517">
        <f t="shared" si="92"/>
        <v>1151</v>
      </c>
      <c r="D502" s="348">
        <f>ADSI!$K$12</f>
        <v>2021</v>
      </c>
      <c r="E502" s="518">
        <f t="shared" ref="E502:Z502" si="94">D10</f>
        <v>0</v>
      </c>
      <c r="F502" s="518">
        <f t="shared" si="94"/>
        <v>0</v>
      </c>
      <c r="G502" s="518">
        <f t="shared" si="94"/>
        <v>0</v>
      </c>
      <c r="H502" s="518">
        <f t="shared" si="94"/>
        <v>0</v>
      </c>
      <c r="I502" s="518">
        <f t="shared" si="94"/>
        <v>0</v>
      </c>
      <c r="J502" s="518">
        <f t="shared" si="94"/>
        <v>0</v>
      </c>
      <c r="K502" s="518">
        <f t="shared" si="94"/>
        <v>0</v>
      </c>
      <c r="L502" s="518">
        <f t="shared" si="94"/>
        <v>0</v>
      </c>
      <c r="M502" s="518">
        <f t="shared" si="94"/>
        <v>0</v>
      </c>
      <c r="N502" s="518">
        <f t="shared" si="94"/>
        <v>0</v>
      </c>
      <c r="O502" s="518">
        <f t="shared" si="94"/>
        <v>0</v>
      </c>
      <c r="P502" s="518">
        <f t="shared" si="94"/>
        <v>0</v>
      </c>
      <c r="Q502" s="518">
        <f t="shared" si="94"/>
        <v>0</v>
      </c>
      <c r="R502" s="518">
        <f t="shared" si="94"/>
        <v>0</v>
      </c>
      <c r="S502" s="518">
        <f t="shared" si="94"/>
        <v>0</v>
      </c>
      <c r="T502" s="518">
        <f t="shared" si="94"/>
        <v>0</v>
      </c>
      <c r="U502" s="518">
        <f t="shared" si="94"/>
        <v>0</v>
      </c>
      <c r="V502" s="518">
        <f t="shared" si="94"/>
        <v>0</v>
      </c>
      <c r="W502" s="518">
        <f t="shared" si="94"/>
        <v>0</v>
      </c>
      <c r="X502" s="518">
        <f t="shared" si="94"/>
        <v>0</v>
      </c>
      <c r="Y502" s="518">
        <f t="shared" si="94"/>
        <v>0</v>
      </c>
      <c r="Z502" s="518">
        <f t="shared" si="94"/>
        <v>0</v>
      </c>
    </row>
    <row r="503" spans="1:26" s="515" customFormat="1" ht="12.75" x14ac:dyDescent="0.2">
      <c r="A503" s="348">
        <f>IF(ADSI!$G$12="",ADSI!$H$16,ADSI!$H$12)</f>
        <v>6</v>
      </c>
      <c r="B503" s="348" t="str">
        <f ca="1">IF(ADSI!$G$12="",ADSI!$H$16,ADSI!$H$14)</f>
        <v/>
      </c>
      <c r="C503" s="517">
        <f t="shared" si="92"/>
        <v>1152</v>
      </c>
      <c r="D503" s="348">
        <f>ADSI!$K$12</f>
        <v>2021</v>
      </c>
      <c r="E503" s="518">
        <f t="shared" ref="E503:Z503" si="95">D11</f>
        <v>0</v>
      </c>
      <c r="F503" s="518">
        <f t="shared" si="95"/>
        <v>0</v>
      </c>
      <c r="G503" s="518">
        <f t="shared" si="95"/>
        <v>0</v>
      </c>
      <c r="H503" s="518">
        <f t="shared" si="95"/>
        <v>0</v>
      </c>
      <c r="I503" s="518">
        <f t="shared" si="95"/>
        <v>0</v>
      </c>
      <c r="J503" s="518">
        <f t="shared" si="95"/>
        <v>0</v>
      </c>
      <c r="K503" s="518">
        <f t="shared" si="95"/>
        <v>0</v>
      </c>
      <c r="L503" s="518">
        <f t="shared" si="95"/>
        <v>0</v>
      </c>
      <c r="M503" s="518">
        <f t="shared" si="95"/>
        <v>0</v>
      </c>
      <c r="N503" s="518">
        <f t="shared" si="95"/>
        <v>0</v>
      </c>
      <c r="O503" s="518">
        <f t="shared" si="95"/>
        <v>0</v>
      </c>
      <c r="P503" s="518">
        <f t="shared" si="95"/>
        <v>0</v>
      </c>
      <c r="Q503" s="518">
        <f t="shared" si="95"/>
        <v>0</v>
      </c>
      <c r="R503" s="518">
        <f t="shared" si="95"/>
        <v>0</v>
      </c>
      <c r="S503" s="518">
        <f t="shared" si="95"/>
        <v>0</v>
      </c>
      <c r="T503" s="518">
        <f t="shared" si="95"/>
        <v>0</v>
      </c>
      <c r="U503" s="518">
        <f t="shared" si="95"/>
        <v>0</v>
      </c>
      <c r="V503" s="518">
        <f t="shared" si="95"/>
        <v>0</v>
      </c>
      <c r="W503" s="518">
        <f t="shared" si="95"/>
        <v>0</v>
      </c>
      <c r="X503" s="518">
        <f t="shared" si="95"/>
        <v>0</v>
      </c>
      <c r="Y503" s="518">
        <f t="shared" si="95"/>
        <v>0</v>
      </c>
      <c r="Z503" s="518">
        <f t="shared" si="95"/>
        <v>0</v>
      </c>
    </row>
    <row r="504" spans="1:26" x14ac:dyDescent="0.25">
      <c r="A504" s="348">
        <f>IF(ADSI!$G$12="",ADSI!$H$16,ADSI!$H$12)</f>
        <v>6</v>
      </c>
      <c r="B504" s="348" t="str">
        <f ca="1">IF(ADSI!$G$12="",ADSI!$H$16,ADSI!$H$14)</f>
        <v/>
      </c>
      <c r="C504" s="517">
        <f t="shared" si="92"/>
        <v>1153</v>
      </c>
      <c r="D504" s="348">
        <f>ADSI!$K$12</f>
        <v>2021</v>
      </c>
      <c r="E504" s="518">
        <f t="shared" ref="E504:Z504" si="96">D12</f>
        <v>0</v>
      </c>
      <c r="F504" s="518">
        <f t="shared" si="96"/>
        <v>0</v>
      </c>
      <c r="G504" s="518">
        <f t="shared" si="96"/>
        <v>0</v>
      </c>
      <c r="H504" s="518">
        <f t="shared" si="96"/>
        <v>0</v>
      </c>
      <c r="I504" s="518">
        <f t="shared" si="96"/>
        <v>0</v>
      </c>
      <c r="J504" s="518">
        <f t="shared" si="96"/>
        <v>0</v>
      </c>
      <c r="K504" s="518">
        <f t="shared" si="96"/>
        <v>0</v>
      </c>
      <c r="L504" s="518">
        <f t="shared" si="96"/>
        <v>0</v>
      </c>
      <c r="M504" s="518">
        <f t="shared" si="96"/>
        <v>0</v>
      </c>
      <c r="N504" s="518">
        <f t="shared" si="96"/>
        <v>0</v>
      </c>
      <c r="O504" s="518">
        <f t="shared" si="96"/>
        <v>0</v>
      </c>
      <c r="P504" s="518">
        <f t="shared" si="96"/>
        <v>0</v>
      </c>
      <c r="Q504" s="518">
        <f t="shared" si="96"/>
        <v>0</v>
      </c>
      <c r="R504" s="518">
        <f t="shared" si="96"/>
        <v>0</v>
      </c>
      <c r="S504" s="518">
        <f t="shared" si="96"/>
        <v>0</v>
      </c>
      <c r="T504" s="518">
        <f t="shared" si="96"/>
        <v>0</v>
      </c>
      <c r="U504" s="518">
        <f t="shared" si="96"/>
        <v>0</v>
      </c>
      <c r="V504" s="518">
        <f t="shared" si="96"/>
        <v>0</v>
      </c>
      <c r="W504" s="518">
        <f t="shared" si="96"/>
        <v>0</v>
      </c>
      <c r="X504" s="518">
        <f t="shared" si="96"/>
        <v>0</v>
      </c>
      <c r="Y504" s="518">
        <f t="shared" si="96"/>
        <v>0</v>
      </c>
      <c r="Z504" s="518">
        <f t="shared" si="96"/>
        <v>0</v>
      </c>
    </row>
    <row r="505" spans="1:26" x14ac:dyDescent="0.25">
      <c r="A505" s="348">
        <f>IF(ADSI!$G$12="",ADSI!$H$16,ADSI!$H$12)</f>
        <v>6</v>
      </c>
      <c r="B505" s="348" t="str">
        <f ca="1">IF(ADSI!$G$12="",ADSI!$H$16,ADSI!$H$14)</f>
        <v/>
      </c>
      <c r="C505" s="517">
        <f t="shared" si="92"/>
        <v>1154</v>
      </c>
      <c r="D505" s="348">
        <f>ADSI!$K$12</f>
        <v>2021</v>
      </c>
      <c r="E505" s="518">
        <f t="shared" ref="E505:Z505" si="97">D13</f>
        <v>0</v>
      </c>
      <c r="F505" s="518">
        <f t="shared" si="97"/>
        <v>0</v>
      </c>
      <c r="G505" s="518">
        <f t="shared" si="97"/>
        <v>0</v>
      </c>
      <c r="H505" s="518">
        <f t="shared" si="97"/>
        <v>1</v>
      </c>
      <c r="I505" s="518">
        <f t="shared" si="97"/>
        <v>1</v>
      </c>
      <c r="J505" s="518">
        <f t="shared" si="97"/>
        <v>0</v>
      </c>
      <c r="K505" s="518">
        <f t="shared" si="97"/>
        <v>2</v>
      </c>
      <c r="L505" s="518">
        <f t="shared" si="97"/>
        <v>0</v>
      </c>
      <c r="M505" s="518">
        <f t="shared" si="97"/>
        <v>0</v>
      </c>
      <c r="N505" s="518">
        <f t="shared" si="97"/>
        <v>0</v>
      </c>
      <c r="O505" s="518">
        <f t="shared" si="97"/>
        <v>0</v>
      </c>
      <c r="P505" s="518">
        <f t="shared" si="97"/>
        <v>0</v>
      </c>
      <c r="Q505" s="518">
        <f t="shared" si="97"/>
        <v>0</v>
      </c>
      <c r="R505" s="518">
        <f t="shared" si="97"/>
        <v>0</v>
      </c>
      <c r="S505" s="518">
        <f t="shared" si="97"/>
        <v>0</v>
      </c>
      <c r="T505" s="518">
        <f t="shared" si="97"/>
        <v>0</v>
      </c>
      <c r="U505" s="518">
        <f t="shared" si="97"/>
        <v>0</v>
      </c>
      <c r="V505" s="518">
        <f t="shared" si="97"/>
        <v>0</v>
      </c>
      <c r="W505" s="518">
        <f t="shared" si="97"/>
        <v>0</v>
      </c>
      <c r="X505" s="518">
        <f t="shared" si="97"/>
        <v>0</v>
      </c>
      <c r="Y505" s="518">
        <f t="shared" si="97"/>
        <v>0</v>
      </c>
      <c r="Z505" s="518">
        <f t="shared" si="97"/>
        <v>2</v>
      </c>
    </row>
    <row r="506" spans="1:26" x14ac:dyDescent="0.25">
      <c r="A506" s="348">
        <f>IF(ADSI!$G$12="",ADSI!$H$16,ADSI!$H$12)</f>
        <v>6</v>
      </c>
      <c r="B506" s="348" t="str">
        <f ca="1">IF(ADSI!$G$12="",ADSI!$H$16,ADSI!$H$14)</f>
        <v/>
      </c>
      <c r="C506" s="517">
        <f t="shared" si="92"/>
        <v>1155</v>
      </c>
      <c r="D506" s="348">
        <f>ADSI!$K$12</f>
        <v>2021</v>
      </c>
      <c r="E506" s="518">
        <f t="shared" ref="E506:Z506" si="98">D14</f>
        <v>0</v>
      </c>
      <c r="F506" s="518">
        <f t="shared" si="98"/>
        <v>0</v>
      </c>
      <c r="G506" s="518">
        <f t="shared" si="98"/>
        <v>0</v>
      </c>
      <c r="H506" s="518">
        <f t="shared" si="98"/>
        <v>0</v>
      </c>
      <c r="I506" s="518">
        <f t="shared" si="98"/>
        <v>0</v>
      </c>
      <c r="J506" s="518">
        <f t="shared" si="98"/>
        <v>0</v>
      </c>
      <c r="K506" s="518">
        <f t="shared" si="98"/>
        <v>0</v>
      </c>
      <c r="L506" s="518">
        <f t="shared" si="98"/>
        <v>0</v>
      </c>
      <c r="M506" s="518">
        <f t="shared" si="98"/>
        <v>0</v>
      </c>
      <c r="N506" s="518">
        <f t="shared" si="98"/>
        <v>0</v>
      </c>
      <c r="O506" s="518">
        <f t="shared" si="98"/>
        <v>0</v>
      </c>
      <c r="P506" s="518">
        <f t="shared" si="98"/>
        <v>0</v>
      </c>
      <c r="Q506" s="518">
        <f t="shared" si="98"/>
        <v>0</v>
      </c>
      <c r="R506" s="518">
        <f t="shared" si="98"/>
        <v>0</v>
      </c>
      <c r="S506" s="518">
        <f t="shared" si="98"/>
        <v>0</v>
      </c>
      <c r="T506" s="518">
        <f t="shared" si="98"/>
        <v>0</v>
      </c>
      <c r="U506" s="518">
        <f t="shared" si="98"/>
        <v>0</v>
      </c>
      <c r="V506" s="518">
        <f t="shared" si="98"/>
        <v>0</v>
      </c>
      <c r="W506" s="518">
        <f t="shared" si="98"/>
        <v>0</v>
      </c>
      <c r="X506" s="518">
        <f t="shared" si="98"/>
        <v>0</v>
      </c>
      <c r="Y506" s="518">
        <f t="shared" si="98"/>
        <v>0</v>
      </c>
      <c r="Z506" s="518">
        <f t="shared" si="98"/>
        <v>0</v>
      </c>
    </row>
    <row r="507" spans="1:26" x14ac:dyDescent="0.25">
      <c r="A507" s="348">
        <f>IF(ADSI!$G$12="",ADSI!$H$16,ADSI!$H$12)</f>
        <v>6</v>
      </c>
      <c r="B507" s="348" t="str">
        <f ca="1">IF(ADSI!$G$12="",ADSI!$H$16,ADSI!$H$14)</f>
        <v/>
      </c>
      <c r="C507" s="517">
        <f t="shared" si="92"/>
        <v>1156</v>
      </c>
      <c r="D507" s="348">
        <f>ADSI!$K$12</f>
        <v>2021</v>
      </c>
      <c r="E507" s="518">
        <f t="shared" ref="E507:Z507" si="99">D15</f>
        <v>0</v>
      </c>
      <c r="F507" s="518">
        <f t="shared" si="99"/>
        <v>0</v>
      </c>
      <c r="G507" s="518">
        <f t="shared" si="99"/>
        <v>0</v>
      </c>
      <c r="H507" s="518">
        <f t="shared" si="99"/>
        <v>0</v>
      </c>
      <c r="I507" s="518">
        <f t="shared" si="99"/>
        <v>0</v>
      </c>
      <c r="J507" s="518">
        <f t="shared" si="99"/>
        <v>0</v>
      </c>
      <c r="K507" s="518">
        <f t="shared" si="99"/>
        <v>0</v>
      </c>
      <c r="L507" s="518">
        <f t="shared" si="99"/>
        <v>0</v>
      </c>
      <c r="M507" s="518">
        <f t="shared" si="99"/>
        <v>0</v>
      </c>
      <c r="N507" s="518">
        <f t="shared" si="99"/>
        <v>0</v>
      </c>
      <c r="O507" s="518">
        <f t="shared" si="99"/>
        <v>0</v>
      </c>
      <c r="P507" s="518">
        <f t="shared" si="99"/>
        <v>0</v>
      </c>
      <c r="Q507" s="518">
        <f t="shared" si="99"/>
        <v>0</v>
      </c>
      <c r="R507" s="518">
        <f t="shared" si="99"/>
        <v>0</v>
      </c>
      <c r="S507" s="518">
        <f t="shared" si="99"/>
        <v>0</v>
      </c>
      <c r="T507" s="518">
        <f t="shared" si="99"/>
        <v>0</v>
      </c>
      <c r="U507" s="518">
        <f t="shared" si="99"/>
        <v>0</v>
      </c>
      <c r="V507" s="518">
        <f t="shared" si="99"/>
        <v>0</v>
      </c>
      <c r="W507" s="518">
        <f t="shared" si="99"/>
        <v>0</v>
      </c>
      <c r="X507" s="518">
        <f t="shared" si="99"/>
        <v>0</v>
      </c>
      <c r="Y507" s="518">
        <f t="shared" si="99"/>
        <v>0</v>
      </c>
      <c r="Z507" s="518">
        <f t="shared" si="99"/>
        <v>0</v>
      </c>
    </row>
    <row r="508" spans="1:26" x14ac:dyDescent="0.25">
      <c r="A508" s="348">
        <f>IF(ADSI!$G$12="",ADSI!$H$16,ADSI!$H$12)</f>
        <v>6</v>
      </c>
      <c r="B508" s="348" t="str">
        <f ca="1">IF(ADSI!$G$12="",ADSI!$H$16,ADSI!$H$14)</f>
        <v/>
      </c>
      <c r="C508" s="517">
        <f t="shared" si="92"/>
        <v>1157</v>
      </c>
      <c r="D508" s="348">
        <f>ADSI!$K$12</f>
        <v>2021</v>
      </c>
      <c r="E508" s="518">
        <f t="shared" ref="E508:Z508" si="100">D16</f>
        <v>0</v>
      </c>
      <c r="F508" s="518">
        <f t="shared" si="100"/>
        <v>0</v>
      </c>
      <c r="G508" s="518">
        <f t="shared" si="100"/>
        <v>0</v>
      </c>
      <c r="H508" s="518">
        <f t="shared" si="100"/>
        <v>0</v>
      </c>
      <c r="I508" s="518">
        <f t="shared" si="100"/>
        <v>0</v>
      </c>
      <c r="J508" s="518">
        <f t="shared" si="100"/>
        <v>0</v>
      </c>
      <c r="K508" s="518">
        <f t="shared" si="100"/>
        <v>0</v>
      </c>
      <c r="L508" s="518">
        <f t="shared" si="100"/>
        <v>0</v>
      </c>
      <c r="M508" s="518">
        <f t="shared" si="100"/>
        <v>0</v>
      </c>
      <c r="N508" s="518">
        <f t="shared" si="100"/>
        <v>0</v>
      </c>
      <c r="O508" s="518">
        <f t="shared" si="100"/>
        <v>0</v>
      </c>
      <c r="P508" s="518">
        <f t="shared" si="100"/>
        <v>0</v>
      </c>
      <c r="Q508" s="518">
        <f t="shared" si="100"/>
        <v>0</v>
      </c>
      <c r="R508" s="518">
        <f t="shared" si="100"/>
        <v>0</v>
      </c>
      <c r="S508" s="518">
        <f t="shared" si="100"/>
        <v>0</v>
      </c>
      <c r="T508" s="518">
        <f t="shared" si="100"/>
        <v>0</v>
      </c>
      <c r="U508" s="518">
        <f t="shared" si="100"/>
        <v>0</v>
      </c>
      <c r="V508" s="518">
        <f t="shared" si="100"/>
        <v>0</v>
      </c>
      <c r="W508" s="518">
        <f t="shared" si="100"/>
        <v>0</v>
      </c>
      <c r="X508" s="518">
        <f t="shared" si="100"/>
        <v>0</v>
      </c>
      <c r="Y508" s="518">
        <f t="shared" si="100"/>
        <v>0</v>
      </c>
      <c r="Z508" s="518">
        <f t="shared" si="100"/>
        <v>0</v>
      </c>
    </row>
    <row r="509" spans="1:26" x14ac:dyDescent="0.25">
      <c r="A509" s="348">
        <f>IF(ADSI!$G$12="",ADSI!$H$16,ADSI!$H$12)</f>
        <v>6</v>
      </c>
      <c r="B509" s="348" t="str">
        <f ca="1">IF(ADSI!$G$12="",ADSI!$H$16,ADSI!$H$14)</f>
        <v/>
      </c>
      <c r="C509" s="517">
        <f t="shared" si="92"/>
        <v>1158</v>
      </c>
      <c r="D509" s="348">
        <f>ADSI!$K$12</f>
        <v>2021</v>
      </c>
      <c r="E509" s="518">
        <f t="shared" ref="E509:Z509" si="101">D17</f>
        <v>0</v>
      </c>
      <c r="F509" s="518">
        <f t="shared" si="101"/>
        <v>0</v>
      </c>
      <c r="G509" s="518">
        <f t="shared" si="101"/>
        <v>0</v>
      </c>
      <c r="H509" s="518">
        <f t="shared" si="101"/>
        <v>0</v>
      </c>
      <c r="I509" s="518">
        <f t="shared" si="101"/>
        <v>0</v>
      </c>
      <c r="J509" s="518">
        <f t="shared" si="101"/>
        <v>0</v>
      </c>
      <c r="K509" s="518">
        <f t="shared" si="101"/>
        <v>0</v>
      </c>
      <c r="L509" s="518">
        <f t="shared" si="101"/>
        <v>0</v>
      </c>
      <c r="M509" s="518">
        <f t="shared" si="101"/>
        <v>0</v>
      </c>
      <c r="N509" s="518">
        <f t="shared" si="101"/>
        <v>0</v>
      </c>
      <c r="O509" s="518">
        <f t="shared" si="101"/>
        <v>0</v>
      </c>
      <c r="P509" s="518">
        <f t="shared" si="101"/>
        <v>0</v>
      </c>
      <c r="Q509" s="518">
        <f t="shared" si="101"/>
        <v>0</v>
      </c>
      <c r="R509" s="518">
        <f t="shared" si="101"/>
        <v>0</v>
      </c>
      <c r="S509" s="518">
        <f t="shared" si="101"/>
        <v>0</v>
      </c>
      <c r="T509" s="518">
        <f t="shared" si="101"/>
        <v>0</v>
      </c>
      <c r="U509" s="518">
        <f t="shared" si="101"/>
        <v>0</v>
      </c>
      <c r="V509" s="518">
        <f t="shared" si="101"/>
        <v>0</v>
      </c>
      <c r="W509" s="518">
        <f t="shared" si="101"/>
        <v>0</v>
      </c>
      <c r="X509" s="518">
        <f t="shared" si="101"/>
        <v>0</v>
      </c>
      <c r="Y509" s="518">
        <f t="shared" si="101"/>
        <v>0</v>
      </c>
      <c r="Z509" s="518">
        <f t="shared" si="101"/>
        <v>0</v>
      </c>
    </row>
    <row r="510" spans="1:26" x14ac:dyDescent="0.25">
      <c r="A510" s="348">
        <f>IF(ADSI!$G$12="",ADSI!$H$16,ADSI!$H$12)</f>
        <v>6</v>
      </c>
      <c r="B510" s="348" t="str">
        <f ca="1">IF(ADSI!$G$12="",ADSI!$H$16,ADSI!$H$14)</f>
        <v/>
      </c>
      <c r="C510" s="517">
        <f t="shared" si="92"/>
        <v>1159</v>
      </c>
      <c r="D510" s="348">
        <f>ADSI!$K$12</f>
        <v>2021</v>
      </c>
      <c r="E510" s="518">
        <f t="shared" ref="E510:Z510" si="102">D18</f>
        <v>0</v>
      </c>
      <c r="F510" s="518">
        <f t="shared" si="102"/>
        <v>0</v>
      </c>
      <c r="G510" s="518">
        <f t="shared" si="102"/>
        <v>0</v>
      </c>
      <c r="H510" s="518">
        <f t="shared" si="102"/>
        <v>0</v>
      </c>
      <c r="I510" s="518">
        <f t="shared" si="102"/>
        <v>0</v>
      </c>
      <c r="J510" s="518">
        <f t="shared" si="102"/>
        <v>0</v>
      </c>
      <c r="K510" s="518">
        <f t="shared" si="102"/>
        <v>0</v>
      </c>
      <c r="L510" s="518">
        <f t="shared" si="102"/>
        <v>0</v>
      </c>
      <c r="M510" s="518">
        <f t="shared" si="102"/>
        <v>0</v>
      </c>
      <c r="N510" s="518">
        <f t="shared" si="102"/>
        <v>0</v>
      </c>
      <c r="O510" s="518">
        <f t="shared" si="102"/>
        <v>0</v>
      </c>
      <c r="P510" s="518">
        <f t="shared" si="102"/>
        <v>0</v>
      </c>
      <c r="Q510" s="518">
        <f t="shared" si="102"/>
        <v>0</v>
      </c>
      <c r="R510" s="518">
        <f t="shared" si="102"/>
        <v>0</v>
      </c>
      <c r="S510" s="518">
        <f t="shared" si="102"/>
        <v>0</v>
      </c>
      <c r="T510" s="518">
        <f t="shared" si="102"/>
        <v>0</v>
      </c>
      <c r="U510" s="518">
        <f t="shared" si="102"/>
        <v>0</v>
      </c>
      <c r="V510" s="518">
        <f t="shared" si="102"/>
        <v>0</v>
      </c>
      <c r="W510" s="518">
        <f t="shared" si="102"/>
        <v>0</v>
      </c>
      <c r="X510" s="518">
        <f t="shared" si="102"/>
        <v>0</v>
      </c>
      <c r="Y510" s="518">
        <f t="shared" si="102"/>
        <v>0</v>
      </c>
      <c r="Z510" s="518">
        <f t="shared" si="102"/>
        <v>0</v>
      </c>
    </row>
    <row r="511" spans="1:26" x14ac:dyDescent="0.25">
      <c r="A511" s="348">
        <f>IF(ADSI!$G$12="",ADSI!$H$16,ADSI!$H$12)</f>
        <v>6</v>
      </c>
      <c r="B511" s="348" t="str">
        <f ca="1">IF(ADSI!$G$12="",ADSI!$H$16,ADSI!$H$14)</f>
        <v/>
      </c>
      <c r="C511" s="517">
        <f t="shared" si="92"/>
        <v>1160</v>
      </c>
      <c r="D511" s="348">
        <f>ADSI!$K$12</f>
        <v>2021</v>
      </c>
      <c r="E511" s="518">
        <f t="shared" ref="E511:Z511" si="103">D19</f>
        <v>0</v>
      </c>
      <c r="F511" s="518">
        <f t="shared" si="103"/>
        <v>0</v>
      </c>
      <c r="G511" s="518">
        <f t="shared" si="103"/>
        <v>0</v>
      </c>
      <c r="H511" s="518">
        <f t="shared" si="103"/>
        <v>0</v>
      </c>
      <c r="I511" s="518">
        <f t="shared" si="103"/>
        <v>0</v>
      </c>
      <c r="J511" s="518">
        <f t="shared" si="103"/>
        <v>0</v>
      </c>
      <c r="K511" s="518">
        <f t="shared" si="103"/>
        <v>0</v>
      </c>
      <c r="L511" s="518">
        <f t="shared" si="103"/>
        <v>0</v>
      </c>
      <c r="M511" s="518">
        <f t="shared" si="103"/>
        <v>0</v>
      </c>
      <c r="N511" s="518">
        <f t="shared" si="103"/>
        <v>0</v>
      </c>
      <c r="O511" s="518">
        <f t="shared" si="103"/>
        <v>0</v>
      </c>
      <c r="P511" s="518">
        <f t="shared" si="103"/>
        <v>0</v>
      </c>
      <c r="Q511" s="518">
        <f t="shared" si="103"/>
        <v>0</v>
      </c>
      <c r="R511" s="518">
        <f t="shared" si="103"/>
        <v>0</v>
      </c>
      <c r="S511" s="518">
        <f t="shared" si="103"/>
        <v>0</v>
      </c>
      <c r="T511" s="518">
        <f t="shared" si="103"/>
        <v>0</v>
      </c>
      <c r="U511" s="518">
        <f t="shared" si="103"/>
        <v>0</v>
      </c>
      <c r="V511" s="518">
        <f t="shared" si="103"/>
        <v>0</v>
      </c>
      <c r="W511" s="518">
        <f t="shared" si="103"/>
        <v>0</v>
      </c>
      <c r="X511" s="518">
        <f t="shared" si="103"/>
        <v>0</v>
      </c>
      <c r="Y511" s="518">
        <f t="shared" si="103"/>
        <v>0</v>
      </c>
      <c r="Z511" s="518">
        <f t="shared" si="103"/>
        <v>0</v>
      </c>
    </row>
    <row r="512" spans="1:26" x14ac:dyDescent="0.25">
      <c r="A512" s="348">
        <f>IF(ADSI!$G$12="",ADSI!$H$16,ADSI!$H$12)</f>
        <v>6</v>
      </c>
      <c r="B512" s="348" t="str">
        <f ca="1">IF(ADSI!$G$12="",ADSI!$H$16,ADSI!$H$14)</f>
        <v/>
      </c>
      <c r="C512" s="517">
        <f t="shared" si="92"/>
        <v>1161</v>
      </c>
      <c r="D512" s="348">
        <f>ADSI!$K$12</f>
        <v>2021</v>
      </c>
      <c r="E512" s="518">
        <f t="shared" ref="E512:Z512" si="104">D20</f>
        <v>0</v>
      </c>
      <c r="F512" s="518">
        <f t="shared" si="104"/>
        <v>0</v>
      </c>
      <c r="G512" s="518">
        <f t="shared" si="104"/>
        <v>0</v>
      </c>
      <c r="H512" s="518">
        <f t="shared" si="104"/>
        <v>0</v>
      </c>
      <c r="I512" s="518">
        <f t="shared" si="104"/>
        <v>0</v>
      </c>
      <c r="J512" s="518">
        <f t="shared" si="104"/>
        <v>0</v>
      </c>
      <c r="K512" s="518">
        <f t="shared" si="104"/>
        <v>0</v>
      </c>
      <c r="L512" s="518">
        <f t="shared" si="104"/>
        <v>0</v>
      </c>
      <c r="M512" s="518">
        <f t="shared" si="104"/>
        <v>0</v>
      </c>
      <c r="N512" s="518">
        <f t="shared" si="104"/>
        <v>0</v>
      </c>
      <c r="O512" s="518">
        <f t="shared" si="104"/>
        <v>0</v>
      </c>
      <c r="P512" s="518">
        <f t="shared" si="104"/>
        <v>0</v>
      </c>
      <c r="Q512" s="518">
        <f t="shared" si="104"/>
        <v>0</v>
      </c>
      <c r="R512" s="518">
        <f t="shared" si="104"/>
        <v>0</v>
      </c>
      <c r="S512" s="518">
        <f t="shared" si="104"/>
        <v>0</v>
      </c>
      <c r="T512" s="518">
        <f t="shared" si="104"/>
        <v>0</v>
      </c>
      <c r="U512" s="518">
        <f t="shared" si="104"/>
        <v>0</v>
      </c>
      <c r="V512" s="518">
        <f t="shared" si="104"/>
        <v>0</v>
      </c>
      <c r="W512" s="518">
        <f t="shared" si="104"/>
        <v>0</v>
      </c>
      <c r="X512" s="518">
        <f t="shared" si="104"/>
        <v>0</v>
      </c>
      <c r="Y512" s="518">
        <f t="shared" si="104"/>
        <v>0</v>
      </c>
      <c r="Z512" s="518">
        <f t="shared" si="104"/>
        <v>0</v>
      </c>
    </row>
    <row r="513" spans="1:26" x14ac:dyDescent="0.25">
      <c r="A513" s="348">
        <f>IF(ADSI!$G$12="",ADSI!$H$16,ADSI!$H$12)</f>
        <v>6</v>
      </c>
      <c r="B513" s="348" t="str">
        <f ca="1">IF(ADSI!$G$12="",ADSI!$H$16,ADSI!$H$14)</f>
        <v/>
      </c>
      <c r="C513" s="517">
        <f t="shared" si="92"/>
        <v>1162</v>
      </c>
      <c r="D513" s="348">
        <f>ADSI!$K$12</f>
        <v>2021</v>
      </c>
      <c r="E513" s="518">
        <f t="shared" ref="E513:Z513" si="105">D21</f>
        <v>0</v>
      </c>
      <c r="F513" s="518">
        <f t="shared" si="105"/>
        <v>0</v>
      </c>
      <c r="G513" s="518">
        <f t="shared" si="105"/>
        <v>0</v>
      </c>
      <c r="H513" s="518">
        <f t="shared" si="105"/>
        <v>0</v>
      </c>
      <c r="I513" s="518">
        <f t="shared" si="105"/>
        <v>0</v>
      </c>
      <c r="J513" s="518">
        <f t="shared" si="105"/>
        <v>0</v>
      </c>
      <c r="K513" s="518">
        <f t="shared" si="105"/>
        <v>0</v>
      </c>
      <c r="L513" s="518">
        <f t="shared" si="105"/>
        <v>0</v>
      </c>
      <c r="M513" s="518">
        <f t="shared" si="105"/>
        <v>0</v>
      </c>
      <c r="N513" s="518">
        <f t="shared" si="105"/>
        <v>0</v>
      </c>
      <c r="O513" s="518">
        <f t="shared" si="105"/>
        <v>0</v>
      </c>
      <c r="P513" s="518">
        <f t="shared" si="105"/>
        <v>0</v>
      </c>
      <c r="Q513" s="518">
        <f t="shared" si="105"/>
        <v>0</v>
      </c>
      <c r="R513" s="518">
        <f t="shared" si="105"/>
        <v>0</v>
      </c>
      <c r="S513" s="518">
        <f t="shared" si="105"/>
        <v>0</v>
      </c>
      <c r="T513" s="518">
        <f t="shared" si="105"/>
        <v>0</v>
      </c>
      <c r="U513" s="518">
        <f t="shared" si="105"/>
        <v>0</v>
      </c>
      <c r="V513" s="518">
        <f t="shared" si="105"/>
        <v>0</v>
      </c>
      <c r="W513" s="518">
        <f t="shared" si="105"/>
        <v>0</v>
      </c>
      <c r="X513" s="518">
        <f t="shared" si="105"/>
        <v>0</v>
      </c>
      <c r="Y513" s="518">
        <f t="shared" si="105"/>
        <v>0</v>
      </c>
      <c r="Z513" s="518">
        <f t="shared" si="105"/>
        <v>0</v>
      </c>
    </row>
    <row r="514" spans="1:26" x14ac:dyDescent="0.25">
      <c r="A514" s="348">
        <f>IF(ADSI!$G$12="",ADSI!$H$16,ADSI!$H$12)</f>
        <v>6</v>
      </c>
      <c r="B514" s="348" t="str">
        <f ca="1">IF(ADSI!$G$12="",ADSI!$H$16,ADSI!$H$14)</f>
        <v/>
      </c>
      <c r="C514" s="517">
        <f t="shared" si="92"/>
        <v>1175</v>
      </c>
      <c r="D514" s="348">
        <f>ADSI!$K$12</f>
        <v>2021</v>
      </c>
      <c r="E514" s="518">
        <f t="shared" ref="E514:Z514" si="106">D22</f>
        <v>0</v>
      </c>
      <c r="F514" s="518">
        <f t="shared" si="106"/>
        <v>0</v>
      </c>
      <c r="G514" s="518">
        <f t="shared" si="106"/>
        <v>0</v>
      </c>
      <c r="H514" s="518">
        <f t="shared" si="106"/>
        <v>1</v>
      </c>
      <c r="I514" s="518">
        <f t="shared" si="106"/>
        <v>1</v>
      </c>
      <c r="J514" s="518">
        <f t="shared" si="106"/>
        <v>0</v>
      </c>
      <c r="K514" s="518">
        <f t="shared" si="106"/>
        <v>2</v>
      </c>
      <c r="L514" s="518">
        <f t="shared" si="106"/>
        <v>0</v>
      </c>
      <c r="M514" s="518">
        <f t="shared" si="106"/>
        <v>0</v>
      </c>
      <c r="N514" s="518">
        <f t="shared" si="106"/>
        <v>0</v>
      </c>
      <c r="O514" s="518">
        <f t="shared" si="106"/>
        <v>0</v>
      </c>
      <c r="P514" s="518">
        <f t="shared" si="106"/>
        <v>0</v>
      </c>
      <c r="Q514" s="518">
        <f t="shared" si="106"/>
        <v>0</v>
      </c>
      <c r="R514" s="518">
        <f t="shared" si="106"/>
        <v>0</v>
      </c>
      <c r="S514" s="518">
        <f t="shared" si="106"/>
        <v>0</v>
      </c>
      <c r="T514" s="518">
        <f t="shared" si="106"/>
        <v>0</v>
      </c>
      <c r="U514" s="518">
        <f t="shared" si="106"/>
        <v>0</v>
      </c>
      <c r="V514" s="518">
        <f t="shared" si="106"/>
        <v>0</v>
      </c>
      <c r="W514" s="518">
        <f t="shared" si="106"/>
        <v>0</v>
      </c>
      <c r="X514" s="518">
        <f t="shared" si="106"/>
        <v>0</v>
      </c>
      <c r="Y514" s="518">
        <f t="shared" si="106"/>
        <v>0</v>
      </c>
      <c r="Z514" s="518">
        <f t="shared" si="106"/>
        <v>2</v>
      </c>
    </row>
    <row r="515" spans="1:26" x14ac:dyDescent="0.25">
      <c r="A515" s="348"/>
      <c r="B515" s="348"/>
      <c r="C515" s="517"/>
      <c r="D515" s="348"/>
      <c r="E515" s="518"/>
      <c r="F515" s="518"/>
      <c r="G515" s="518"/>
      <c r="H515" s="518"/>
      <c r="I515" s="518"/>
      <c r="J515" s="518"/>
      <c r="K515" s="518"/>
      <c r="L515" s="518"/>
      <c r="M515" s="518"/>
      <c r="N515" s="518"/>
      <c r="O515" s="518"/>
      <c r="P515" s="518"/>
      <c r="Q515" s="518"/>
      <c r="R515" s="518"/>
      <c r="S515" s="518"/>
      <c r="T515" s="518"/>
      <c r="U515" s="518"/>
      <c r="V515" s="518"/>
      <c r="W515" s="518"/>
      <c r="X515" s="518"/>
      <c r="Y515" s="518"/>
      <c r="Z515" s="518"/>
    </row>
    <row r="516" spans="1:26" x14ac:dyDescent="0.25">
      <c r="A516" s="348"/>
      <c r="B516" s="348"/>
      <c r="C516" s="517"/>
      <c r="D516" s="348"/>
      <c r="E516" s="518"/>
      <c r="F516" s="518"/>
      <c r="G516" s="518"/>
      <c r="H516" s="518"/>
      <c r="I516" s="518"/>
      <c r="J516" s="518"/>
      <c r="K516" s="518"/>
      <c r="L516" s="518"/>
      <c r="M516" s="518"/>
      <c r="N516" s="518"/>
      <c r="O516" s="518"/>
      <c r="P516" s="518"/>
      <c r="Q516" s="518"/>
      <c r="R516" s="518"/>
      <c r="S516" s="518"/>
      <c r="T516" s="518"/>
      <c r="U516" s="518"/>
      <c r="V516" s="518"/>
      <c r="W516" s="518"/>
      <c r="X516" s="518"/>
      <c r="Y516" s="518"/>
      <c r="Z516" s="518"/>
    </row>
    <row r="517" spans="1:26" x14ac:dyDescent="0.25">
      <c r="A517" s="348"/>
      <c r="B517" s="348"/>
      <c r="C517" s="517"/>
      <c r="D517" s="348"/>
      <c r="E517" s="518"/>
      <c r="F517" s="518"/>
      <c r="G517" s="518"/>
      <c r="H517" s="518"/>
      <c r="I517" s="518"/>
      <c r="J517" s="518"/>
      <c r="K517" s="518"/>
      <c r="L517" s="518"/>
      <c r="M517" s="518"/>
      <c r="N517" s="518"/>
      <c r="O517" s="518"/>
      <c r="P517" s="518"/>
      <c r="Q517" s="518"/>
      <c r="R517" s="518"/>
      <c r="S517" s="518"/>
      <c r="T517" s="518"/>
      <c r="U517" s="518"/>
      <c r="V517" s="518"/>
      <c r="W517" s="518"/>
      <c r="X517" s="518"/>
      <c r="Y517" s="518"/>
      <c r="Z517" s="518"/>
    </row>
    <row r="518" spans="1:26" x14ac:dyDescent="0.25">
      <c r="A518" s="348"/>
      <c r="B518" s="348"/>
      <c r="C518" s="517"/>
      <c r="D518" s="348"/>
      <c r="E518" s="518"/>
      <c r="F518" s="518"/>
      <c r="G518" s="518"/>
      <c r="H518" s="518"/>
      <c r="I518" s="518"/>
      <c r="J518" s="518"/>
      <c r="K518" s="518"/>
      <c r="L518" s="518"/>
      <c r="M518" s="518"/>
      <c r="N518" s="518"/>
      <c r="O518" s="518"/>
      <c r="P518" s="518"/>
      <c r="Q518" s="518"/>
      <c r="R518" s="518"/>
      <c r="S518" s="518"/>
      <c r="T518" s="518"/>
      <c r="U518" s="518"/>
      <c r="V518" s="518"/>
      <c r="W518" s="518"/>
      <c r="X518" s="518"/>
      <c r="Y518" s="518"/>
      <c r="Z518" s="518"/>
    </row>
    <row r="519" spans="1:26" x14ac:dyDescent="0.25">
      <c r="A519" s="348"/>
      <c r="B519" s="348"/>
      <c r="C519" s="517"/>
      <c r="D519" s="348"/>
      <c r="E519" s="518"/>
      <c r="F519" s="518"/>
      <c r="G519" s="518"/>
      <c r="H519" s="518"/>
      <c r="I519" s="518"/>
      <c r="J519" s="518"/>
      <c r="K519" s="518"/>
      <c r="L519" s="518"/>
      <c r="M519" s="518"/>
      <c r="N519" s="518"/>
      <c r="O519" s="518"/>
      <c r="P519" s="518"/>
      <c r="Q519" s="518"/>
      <c r="R519" s="518"/>
      <c r="S519" s="518"/>
      <c r="T519" s="518"/>
      <c r="U519" s="518"/>
      <c r="V519" s="518"/>
      <c r="W519" s="518"/>
      <c r="X519" s="518"/>
      <c r="Y519" s="518"/>
      <c r="Z519" s="518"/>
    </row>
    <row r="520" spans="1:26" x14ac:dyDescent="0.25">
      <c r="A520" s="348"/>
      <c r="B520" s="348"/>
      <c r="C520" s="517"/>
      <c r="D520" s="348"/>
      <c r="E520" s="518"/>
      <c r="F520" s="518"/>
      <c r="G520" s="518"/>
      <c r="H520" s="518"/>
      <c r="I520" s="518"/>
      <c r="J520" s="518"/>
      <c r="K520" s="518"/>
      <c r="L520" s="518"/>
      <c r="M520" s="518"/>
      <c r="N520" s="518"/>
      <c r="O520" s="518"/>
      <c r="P520" s="518"/>
      <c r="Q520" s="518"/>
      <c r="R520" s="518"/>
      <c r="S520" s="518"/>
      <c r="T520" s="518"/>
      <c r="U520" s="518"/>
      <c r="V520" s="518"/>
      <c r="W520" s="518"/>
      <c r="X520" s="518"/>
      <c r="Y520" s="518"/>
      <c r="Z520" s="518"/>
    </row>
    <row r="521" spans="1:26" x14ac:dyDescent="0.25">
      <c r="A521" s="348"/>
      <c r="B521" s="348"/>
      <c r="C521" s="517"/>
      <c r="D521" s="348"/>
      <c r="E521" s="518"/>
      <c r="F521" s="518"/>
      <c r="G521" s="518"/>
      <c r="H521" s="518"/>
      <c r="I521" s="518"/>
      <c r="J521" s="518"/>
      <c r="K521" s="518"/>
      <c r="L521" s="518"/>
      <c r="M521" s="518"/>
      <c r="N521" s="518"/>
      <c r="O521" s="518"/>
      <c r="P521" s="518"/>
      <c r="Q521" s="518"/>
      <c r="R521" s="518"/>
      <c r="S521" s="518"/>
      <c r="T521" s="518"/>
      <c r="U521" s="518"/>
      <c r="V521" s="518"/>
      <c r="W521" s="518"/>
      <c r="X521" s="518"/>
      <c r="Y521" s="518"/>
      <c r="Z521" s="518"/>
    </row>
    <row r="522" spans="1:26" x14ac:dyDescent="0.25">
      <c r="A522" s="348"/>
      <c r="B522" s="348"/>
      <c r="C522" s="517"/>
      <c r="D522" s="348"/>
      <c r="E522" s="518"/>
      <c r="F522" s="518"/>
      <c r="G522" s="518"/>
      <c r="H522" s="518"/>
      <c r="I522" s="518"/>
      <c r="J522" s="518"/>
      <c r="K522" s="518"/>
      <c r="L522" s="518"/>
      <c r="M522" s="518"/>
      <c r="N522" s="518"/>
      <c r="O522" s="518"/>
      <c r="P522" s="518"/>
      <c r="Q522" s="518"/>
      <c r="R522" s="518"/>
      <c r="S522" s="518"/>
      <c r="T522" s="518"/>
      <c r="U522" s="518"/>
      <c r="V522" s="518"/>
      <c r="W522" s="518"/>
      <c r="X522" s="518"/>
      <c r="Y522" s="518"/>
      <c r="Z522" s="518"/>
    </row>
    <row r="523" spans="1:26" x14ac:dyDescent="0.25">
      <c r="A523" s="348"/>
      <c r="B523" s="348"/>
      <c r="C523" s="517"/>
      <c r="D523" s="348"/>
      <c r="E523" s="518"/>
      <c r="F523" s="518"/>
      <c r="G523" s="518"/>
      <c r="H523" s="518"/>
      <c r="I523" s="518"/>
      <c r="J523" s="518"/>
      <c r="K523" s="518"/>
      <c r="L523" s="518"/>
      <c r="M523" s="518"/>
      <c r="N523" s="518"/>
      <c r="O523" s="518"/>
      <c r="P523" s="518"/>
      <c r="Q523" s="518"/>
      <c r="R523" s="518"/>
      <c r="S523" s="518"/>
      <c r="T523" s="518"/>
      <c r="U523" s="518"/>
      <c r="V523" s="518"/>
      <c r="W523" s="518"/>
      <c r="X523" s="518"/>
      <c r="Y523" s="518"/>
      <c r="Z523" s="518"/>
    </row>
    <row r="524" spans="1:26" x14ac:dyDescent="0.25">
      <c r="A524" s="348"/>
      <c r="B524" s="348"/>
      <c r="C524" s="517"/>
      <c r="D524" s="348"/>
      <c r="E524" s="518"/>
      <c r="F524" s="518"/>
      <c r="G524" s="518"/>
      <c r="H524" s="518"/>
      <c r="I524" s="518"/>
      <c r="J524" s="518"/>
      <c r="K524" s="518"/>
      <c r="L524" s="518"/>
      <c r="M524" s="518"/>
      <c r="N524" s="518"/>
      <c r="O524" s="518"/>
      <c r="P524" s="518"/>
      <c r="Q524" s="518"/>
      <c r="R524" s="518"/>
      <c r="S524" s="518"/>
      <c r="T524" s="518"/>
      <c r="U524" s="518"/>
      <c r="V524" s="518"/>
      <c r="W524" s="518"/>
      <c r="X524" s="518"/>
      <c r="Y524" s="518"/>
      <c r="Z524" s="518"/>
    </row>
    <row r="525" spans="1:26" x14ac:dyDescent="0.25">
      <c r="A525" s="348"/>
      <c r="B525" s="348"/>
      <c r="C525" s="517"/>
      <c r="D525" s="348"/>
      <c r="E525" s="518"/>
      <c r="F525" s="518"/>
      <c r="G525" s="518"/>
      <c r="H525" s="518"/>
      <c r="I525" s="518"/>
      <c r="J525" s="518"/>
      <c r="K525" s="518"/>
      <c r="L525" s="518"/>
      <c r="M525" s="518"/>
      <c r="N525" s="518"/>
      <c r="O525" s="518"/>
      <c r="P525" s="518"/>
      <c r="Q525" s="518"/>
      <c r="R525" s="518"/>
      <c r="S525" s="518"/>
      <c r="T525" s="518"/>
      <c r="U525" s="518"/>
      <c r="V525" s="518"/>
      <c r="W525" s="518"/>
      <c r="X525" s="518"/>
      <c r="Y525" s="518"/>
      <c r="Z525" s="518"/>
    </row>
    <row r="526" spans="1:26" x14ac:dyDescent="0.25">
      <c r="A526" s="348"/>
      <c r="B526" s="348"/>
      <c r="C526" s="517"/>
      <c r="D526" s="348"/>
      <c r="E526" s="518"/>
      <c r="F526" s="518"/>
      <c r="G526" s="518"/>
      <c r="H526" s="518"/>
      <c r="I526" s="518"/>
      <c r="J526" s="518"/>
      <c r="K526" s="518"/>
      <c r="L526" s="518"/>
      <c r="M526" s="518"/>
      <c r="N526" s="518"/>
      <c r="O526" s="518"/>
      <c r="P526" s="518"/>
      <c r="Q526" s="518"/>
      <c r="R526" s="518"/>
      <c r="S526" s="518"/>
      <c r="T526" s="518"/>
      <c r="U526" s="518"/>
      <c r="V526" s="518"/>
      <c r="W526" s="518"/>
      <c r="X526" s="518"/>
      <c r="Y526" s="518"/>
      <c r="Z526" s="518"/>
    </row>
    <row r="527" spans="1:26" x14ac:dyDescent="0.25">
      <c r="A527" s="348"/>
      <c r="B527" s="348"/>
      <c r="C527" s="517"/>
      <c r="D527" s="348"/>
      <c r="E527" s="518"/>
      <c r="F527" s="518"/>
      <c r="G527" s="518"/>
      <c r="H527" s="518"/>
      <c r="I527" s="518"/>
      <c r="J527" s="518"/>
      <c r="K527" s="518"/>
      <c r="L527" s="518"/>
      <c r="M527" s="518"/>
      <c r="N527" s="518"/>
      <c r="O527" s="518"/>
      <c r="P527" s="518"/>
      <c r="Q527" s="518"/>
      <c r="R527" s="518"/>
      <c r="S527" s="518"/>
      <c r="T527" s="518"/>
      <c r="U527" s="518"/>
      <c r="V527" s="518"/>
      <c r="W527" s="518"/>
      <c r="X527" s="518"/>
      <c r="Y527" s="518"/>
      <c r="Z527" s="518"/>
    </row>
    <row r="528" spans="1:26" x14ac:dyDescent="0.25">
      <c r="A528" s="348"/>
      <c r="B528" s="348"/>
      <c r="C528" s="517"/>
      <c r="D528" s="348"/>
      <c r="E528" s="518"/>
      <c r="F528" s="518"/>
      <c r="G528" s="518"/>
      <c r="H528" s="518"/>
      <c r="I528" s="518"/>
      <c r="J528" s="518"/>
      <c r="K528" s="518"/>
      <c r="L528" s="518"/>
      <c r="M528" s="518"/>
      <c r="N528" s="518"/>
      <c r="O528" s="518"/>
      <c r="P528" s="518"/>
      <c r="Q528" s="518"/>
      <c r="R528" s="518"/>
      <c r="S528" s="518"/>
      <c r="T528" s="518"/>
      <c r="U528" s="518"/>
      <c r="V528" s="518"/>
      <c r="W528" s="518"/>
      <c r="X528" s="518"/>
      <c r="Y528" s="518"/>
      <c r="Z528" s="518"/>
    </row>
    <row r="529" spans="1:26" x14ac:dyDescent="0.25">
      <c r="A529" s="348"/>
      <c r="B529" s="348"/>
      <c r="C529" s="517"/>
      <c r="D529" s="348"/>
      <c r="E529" s="518"/>
      <c r="F529" s="518"/>
      <c r="G529" s="518"/>
      <c r="H529" s="518"/>
      <c r="I529" s="518"/>
      <c r="J529" s="518"/>
      <c r="K529" s="518"/>
      <c r="L529" s="518"/>
      <c r="M529" s="518"/>
      <c r="N529" s="518"/>
      <c r="O529" s="518"/>
      <c r="P529" s="518"/>
      <c r="Q529" s="518"/>
      <c r="R529" s="518"/>
      <c r="S529" s="518"/>
      <c r="T529" s="518"/>
      <c r="U529" s="518"/>
      <c r="V529" s="518"/>
      <c r="W529" s="518"/>
      <c r="X529" s="518"/>
      <c r="Y529" s="518"/>
      <c r="Z529" s="518"/>
    </row>
    <row r="530" spans="1:26" x14ac:dyDescent="0.25">
      <c r="A530" s="348"/>
      <c r="B530" s="348"/>
      <c r="C530" s="517"/>
      <c r="D530" s="348"/>
      <c r="E530" s="518"/>
      <c r="F530" s="518"/>
      <c r="G530" s="518"/>
      <c r="H530" s="518"/>
      <c r="I530" s="518"/>
      <c r="J530" s="518"/>
      <c r="K530" s="518"/>
      <c r="L530" s="518"/>
      <c r="M530" s="518"/>
      <c r="N530" s="518"/>
      <c r="O530" s="518"/>
      <c r="P530" s="518"/>
      <c r="Q530" s="518"/>
      <c r="R530" s="518"/>
      <c r="S530" s="518"/>
      <c r="T530" s="518"/>
      <c r="U530" s="518"/>
      <c r="V530" s="518"/>
      <c r="W530" s="518"/>
      <c r="X530" s="518"/>
      <c r="Y530" s="518"/>
      <c r="Z530" s="518"/>
    </row>
    <row r="531" spans="1:26" x14ac:dyDescent="0.25">
      <c r="A531" s="348"/>
      <c r="B531" s="348"/>
      <c r="C531" s="517"/>
      <c r="D531" s="348"/>
      <c r="E531" s="518"/>
      <c r="F531" s="518"/>
      <c r="G531" s="518"/>
      <c r="H531" s="518"/>
      <c r="I531" s="518"/>
      <c r="J531" s="518"/>
      <c r="K531" s="518"/>
      <c r="L531" s="518"/>
      <c r="M531" s="518"/>
      <c r="N531" s="518"/>
      <c r="O531" s="518"/>
      <c r="P531" s="518"/>
      <c r="Q531" s="518"/>
      <c r="R531" s="518"/>
      <c r="S531" s="518"/>
      <c r="T531" s="518"/>
      <c r="U531" s="518"/>
      <c r="V531" s="518"/>
      <c r="W531" s="518"/>
      <c r="X531" s="518"/>
      <c r="Y531" s="518"/>
      <c r="Z531" s="518"/>
    </row>
    <row r="532" spans="1:26" x14ac:dyDescent="0.25">
      <c r="A532" s="348"/>
      <c r="B532" s="348"/>
      <c r="C532" s="517"/>
      <c r="D532" s="348"/>
      <c r="E532" s="518"/>
      <c r="F532" s="518"/>
      <c r="G532" s="518"/>
      <c r="H532" s="518"/>
      <c r="I532" s="518"/>
      <c r="J532" s="518"/>
      <c r="K532" s="518"/>
      <c r="L532" s="518"/>
      <c r="M532" s="518"/>
      <c r="N532" s="518"/>
      <c r="O532" s="518"/>
      <c r="P532" s="518"/>
      <c r="Q532" s="518"/>
      <c r="R532" s="518"/>
      <c r="S532" s="518"/>
      <c r="T532" s="518"/>
      <c r="U532" s="518"/>
      <c r="V532" s="518"/>
      <c r="W532" s="518"/>
      <c r="X532" s="518"/>
      <c r="Y532" s="518"/>
      <c r="Z532" s="518"/>
    </row>
    <row r="533" spans="1:26" x14ac:dyDescent="0.25">
      <c r="A533" s="348"/>
      <c r="B533" s="348"/>
      <c r="C533" s="517"/>
      <c r="D533" s="348"/>
      <c r="E533" s="518"/>
      <c r="F533" s="518"/>
      <c r="G533" s="518"/>
      <c r="H533" s="518"/>
      <c r="I533" s="518"/>
      <c r="J533" s="518"/>
      <c r="K533" s="518"/>
      <c r="L533" s="518"/>
      <c r="M533" s="518"/>
      <c r="N533" s="518"/>
      <c r="O533" s="518"/>
      <c r="P533" s="518"/>
      <c r="Q533" s="518"/>
      <c r="R533" s="518"/>
      <c r="S533" s="518"/>
      <c r="T533" s="518"/>
      <c r="U533" s="518"/>
      <c r="V533" s="518"/>
      <c r="W533" s="518"/>
      <c r="X533" s="518"/>
      <c r="Y533" s="518"/>
      <c r="Z533" s="518"/>
    </row>
    <row r="534" spans="1:26" x14ac:dyDescent="0.25">
      <c r="A534" s="348"/>
      <c r="B534" s="348"/>
      <c r="C534" s="517"/>
      <c r="D534" s="348"/>
      <c r="E534" s="518"/>
      <c r="F534" s="518"/>
      <c r="G534" s="518"/>
      <c r="H534" s="518"/>
      <c r="I534" s="518"/>
      <c r="J534" s="518"/>
      <c r="K534" s="518"/>
      <c r="L534" s="518"/>
      <c r="M534" s="518"/>
      <c r="N534" s="518"/>
      <c r="O534" s="518"/>
      <c r="P534" s="518"/>
      <c r="Q534" s="518"/>
      <c r="R534" s="518"/>
      <c r="S534" s="518"/>
      <c r="T534" s="518"/>
      <c r="U534" s="518"/>
      <c r="V534" s="518"/>
      <c r="W534" s="518"/>
      <c r="X534" s="518"/>
      <c r="Y534" s="518"/>
      <c r="Z534" s="518"/>
    </row>
    <row r="535" spans="1:26" x14ac:dyDescent="0.25">
      <c r="A535" s="348"/>
      <c r="B535" s="348"/>
      <c r="C535" s="517"/>
      <c r="D535" s="348"/>
      <c r="E535" s="518"/>
      <c r="F535" s="518"/>
      <c r="G535" s="518"/>
      <c r="H535" s="518"/>
      <c r="I535" s="518"/>
      <c r="J535" s="518"/>
      <c r="K535" s="518"/>
      <c r="L535" s="518"/>
      <c r="M535" s="518"/>
      <c r="N535" s="518"/>
      <c r="O535" s="518"/>
      <c r="P535" s="518"/>
      <c r="Q535" s="518"/>
      <c r="R535" s="518"/>
      <c r="S535" s="518"/>
      <c r="T535" s="518"/>
      <c r="U535" s="518"/>
      <c r="V535" s="518"/>
      <c r="W535" s="518"/>
      <c r="X535" s="518"/>
      <c r="Y535" s="518"/>
      <c r="Z535" s="518"/>
    </row>
    <row r="536" spans="1:26" x14ac:dyDescent="0.25">
      <c r="A536" s="348"/>
      <c r="B536" s="348"/>
      <c r="C536" s="517"/>
      <c r="D536" s="348"/>
      <c r="E536" s="518"/>
      <c r="F536" s="518"/>
      <c r="G536" s="518"/>
      <c r="H536" s="518"/>
      <c r="I536" s="518"/>
      <c r="J536" s="518"/>
      <c r="K536" s="518"/>
      <c r="L536" s="518"/>
      <c r="M536" s="518"/>
      <c r="N536" s="518"/>
      <c r="O536" s="518"/>
      <c r="P536" s="518"/>
      <c r="Q536" s="518"/>
      <c r="R536" s="518"/>
      <c r="S536" s="518"/>
      <c r="T536" s="518"/>
      <c r="U536" s="518"/>
      <c r="V536" s="518"/>
      <c r="W536" s="518"/>
      <c r="X536" s="518"/>
      <c r="Y536" s="518"/>
      <c r="Z536" s="518"/>
    </row>
    <row r="537" spans="1:26" x14ac:dyDescent="0.25">
      <c r="A537" s="348"/>
      <c r="B537" s="348"/>
      <c r="C537" s="517"/>
      <c r="D537" s="348"/>
      <c r="E537" s="518"/>
      <c r="F537" s="518"/>
      <c r="G537" s="518"/>
      <c r="H537" s="518"/>
      <c r="I537" s="518"/>
      <c r="J537" s="518"/>
      <c r="K537" s="518"/>
      <c r="L537" s="518"/>
      <c r="M537" s="518"/>
      <c r="N537" s="518"/>
      <c r="O537" s="518"/>
      <c r="P537" s="518"/>
      <c r="Q537" s="518"/>
      <c r="R537" s="518"/>
      <c r="S537" s="518"/>
      <c r="T537" s="518"/>
      <c r="U537" s="518"/>
      <c r="V537" s="518"/>
      <c r="W537" s="518"/>
      <c r="X537" s="518"/>
      <c r="Y537" s="518"/>
      <c r="Z537" s="518"/>
    </row>
    <row r="538" spans="1:26" x14ac:dyDescent="0.25">
      <c r="A538" s="348"/>
      <c r="B538" s="348"/>
      <c r="C538" s="517"/>
      <c r="D538" s="348"/>
      <c r="E538" s="518"/>
      <c r="F538" s="518"/>
      <c r="G538" s="518"/>
      <c r="H538" s="518"/>
      <c r="I538" s="518"/>
      <c r="J538" s="518"/>
      <c r="K538" s="518"/>
      <c r="L538" s="518"/>
      <c r="M538" s="518"/>
      <c r="N538" s="518"/>
      <c r="O538" s="518"/>
      <c r="P538" s="518"/>
      <c r="Q538" s="518"/>
      <c r="R538" s="518"/>
      <c r="S538" s="518"/>
      <c r="T538" s="518"/>
      <c r="U538" s="518"/>
      <c r="V538" s="518"/>
      <c r="W538" s="518"/>
      <c r="X538" s="518"/>
      <c r="Y538" s="518"/>
      <c r="Z538" s="518"/>
    </row>
    <row r="539" spans="1:26" x14ac:dyDescent="0.25">
      <c r="A539" s="348"/>
      <c r="B539" s="348"/>
      <c r="C539" s="517"/>
      <c r="D539" s="348"/>
      <c r="E539" s="518"/>
      <c r="F539" s="518"/>
      <c r="G539" s="518"/>
      <c r="H539" s="518"/>
      <c r="I539" s="518"/>
      <c r="J539" s="518"/>
      <c r="K539" s="518"/>
      <c r="L539" s="518"/>
      <c r="M539" s="518"/>
      <c r="N539" s="518"/>
      <c r="O539" s="518"/>
      <c r="P539" s="518"/>
      <c r="Q539" s="518"/>
      <c r="R539" s="518"/>
      <c r="S539" s="518"/>
      <c r="T539" s="518"/>
      <c r="U539" s="518"/>
      <c r="V539" s="518"/>
      <c r="W539" s="518"/>
      <c r="X539" s="518"/>
      <c r="Y539" s="518"/>
      <c r="Z539" s="518"/>
    </row>
    <row r="540" spans="1:26" x14ac:dyDescent="0.25">
      <c r="A540" s="348"/>
      <c r="B540" s="348"/>
      <c r="C540" s="517"/>
      <c r="D540" s="348"/>
      <c r="E540" s="518"/>
      <c r="F540" s="518"/>
      <c r="G540" s="518"/>
      <c r="H540" s="518"/>
      <c r="I540" s="518"/>
      <c r="J540" s="518"/>
      <c r="K540" s="518"/>
      <c r="L540" s="518"/>
      <c r="M540" s="518"/>
      <c r="N540" s="518"/>
      <c r="O540" s="518"/>
      <c r="P540" s="518"/>
      <c r="Q540" s="518"/>
      <c r="R540" s="518"/>
      <c r="S540" s="518"/>
      <c r="T540" s="518"/>
      <c r="U540" s="518"/>
      <c r="V540" s="518"/>
      <c r="W540" s="518"/>
      <c r="X540" s="518"/>
      <c r="Y540" s="518"/>
      <c r="Z540" s="518"/>
    </row>
    <row r="541" spans="1:26" x14ac:dyDescent="0.25">
      <c r="A541" s="348"/>
      <c r="B541" s="348"/>
      <c r="C541" s="517"/>
      <c r="D541" s="348"/>
      <c r="E541" s="518"/>
      <c r="F541" s="518"/>
      <c r="G541" s="518"/>
      <c r="H541" s="518"/>
      <c r="I541" s="518"/>
      <c r="J541" s="518"/>
      <c r="K541" s="518"/>
      <c r="L541" s="518"/>
      <c r="M541" s="518"/>
      <c r="N541" s="518"/>
      <c r="O541" s="518"/>
      <c r="P541" s="518"/>
      <c r="Q541" s="518"/>
      <c r="R541" s="518"/>
      <c r="S541" s="518"/>
      <c r="T541" s="518"/>
      <c r="U541" s="518"/>
      <c r="V541" s="518"/>
      <c r="W541" s="518"/>
      <c r="X541" s="518"/>
      <c r="Y541" s="518"/>
      <c r="Z541" s="518"/>
    </row>
    <row r="542" spans="1:26" x14ac:dyDescent="0.25">
      <c r="A542" s="348"/>
      <c r="B542" s="348"/>
      <c r="C542" s="517"/>
      <c r="D542" s="348"/>
      <c r="E542" s="518"/>
      <c r="F542" s="518"/>
      <c r="G542" s="518"/>
      <c r="H542" s="518"/>
      <c r="I542" s="518"/>
      <c r="J542" s="518"/>
      <c r="K542" s="518"/>
      <c r="L542" s="518"/>
      <c r="M542" s="518"/>
      <c r="N542" s="518"/>
      <c r="O542" s="518"/>
      <c r="P542" s="518"/>
      <c r="Q542" s="518"/>
      <c r="R542" s="518"/>
      <c r="S542" s="518"/>
      <c r="T542" s="518"/>
      <c r="U542" s="518"/>
      <c r="V542" s="518"/>
      <c r="W542" s="518"/>
      <c r="X542" s="518"/>
      <c r="Y542" s="518"/>
      <c r="Z542" s="518"/>
    </row>
  </sheetData>
  <sheetProtection password="C614" sheet="1" objects="1" scenarios="1" selectLockedCells="1"/>
  <dataConsolidate/>
  <mergeCells count="28">
    <mergeCell ref="BA225:BB225"/>
    <mergeCell ref="BA226:BB226"/>
    <mergeCell ref="BA227:BB227"/>
    <mergeCell ref="BQ204:BW204"/>
    <mergeCell ref="BX204:BX206"/>
    <mergeCell ref="BC205:BI205"/>
    <mergeCell ref="BJ205:BP205"/>
    <mergeCell ref="BQ205:BW205"/>
    <mergeCell ref="BC204:BP204"/>
    <mergeCell ref="BB204:BB206"/>
    <mergeCell ref="BA222:BB222"/>
    <mergeCell ref="BA223:BB223"/>
    <mergeCell ref="BA224:BB224"/>
    <mergeCell ref="A23:C23"/>
    <mergeCell ref="A24:C24"/>
    <mergeCell ref="A25:C25"/>
    <mergeCell ref="A26:C26"/>
    <mergeCell ref="BA204:BA206"/>
    <mergeCell ref="A27:C27"/>
    <mergeCell ref="A28:C28"/>
    <mergeCell ref="A5:A7"/>
    <mergeCell ref="B5:B7"/>
    <mergeCell ref="C5:C7"/>
    <mergeCell ref="D5:X5"/>
    <mergeCell ref="Y5:Y7"/>
    <mergeCell ref="D6:J6"/>
    <mergeCell ref="K6:Q6"/>
    <mergeCell ref="R6:X6"/>
  </mergeCells>
  <conditionalFormatting sqref="D24:Y24">
    <cfRule type="cellIs" dxfId="18" priority="6" operator="equal">
      <formula>FALSE</formula>
    </cfRule>
  </conditionalFormatting>
  <conditionalFormatting sqref="D26:Y26">
    <cfRule type="cellIs" dxfId="17" priority="5" operator="equal">
      <formula>FALSE</formula>
    </cfRule>
  </conditionalFormatting>
  <conditionalFormatting sqref="D27:Y27">
    <cfRule type="cellIs" dxfId="16" priority="3" operator="equal">
      <formula>"ABVAR"</formula>
    </cfRule>
    <cfRule type="cellIs" dxfId="15" priority="4" operator="equal">
      <formula>FALSE</formula>
    </cfRule>
  </conditionalFormatting>
  <conditionalFormatting sqref="D28:Y28">
    <cfRule type="cellIs" dxfId="14" priority="1" operator="equal">
      <formula>"ABVAR"</formula>
    </cfRule>
    <cfRule type="cellIs" dxfId="13" priority="2" operator="equal">
      <formula>FALSE</formula>
    </cfRule>
  </conditionalFormatting>
  <dataValidations count="1">
    <dataValidation type="whole" allowBlank="1" showInputMessage="1" showErrorMessage="1" sqref="K9:P21 D9:I21 R9:W21">
      <formula1>0</formula1>
      <formula2>999999999</formula2>
    </dataValidation>
  </dataValidations>
  <pageMargins left="0.78740157480314965" right="0.19685039370078741" top="0.59055118110236227" bottom="0.19685039370078741" header="0.31496062992125984" footer="0.31496062992125984"/>
  <pageSetup paperSize="5" orientation="landscape"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G519"/>
  <sheetViews>
    <sheetView showGridLines="0" workbookViewId="0">
      <pane xSplit="3" ySplit="7" topLeftCell="D8" activePane="bottomRight" state="frozen"/>
      <selection activeCell="D9" sqref="D9"/>
      <selection pane="topRight" activeCell="D9" sqref="D9"/>
      <selection pane="bottomLeft" activeCell="D9" sqref="D9"/>
      <selection pane="bottomRight" activeCell="D8" sqref="D8"/>
    </sheetView>
  </sheetViews>
  <sheetFormatPr defaultRowHeight="15" x14ac:dyDescent="0.25"/>
  <cols>
    <col min="1" max="2" width="6.7109375" style="2" customWidth="1"/>
    <col min="3" max="3" width="35.5703125" style="2" bestFit="1" customWidth="1"/>
    <col min="4" max="6" width="12.7109375" style="2" customWidth="1"/>
    <col min="7" max="7" width="15.7109375" style="2" customWidth="1"/>
    <col min="8" max="10" width="12.7109375" style="2" customWidth="1"/>
    <col min="11" max="11" width="15.7109375" style="2" customWidth="1"/>
    <col min="12" max="14" width="12.7109375" style="2" customWidth="1"/>
    <col min="15" max="15" width="15.7109375" style="2" customWidth="1"/>
    <col min="16" max="18" width="12.7109375" style="2" customWidth="1"/>
    <col min="19" max="19" width="15.7109375" style="2" customWidth="1"/>
    <col min="20" max="22" width="12.7109375" style="2" customWidth="1"/>
    <col min="23" max="23" width="15.7109375" style="2" customWidth="1"/>
    <col min="24" max="26" width="12.7109375" style="2" customWidth="1"/>
    <col min="27" max="30" width="15.7109375" style="2" customWidth="1"/>
    <col min="31" max="31" width="18.7109375" style="2" customWidth="1"/>
    <col min="32" max="32" width="8.7109375" style="2" customWidth="1"/>
    <col min="33" max="52" width="9.140625" style="2"/>
    <col min="53" max="53" width="4.5703125" style="2" customWidth="1"/>
    <col min="54" max="54" width="20.28515625" style="2" customWidth="1"/>
    <col min="55" max="16384" width="9.140625" style="2"/>
  </cols>
  <sheetData>
    <row r="1" spans="1:32" ht="15.75" x14ac:dyDescent="0.25">
      <c r="A1" s="285" t="str">
        <f>ADSI!$B$1</f>
        <v>Goa, , ADSI-2021</v>
      </c>
    </row>
    <row r="2" spans="1:32" ht="15.75" x14ac:dyDescent="0.25">
      <c r="A2" s="286" t="s">
        <v>657</v>
      </c>
      <c r="C2" s="291">
        <f>COUNTIF(AB20:AE20,FALSE)+COUNTIF(AB22:AE22,FALSE)</f>
        <v>0</v>
      </c>
      <c r="E2" s="465" t="s">
        <v>1570</v>
      </c>
      <c r="F2" s="464">
        <f>COUNTIF(D18:AE18,"ABVAR")</f>
        <v>0</v>
      </c>
    </row>
    <row r="3" spans="1:32" ht="15.75" x14ac:dyDescent="0.25">
      <c r="A3" s="296" t="s">
        <v>156</v>
      </c>
      <c r="C3" s="61"/>
      <c r="D3" s="61"/>
      <c r="E3" s="61"/>
      <c r="F3" s="61"/>
      <c r="G3" s="61"/>
      <c r="H3" s="61"/>
      <c r="I3" s="61"/>
      <c r="J3" s="61"/>
      <c r="K3" s="61"/>
      <c r="L3" s="61"/>
      <c r="M3" s="35"/>
      <c r="O3" s="61"/>
      <c r="P3" s="61"/>
      <c r="Q3" s="61"/>
      <c r="R3" s="61"/>
      <c r="S3" s="61"/>
      <c r="T3" s="61"/>
      <c r="U3" s="61"/>
      <c r="V3" s="61"/>
      <c r="W3" s="61"/>
      <c r="X3" s="61"/>
      <c r="Y3" s="61"/>
      <c r="Z3" s="61"/>
      <c r="AA3" s="61"/>
      <c r="AB3" s="61"/>
      <c r="AC3" s="61"/>
      <c r="AD3" s="61"/>
      <c r="AE3" s="61"/>
    </row>
    <row r="4" spans="1:32" x14ac:dyDescent="0.25">
      <c r="A4" s="296" t="s">
        <v>1664</v>
      </c>
      <c r="C4" s="61"/>
      <c r="D4" s="61"/>
      <c r="E4" s="61"/>
      <c r="F4" s="61"/>
      <c r="G4" s="61"/>
      <c r="H4" s="61"/>
      <c r="I4" s="61"/>
      <c r="J4" s="61"/>
      <c r="K4" s="61"/>
      <c r="L4" s="61"/>
      <c r="O4" s="61"/>
      <c r="P4" s="61"/>
      <c r="Q4" s="61"/>
      <c r="R4" s="61"/>
      <c r="S4" s="61"/>
      <c r="T4" s="61"/>
      <c r="U4" s="61"/>
      <c r="V4" s="61"/>
      <c r="W4" s="61"/>
      <c r="X4" s="80"/>
      <c r="Y4" s="80"/>
      <c r="Z4" s="80"/>
      <c r="AA4" s="80"/>
    </row>
    <row r="5" spans="1:32" ht="20.100000000000001" customHeight="1" x14ac:dyDescent="0.25">
      <c r="A5" s="636" t="s">
        <v>249</v>
      </c>
      <c r="B5" s="725" t="s">
        <v>0</v>
      </c>
      <c r="C5" s="698" t="s">
        <v>132</v>
      </c>
      <c r="D5" s="646" t="s">
        <v>155</v>
      </c>
      <c r="E5" s="646"/>
      <c r="F5" s="646"/>
      <c r="G5" s="646"/>
      <c r="H5" s="698" t="s">
        <v>136</v>
      </c>
      <c r="I5" s="698"/>
      <c r="J5" s="698"/>
      <c r="K5" s="698"/>
      <c r="L5" s="646" t="s">
        <v>287</v>
      </c>
      <c r="M5" s="646"/>
      <c r="N5" s="646"/>
      <c r="O5" s="646"/>
      <c r="P5" s="698" t="s">
        <v>286</v>
      </c>
      <c r="Q5" s="698"/>
      <c r="R5" s="698"/>
      <c r="S5" s="698"/>
      <c r="T5" s="646" t="s">
        <v>137</v>
      </c>
      <c r="U5" s="646"/>
      <c r="V5" s="646"/>
      <c r="W5" s="646"/>
      <c r="X5" s="638" t="s">
        <v>151</v>
      </c>
      <c r="Y5" s="639"/>
      <c r="Z5" s="639"/>
      <c r="AA5" s="640"/>
      <c r="AB5" s="646" t="s">
        <v>150</v>
      </c>
      <c r="AC5" s="646"/>
      <c r="AD5" s="646"/>
      <c r="AE5" s="646"/>
    </row>
    <row r="6" spans="1:32" ht="20.100000000000001" customHeight="1" x14ac:dyDescent="0.25">
      <c r="A6" s="644"/>
      <c r="B6" s="726"/>
      <c r="C6" s="698"/>
      <c r="D6" s="79" t="s">
        <v>38</v>
      </c>
      <c r="E6" s="79" t="s">
        <v>39</v>
      </c>
      <c r="F6" s="79" t="s">
        <v>240</v>
      </c>
      <c r="G6" s="79" t="s">
        <v>17</v>
      </c>
      <c r="H6" s="229" t="s">
        <v>38</v>
      </c>
      <c r="I6" s="229" t="s">
        <v>39</v>
      </c>
      <c r="J6" s="229" t="s">
        <v>240</v>
      </c>
      <c r="K6" s="229" t="s">
        <v>17</v>
      </c>
      <c r="L6" s="79" t="s">
        <v>38</v>
      </c>
      <c r="M6" s="79" t="s">
        <v>39</v>
      </c>
      <c r="N6" s="79" t="s">
        <v>240</v>
      </c>
      <c r="O6" s="79" t="s">
        <v>17</v>
      </c>
      <c r="P6" s="229" t="s">
        <v>38</v>
      </c>
      <c r="Q6" s="229" t="s">
        <v>39</v>
      </c>
      <c r="R6" s="229" t="s">
        <v>240</v>
      </c>
      <c r="S6" s="229" t="s">
        <v>17</v>
      </c>
      <c r="T6" s="79" t="s">
        <v>38</v>
      </c>
      <c r="U6" s="79" t="s">
        <v>39</v>
      </c>
      <c r="V6" s="79" t="s">
        <v>240</v>
      </c>
      <c r="W6" s="79" t="s">
        <v>17</v>
      </c>
      <c r="X6" s="229" t="s">
        <v>38</v>
      </c>
      <c r="Y6" s="229" t="s">
        <v>39</v>
      </c>
      <c r="Z6" s="229" t="s">
        <v>240</v>
      </c>
      <c r="AA6" s="229" t="s">
        <v>17</v>
      </c>
      <c r="AB6" s="79" t="s">
        <v>38</v>
      </c>
      <c r="AC6" s="79" t="s">
        <v>39</v>
      </c>
      <c r="AD6" s="79" t="s">
        <v>240</v>
      </c>
      <c r="AE6" s="79" t="s">
        <v>17</v>
      </c>
    </row>
    <row r="7" spans="1:32" ht="20.100000000000001" customHeight="1" x14ac:dyDescent="0.25">
      <c r="A7" s="637"/>
      <c r="B7" s="9" t="s">
        <v>181</v>
      </c>
      <c r="C7" s="218" t="s">
        <v>182</v>
      </c>
      <c r="D7" s="8" t="s">
        <v>183</v>
      </c>
      <c r="E7" s="9" t="s">
        <v>184</v>
      </c>
      <c r="F7" s="9" t="s">
        <v>185</v>
      </c>
      <c r="G7" s="9" t="s">
        <v>186</v>
      </c>
      <c r="H7" s="219" t="s">
        <v>187</v>
      </c>
      <c r="I7" s="219" t="s">
        <v>188</v>
      </c>
      <c r="J7" s="219" t="s">
        <v>189</v>
      </c>
      <c r="K7" s="219" t="s">
        <v>190</v>
      </c>
      <c r="L7" s="8" t="s">
        <v>191</v>
      </c>
      <c r="M7" s="8" t="s">
        <v>192</v>
      </c>
      <c r="N7" s="8" t="s">
        <v>193</v>
      </c>
      <c r="O7" s="8" t="s">
        <v>194</v>
      </c>
      <c r="P7" s="219" t="s">
        <v>195</v>
      </c>
      <c r="Q7" s="219" t="s">
        <v>196</v>
      </c>
      <c r="R7" s="219" t="s">
        <v>197</v>
      </c>
      <c r="S7" s="219" t="s">
        <v>204</v>
      </c>
      <c r="T7" s="8" t="s">
        <v>205</v>
      </c>
      <c r="U7" s="8" t="s">
        <v>206</v>
      </c>
      <c r="V7" s="8" t="s">
        <v>207</v>
      </c>
      <c r="W7" s="8" t="s">
        <v>208</v>
      </c>
      <c r="X7" s="219" t="s">
        <v>209</v>
      </c>
      <c r="Y7" s="219" t="s">
        <v>210</v>
      </c>
      <c r="Z7" s="219" t="s">
        <v>211</v>
      </c>
      <c r="AA7" s="219" t="s">
        <v>212</v>
      </c>
      <c r="AB7" s="8" t="s">
        <v>213</v>
      </c>
      <c r="AC7" s="8" t="s">
        <v>214</v>
      </c>
      <c r="AD7" s="8" t="s">
        <v>215</v>
      </c>
      <c r="AE7" s="8" t="s">
        <v>216</v>
      </c>
    </row>
    <row r="8" spans="1:32" ht="20.100000000000001" customHeight="1" x14ac:dyDescent="0.25">
      <c r="A8" s="78">
        <v>1030</v>
      </c>
      <c r="B8" s="118">
        <v>1</v>
      </c>
      <c r="C8" s="13" t="s">
        <v>130</v>
      </c>
      <c r="D8" s="265">
        <v>0</v>
      </c>
      <c r="E8" s="265">
        <v>0</v>
      </c>
      <c r="F8" s="265">
        <v>0</v>
      </c>
      <c r="G8" s="438">
        <f>SUM(D8:F8)</f>
        <v>0</v>
      </c>
      <c r="H8" s="265">
        <v>0</v>
      </c>
      <c r="I8" s="265">
        <v>0</v>
      </c>
      <c r="J8" s="265">
        <v>0</v>
      </c>
      <c r="K8" s="438">
        <f>SUM(H8:J8)</f>
        <v>0</v>
      </c>
      <c r="L8" s="265">
        <v>0</v>
      </c>
      <c r="M8" s="265">
        <v>0</v>
      </c>
      <c r="N8" s="265">
        <v>0</v>
      </c>
      <c r="O8" s="438">
        <f>SUM(L8:N8)</f>
        <v>0</v>
      </c>
      <c r="P8" s="265">
        <v>0</v>
      </c>
      <c r="Q8" s="265">
        <v>0</v>
      </c>
      <c r="R8" s="265">
        <v>0</v>
      </c>
      <c r="S8" s="438">
        <f>SUM(P8:R8)</f>
        <v>0</v>
      </c>
      <c r="T8" s="265">
        <v>0</v>
      </c>
      <c r="U8" s="265">
        <v>0</v>
      </c>
      <c r="V8" s="265">
        <v>0</v>
      </c>
      <c r="W8" s="438">
        <f>SUM(T8:V8)</f>
        <v>0</v>
      </c>
      <c r="X8" s="265">
        <v>0</v>
      </c>
      <c r="Y8" s="265">
        <v>0</v>
      </c>
      <c r="Z8" s="265">
        <v>0</v>
      </c>
      <c r="AA8" s="438">
        <f>SUM(X8:Z8)</f>
        <v>0</v>
      </c>
      <c r="AB8" s="438">
        <f t="shared" ref="AB8:AB16" si="0">SUM(D8+H8+L8+P8+T8+X8)</f>
        <v>0</v>
      </c>
      <c r="AC8" s="438">
        <f>SUM(E8+I8+M8+Q8+U8+Y8)</f>
        <v>0</v>
      </c>
      <c r="AD8" s="438">
        <f>SUM(F8+J8+N8+R8+V8+Z8)</f>
        <v>0</v>
      </c>
      <c r="AE8" s="438">
        <f>SUM(AB8:AD8)</f>
        <v>0</v>
      </c>
      <c r="AF8" s="336"/>
    </row>
    <row r="9" spans="1:32" ht="20.100000000000001" customHeight="1" x14ac:dyDescent="0.25">
      <c r="A9" s="78">
        <v>1031</v>
      </c>
      <c r="B9" s="118">
        <v>2</v>
      </c>
      <c r="C9" s="12" t="s">
        <v>635</v>
      </c>
      <c r="D9" s="265">
        <v>0</v>
      </c>
      <c r="E9" s="265">
        <v>0</v>
      </c>
      <c r="F9" s="265">
        <v>0</v>
      </c>
      <c r="G9" s="438">
        <f t="shared" ref="G9:G16" si="1">SUM(D9:F9)</f>
        <v>0</v>
      </c>
      <c r="H9" s="265">
        <v>0</v>
      </c>
      <c r="I9" s="265">
        <v>0</v>
      </c>
      <c r="J9" s="265">
        <v>0</v>
      </c>
      <c r="K9" s="438">
        <f t="shared" ref="K9:K16" si="2">SUM(H9:J9)</f>
        <v>0</v>
      </c>
      <c r="L9" s="265">
        <v>0</v>
      </c>
      <c r="M9" s="265">
        <v>0</v>
      </c>
      <c r="N9" s="265">
        <v>0</v>
      </c>
      <c r="O9" s="438">
        <f t="shared" ref="O9:O16" si="3">SUM(L9:N9)</f>
        <v>0</v>
      </c>
      <c r="P9" s="265">
        <v>0</v>
      </c>
      <c r="Q9" s="265">
        <v>0</v>
      </c>
      <c r="R9" s="265">
        <v>0</v>
      </c>
      <c r="S9" s="438">
        <f t="shared" ref="S9:S16" si="4">SUM(P9:R9)</f>
        <v>0</v>
      </c>
      <c r="T9" s="265">
        <v>0</v>
      </c>
      <c r="U9" s="265">
        <v>0</v>
      </c>
      <c r="V9" s="265">
        <v>0</v>
      </c>
      <c r="W9" s="438">
        <f t="shared" ref="W9:W16" si="5">SUM(T9:V9)</f>
        <v>0</v>
      </c>
      <c r="X9" s="265">
        <v>0</v>
      </c>
      <c r="Y9" s="265">
        <v>0</v>
      </c>
      <c r="Z9" s="265">
        <v>0</v>
      </c>
      <c r="AA9" s="438">
        <f t="shared" ref="AA9:AA16" si="6">SUM(X9:Z9)</f>
        <v>0</v>
      </c>
      <c r="AB9" s="438">
        <f t="shared" si="0"/>
        <v>0</v>
      </c>
      <c r="AC9" s="438">
        <f t="shared" ref="AC9:AD16" si="7">SUM(E9+I9+M9+Q9+U9+Y9)</f>
        <v>0</v>
      </c>
      <c r="AD9" s="438">
        <f t="shared" si="7"/>
        <v>0</v>
      </c>
      <c r="AE9" s="438">
        <f t="shared" ref="AE9:AE16" si="8">SUM(AB9:AD9)</f>
        <v>0</v>
      </c>
      <c r="AF9" s="336"/>
    </row>
    <row r="10" spans="1:32" ht="20.100000000000001" customHeight="1" x14ac:dyDescent="0.25">
      <c r="A10" s="118">
        <v>1032</v>
      </c>
      <c r="B10" s="118">
        <v>3</v>
      </c>
      <c r="C10" s="12" t="s">
        <v>636</v>
      </c>
      <c r="D10" s="265">
        <v>0</v>
      </c>
      <c r="E10" s="265">
        <v>0</v>
      </c>
      <c r="F10" s="265">
        <v>0</v>
      </c>
      <c r="G10" s="438">
        <f t="shared" si="1"/>
        <v>0</v>
      </c>
      <c r="H10" s="265">
        <v>0</v>
      </c>
      <c r="I10" s="265">
        <v>0</v>
      </c>
      <c r="J10" s="265">
        <v>0</v>
      </c>
      <c r="K10" s="438">
        <f t="shared" si="2"/>
        <v>0</v>
      </c>
      <c r="L10" s="265">
        <v>0</v>
      </c>
      <c r="M10" s="265">
        <v>0</v>
      </c>
      <c r="N10" s="265">
        <v>0</v>
      </c>
      <c r="O10" s="438">
        <f t="shared" si="3"/>
        <v>0</v>
      </c>
      <c r="P10" s="265">
        <v>0</v>
      </c>
      <c r="Q10" s="265">
        <v>0</v>
      </c>
      <c r="R10" s="265">
        <v>0</v>
      </c>
      <c r="S10" s="438">
        <f t="shared" si="4"/>
        <v>0</v>
      </c>
      <c r="T10" s="265">
        <v>0</v>
      </c>
      <c r="U10" s="265">
        <v>0</v>
      </c>
      <c r="V10" s="265">
        <v>0</v>
      </c>
      <c r="W10" s="438">
        <f t="shared" si="5"/>
        <v>0</v>
      </c>
      <c r="X10" s="265">
        <v>0</v>
      </c>
      <c r="Y10" s="265">
        <v>0</v>
      </c>
      <c r="Z10" s="265">
        <v>0</v>
      </c>
      <c r="AA10" s="438">
        <f t="shared" si="6"/>
        <v>0</v>
      </c>
      <c r="AB10" s="438">
        <f t="shared" si="0"/>
        <v>0</v>
      </c>
      <c r="AC10" s="438">
        <f t="shared" si="7"/>
        <v>0</v>
      </c>
      <c r="AD10" s="438">
        <f t="shared" si="7"/>
        <v>0</v>
      </c>
      <c r="AE10" s="438">
        <f t="shared" si="8"/>
        <v>0</v>
      </c>
      <c r="AF10" s="336"/>
    </row>
    <row r="11" spans="1:32" ht="20.100000000000001" customHeight="1" x14ac:dyDescent="0.25">
      <c r="A11" s="118">
        <v>1033</v>
      </c>
      <c r="B11" s="118">
        <v>4</v>
      </c>
      <c r="C11" s="12" t="s">
        <v>640</v>
      </c>
      <c r="D11" s="265">
        <v>0</v>
      </c>
      <c r="E11" s="265">
        <v>0</v>
      </c>
      <c r="F11" s="265">
        <v>0</v>
      </c>
      <c r="G11" s="438">
        <f t="shared" si="1"/>
        <v>0</v>
      </c>
      <c r="H11" s="265">
        <v>0</v>
      </c>
      <c r="I11" s="265">
        <v>0</v>
      </c>
      <c r="J11" s="265">
        <v>0</v>
      </c>
      <c r="K11" s="438">
        <f t="shared" si="2"/>
        <v>0</v>
      </c>
      <c r="L11" s="265">
        <v>0</v>
      </c>
      <c r="M11" s="265">
        <v>0</v>
      </c>
      <c r="N11" s="265">
        <v>0</v>
      </c>
      <c r="O11" s="438">
        <f t="shared" si="3"/>
        <v>0</v>
      </c>
      <c r="P11" s="265">
        <v>0</v>
      </c>
      <c r="Q11" s="265">
        <v>0</v>
      </c>
      <c r="R11" s="265">
        <v>0</v>
      </c>
      <c r="S11" s="438">
        <f t="shared" si="4"/>
        <v>0</v>
      </c>
      <c r="T11" s="265">
        <v>0</v>
      </c>
      <c r="U11" s="265">
        <v>0</v>
      </c>
      <c r="V11" s="265">
        <v>0</v>
      </c>
      <c r="W11" s="438">
        <f t="shared" si="5"/>
        <v>0</v>
      </c>
      <c r="X11" s="265">
        <v>0</v>
      </c>
      <c r="Y11" s="265">
        <v>0</v>
      </c>
      <c r="Z11" s="265">
        <v>0</v>
      </c>
      <c r="AA11" s="438">
        <f t="shared" si="6"/>
        <v>0</v>
      </c>
      <c r="AB11" s="438">
        <f t="shared" si="0"/>
        <v>0</v>
      </c>
      <c r="AC11" s="438">
        <f t="shared" si="7"/>
        <v>0</v>
      </c>
      <c r="AD11" s="438">
        <f t="shared" si="7"/>
        <v>0</v>
      </c>
      <c r="AE11" s="438">
        <f t="shared" si="8"/>
        <v>0</v>
      </c>
      <c r="AF11" s="336"/>
    </row>
    <row r="12" spans="1:32" ht="30" x14ac:dyDescent="0.25">
      <c r="A12" s="118">
        <v>1034</v>
      </c>
      <c r="B12" s="118">
        <v>5</v>
      </c>
      <c r="C12" s="12" t="s">
        <v>637</v>
      </c>
      <c r="D12" s="265">
        <v>0</v>
      </c>
      <c r="E12" s="265">
        <v>0</v>
      </c>
      <c r="F12" s="265">
        <v>0</v>
      </c>
      <c r="G12" s="438">
        <f t="shared" si="1"/>
        <v>0</v>
      </c>
      <c r="H12" s="265">
        <v>0</v>
      </c>
      <c r="I12" s="265">
        <v>0</v>
      </c>
      <c r="J12" s="265">
        <v>0</v>
      </c>
      <c r="K12" s="438">
        <f t="shared" si="2"/>
        <v>0</v>
      </c>
      <c r="L12" s="265">
        <v>0</v>
      </c>
      <c r="M12" s="265">
        <v>0</v>
      </c>
      <c r="N12" s="265">
        <v>0</v>
      </c>
      <c r="O12" s="438">
        <f t="shared" si="3"/>
        <v>0</v>
      </c>
      <c r="P12" s="265">
        <v>0</v>
      </c>
      <c r="Q12" s="265">
        <v>0</v>
      </c>
      <c r="R12" s="265">
        <v>0</v>
      </c>
      <c r="S12" s="438">
        <f t="shared" si="4"/>
        <v>0</v>
      </c>
      <c r="T12" s="265">
        <v>0</v>
      </c>
      <c r="U12" s="265">
        <v>0</v>
      </c>
      <c r="V12" s="265">
        <v>0</v>
      </c>
      <c r="W12" s="438">
        <f t="shared" si="5"/>
        <v>0</v>
      </c>
      <c r="X12" s="265">
        <v>0</v>
      </c>
      <c r="Y12" s="265">
        <v>0</v>
      </c>
      <c r="Z12" s="265">
        <v>0</v>
      </c>
      <c r="AA12" s="438">
        <f t="shared" si="6"/>
        <v>0</v>
      </c>
      <c r="AB12" s="438">
        <f t="shared" si="0"/>
        <v>0</v>
      </c>
      <c r="AC12" s="438">
        <f t="shared" si="7"/>
        <v>0</v>
      </c>
      <c r="AD12" s="438">
        <f t="shared" si="7"/>
        <v>0</v>
      </c>
      <c r="AE12" s="438">
        <f t="shared" si="8"/>
        <v>0</v>
      </c>
      <c r="AF12" s="336"/>
    </row>
    <row r="13" spans="1:32" ht="20.100000000000001" customHeight="1" x14ac:dyDescent="0.25">
      <c r="A13" s="118">
        <v>1035</v>
      </c>
      <c r="B13" s="118">
        <v>6</v>
      </c>
      <c r="C13" s="12" t="s">
        <v>638</v>
      </c>
      <c r="D13" s="265">
        <v>0</v>
      </c>
      <c r="E13" s="265">
        <v>0</v>
      </c>
      <c r="F13" s="265">
        <v>0</v>
      </c>
      <c r="G13" s="438">
        <f t="shared" si="1"/>
        <v>0</v>
      </c>
      <c r="H13" s="265">
        <v>0</v>
      </c>
      <c r="I13" s="265">
        <v>0</v>
      </c>
      <c r="J13" s="265">
        <v>0</v>
      </c>
      <c r="K13" s="438">
        <f t="shared" si="2"/>
        <v>0</v>
      </c>
      <c r="L13" s="265">
        <v>0</v>
      </c>
      <c r="M13" s="265">
        <v>0</v>
      </c>
      <c r="N13" s="265">
        <v>0</v>
      </c>
      <c r="O13" s="438">
        <f t="shared" si="3"/>
        <v>0</v>
      </c>
      <c r="P13" s="265">
        <v>0</v>
      </c>
      <c r="Q13" s="265">
        <v>0</v>
      </c>
      <c r="R13" s="265">
        <v>0</v>
      </c>
      <c r="S13" s="438">
        <f t="shared" si="4"/>
        <v>0</v>
      </c>
      <c r="T13" s="265">
        <v>0</v>
      </c>
      <c r="U13" s="265">
        <v>0</v>
      </c>
      <c r="V13" s="265">
        <v>0</v>
      </c>
      <c r="W13" s="438">
        <f t="shared" si="5"/>
        <v>0</v>
      </c>
      <c r="X13" s="265">
        <v>0</v>
      </c>
      <c r="Y13" s="265">
        <v>0</v>
      </c>
      <c r="Z13" s="265">
        <v>0</v>
      </c>
      <c r="AA13" s="438">
        <f t="shared" si="6"/>
        <v>0</v>
      </c>
      <c r="AB13" s="438">
        <f t="shared" si="0"/>
        <v>0</v>
      </c>
      <c r="AC13" s="438">
        <f t="shared" si="7"/>
        <v>0</v>
      </c>
      <c r="AD13" s="438">
        <f t="shared" si="7"/>
        <v>0</v>
      </c>
      <c r="AE13" s="438">
        <f t="shared" si="8"/>
        <v>0</v>
      </c>
      <c r="AF13" s="336"/>
    </row>
    <row r="14" spans="1:32" ht="20.100000000000001" customHeight="1" x14ac:dyDescent="0.25">
      <c r="A14" s="118">
        <v>1036</v>
      </c>
      <c r="B14" s="118">
        <v>7</v>
      </c>
      <c r="C14" s="13" t="s">
        <v>131</v>
      </c>
      <c r="D14" s="265">
        <v>0</v>
      </c>
      <c r="E14" s="265">
        <v>0</v>
      </c>
      <c r="F14" s="265">
        <v>0</v>
      </c>
      <c r="G14" s="438">
        <f t="shared" si="1"/>
        <v>0</v>
      </c>
      <c r="H14" s="265">
        <v>0</v>
      </c>
      <c r="I14" s="265">
        <v>0</v>
      </c>
      <c r="J14" s="265">
        <v>0</v>
      </c>
      <c r="K14" s="438">
        <f t="shared" si="2"/>
        <v>0</v>
      </c>
      <c r="L14" s="265">
        <v>0</v>
      </c>
      <c r="M14" s="265">
        <v>0</v>
      </c>
      <c r="N14" s="265">
        <v>0</v>
      </c>
      <c r="O14" s="438">
        <f t="shared" si="3"/>
        <v>0</v>
      </c>
      <c r="P14" s="265">
        <v>0</v>
      </c>
      <c r="Q14" s="265">
        <v>0</v>
      </c>
      <c r="R14" s="265">
        <v>0</v>
      </c>
      <c r="S14" s="438">
        <f t="shared" si="4"/>
        <v>0</v>
      </c>
      <c r="T14" s="265">
        <v>0</v>
      </c>
      <c r="U14" s="265">
        <v>0</v>
      </c>
      <c r="V14" s="265">
        <v>0</v>
      </c>
      <c r="W14" s="438">
        <f t="shared" si="5"/>
        <v>0</v>
      </c>
      <c r="X14" s="265">
        <v>0</v>
      </c>
      <c r="Y14" s="265">
        <v>0</v>
      </c>
      <c r="Z14" s="265">
        <v>0</v>
      </c>
      <c r="AA14" s="438">
        <f t="shared" si="6"/>
        <v>0</v>
      </c>
      <c r="AB14" s="438">
        <f t="shared" si="0"/>
        <v>0</v>
      </c>
      <c r="AC14" s="438">
        <f t="shared" si="7"/>
        <v>0</v>
      </c>
      <c r="AD14" s="438">
        <f t="shared" si="7"/>
        <v>0</v>
      </c>
      <c r="AE14" s="438">
        <f t="shared" si="8"/>
        <v>0</v>
      </c>
      <c r="AF14" s="336"/>
    </row>
    <row r="15" spans="1:32" ht="20.100000000000001" customHeight="1" x14ac:dyDescent="0.25">
      <c r="A15" s="118">
        <v>1037</v>
      </c>
      <c r="B15" s="118">
        <v>8</v>
      </c>
      <c r="C15" s="13" t="s">
        <v>285</v>
      </c>
      <c r="D15" s="265">
        <v>0</v>
      </c>
      <c r="E15" s="265">
        <v>0</v>
      </c>
      <c r="F15" s="265">
        <v>0</v>
      </c>
      <c r="G15" s="438">
        <f t="shared" si="1"/>
        <v>0</v>
      </c>
      <c r="H15" s="265">
        <v>0</v>
      </c>
      <c r="I15" s="265">
        <v>0</v>
      </c>
      <c r="J15" s="265">
        <v>0</v>
      </c>
      <c r="K15" s="438">
        <f t="shared" si="2"/>
        <v>0</v>
      </c>
      <c r="L15" s="265">
        <v>0</v>
      </c>
      <c r="M15" s="265">
        <v>0</v>
      </c>
      <c r="N15" s="265">
        <v>0</v>
      </c>
      <c r="O15" s="438">
        <f t="shared" si="3"/>
        <v>0</v>
      </c>
      <c r="P15" s="265">
        <v>0</v>
      </c>
      <c r="Q15" s="265">
        <v>0</v>
      </c>
      <c r="R15" s="265">
        <v>0</v>
      </c>
      <c r="S15" s="438">
        <f t="shared" si="4"/>
        <v>0</v>
      </c>
      <c r="T15" s="265">
        <v>0</v>
      </c>
      <c r="U15" s="265">
        <v>0</v>
      </c>
      <c r="V15" s="265">
        <v>0</v>
      </c>
      <c r="W15" s="438">
        <f t="shared" si="5"/>
        <v>0</v>
      </c>
      <c r="X15" s="265">
        <v>0</v>
      </c>
      <c r="Y15" s="265">
        <v>0</v>
      </c>
      <c r="Z15" s="265">
        <v>0</v>
      </c>
      <c r="AA15" s="438">
        <f t="shared" si="6"/>
        <v>0</v>
      </c>
      <c r="AB15" s="438">
        <f t="shared" si="0"/>
        <v>0</v>
      </c>
      <c r="AC15" s="438">
        <f t="shared" si="7"/>
        <v>0</v>
      </c>
      <c r="AD15" s="438">
        <f t="shared" si="7"/>
        <v>0</v>
      </c>
      <c r="AE15" s="438">
        <f t="shared" si="8"/>
        <v>0</v>
      </c>
      <c r="AF15" s="336"/>
    </row>
    <row r="16" spans="1:32" ht="20.100000000000001" customHeight="1" x14ac:dyDescent="0.25">
      <c r="A16" s="118">
        <v>1038</v>
      </c>
      <c r="B16" s="118">
        <v>9</v>
      </c>
      <c r="C16" s="13" t="s">
        <v>239</v>
      </c>
      <c r="D16" s="265">
        <v>0</v>
      </c>
      <c r="E16" s="265">
        <v>0</v>
      </c>
      <c r="F16" s="265">
        <v>0</v>
      </c>
      <c r="G16" s="438">
        <f t="shared" si="1"/>
        <v>0</v>
      </c>
      <c r="H16" s="265">
        <v>0</v>
      </c>
      <c r="I16" s="265">
        <v>0</v>
      </c>
      <c r="J16" s="265">
        <v>0</v>
      </c>
      <c r="K16" s="438">
        <f t="shared" si="2"/>
        <v>0</v>
      </c>
      <c r="L16" s="265">
        <v>0</v>
      </c>
      <c r="M16" s="265">
        <v>0</v>
      </c>
      <c r="N16" s="265">
        <v>0</v>
      </c>
      <c r="O16" s="438">
        <f t="shared" si="3"/>
        <v>0</v>
      </c>
      <c r="P16" s="265">
        <v>0</v>
      </c>
      <c r="Q16" s="265">
        <v>0</v>
      </c>
      <c r="R16" s="265">
        <v>0</v>
      </c>
      <c r="S16" s="438">
        <f t="shared" si="4"/>
        <v>0</v>
      </c>
      <c r="T16" s="265">
        <v>0</v>
      </c>
      <c r="U16" s="265">
        <v>0</v>
      </c>
      <c r="V16" s="265">
        <v>0</v>
      </c>
      <c r="W16" s="438">
        <f t="shared" si="5"/>
        <v>0</v>
      </c>
      <c r="X16" s="265">
        <v>0</v>
      </c>
      <c r="Y16" s="265">
        <v>0</v>
      </c>
      <c r="Z16" s="265">
        <v>0</v>
      </c>
      <c r="AA16" s="438">
        <f t="shared" si="6"/>
        <v>0</v>
      </c>
      <c r="AB16" s="438">
        <f t="shared" si="0"/>
        <v>0</v>
      </c>
      <c r="AC16" s="438">
        <f t="shared" si="7"/>
        <v>0</v>
      </c>
      <c r="AD16" s="438">
        <f t="shared" si="7"/>
        <v>0</v>
      </c>
      <c r="AE16" s="438">
        <f t="shared" si="8"/>
        <v>0</v>
      </c>
      <c r="AF16" s="336"/>
    </row>
    <row r="17" spans="1:32" ht="20.100000000000001" customHeight="1" x14ac:dyDescent="0.25">
      <c r="A17" s="118">
        <v>1045</v>
      </c>
      <c r="B17" s="254">
        <v>10</v>
      </c>
      <c r="C17" s="18" t="s">
        <v>639</v>
      </c>
      <c r="D17" s="441">
        <f>SUM(D8:D16)</f>
        <v>0</v>
      </c>
      <c r="E17" s="441">
        <f t="shared" ref="E17:AD17" si="9">SUM(E8:E16)</f>
        <v>0</v>
      </c>
      <c r="F17" s="441">
        <f t="shared" si="9"/>
        <v>0</v>
      </c>
      <c r="G17" s="441">
        <f t="shared" si="9"/>
        <v>0</v>
      </c>
      <c r="H17" s="441">
        <f t="shared" si="9"/>
        <v>0</v>
      </c>
      <c r="I17" s="441">
        <f t="shared" si="9"/>
        <v>0</v>
      </c>
      <c r="J17" s="441">
        <f t="shared" si="9"/>
        <v>0</v>
      </c>
      <c r="K17" s="441">
        <f t="shared" si="9"/>
        <v>0</v>
      </c>
      <c r="L17" s="441">
        <f t="shared" si="9"/>
        <v>0</v>
      </c>
      <c r="M17" s="441">
        <f t="shared" si="9"/>
        <v>0</v>
      </c>
      <c r="N17" s="441">
        <f t="shared" si="9"/>
        <v>0</v>
      </c>
      <c r="O17" s="441">
        <f t="shared" si="9"/>
        <v>0</v>
      </c>
      <c r="P17" s="441">
        <f t="shared" si="9"/>
        <v>0</v>
      </c>
      <c r="Q17" s="441">
        <f t="shared" si="9"/>
        <v>0</v>
      </c>
      <c r="R17" s="441">
        <f t="shared" si="9"/>
        <v>0</v>
      </c>
      <c r="S17" s="441">
        <f t="shared" si="9"/>
        <v>0</v>
      </c>
      <c r="T17" s="441">
        <f t="shared" si="9"/>
        <v>0</v>
      </c>
      <c r="U17" s="441">
        <f t="shared" si="9"/>
        <v>0</v>
      </c>
      <c r="V17" s="441">
        <f t="shared" si="9"/>
        <v>0</v>
      </c>
      <c r="W17" s="441">
        <f t="shared" si="9"/>
        <v>0</v>
      </c>
      <c r="X17" s="441">
        <f t="shared" si="9"/>
        <v>0</v>
      </c>
      <c r="Y17" s="441">
        <f t="shared" si="9"/>
        <v>0</v>
      </c>
      <c r="Z17" s="441">
        <f t="shared" si="9"/>
        <v>0</v>
      </c>
      <c r="AA17" s="441">
        <f t="shared" si="9"/>
        <v>0</v>
      </c>
      <c r="AB17" s="441">
        <f t="shared" si="9"/>
        <v>0</v>
      </c>
      <c r="AC17" s="441">
        <f t="shared" si="9"/>
        <v>0</v>
      </c>
      <c r="AD17" s="441">
        <f t="shared" si="9"/>
        <v>0</v>
      </c>
      <c r="AE17" s="441">
        <f>SUM(AE8:AE16)</f>
        <v>0</v>
      </c>
      <c r="AF17" s="336"/>
    </row>
    <row r="18" spans="1:32" ht="24.95" customHeight="1" x14ac:dyDescent="0.25">
      <c r="A18" s="595" t="s">
        <v>1600</v>
      </c>
      <c r="B18" s="596"/>
      <c r="C18" s="597"/>
      <c r="D18" s="463" t="str">
        <f>IF(D17&gt;0,IF((D16/D17*100)&gt;10,"ABVAR",""),"")</f>
        <v/>
      </c>
      <c r="E18" s="463" t="str">
        <f t="shared" ref="E18:AE18" si="10">IF(E17&gt;0,IF((E16/E17*100)&gt;10,"ABVAR",""),"")</f>
        <v/>
      </c>
      <c r="F18" s="463" t="str">
        <f t="shared" si="10"/>
        <v/>
      </c>
      <c r="G18" s="463" t="str">
        <f t="shared" si="10"/>
        <v/>
      </c>
      <c r="H18" s="463" t="str">
        <f t="shared" si="10"/>
        <v/>
      </c>
      <c r="I18" s="463" t="str">
        <f t="shared" si="10"/>
        <v/>
      </c>
      <c r="J18" s="463" t="str">
        <f t="shared" si="10"/>
        <v/>
      </c>
      <c r="K18" s="463" t="str">
        <f t="shared" si="10"/>
        <v/>
      </c>
      <c r="L18" s="463" t="str">
        <f t="shared" si="10"/>
        <v/>
      </c>
      <c r="M18" s="463" t="str">
        <f t="shared" si="10"/>
        <v/>
      </c>
      <c r="N18" s="463" t="str">
        <f t="shared" si="10"/>
        <v/>
      </c>
      <c r="O18" s="463" t="str">
        <f t="shared" si="10"/>
        <v/>
      </c>
      <c r="P18" s="463" t="str">
        <f t="shared" si="10"/>
        <v/>
      </c>
      <c r="Q18" s="463" t="str">
        <f t="shared" si="10"/>
        <v/>
      </c>
      <c r="R18" s="463" t="str">
        <f t="shared" si="10"/>
        <v/>
      </c>
      <c r="S18" s="463" t="str">
        <f t="shared" si="10"/>
        <v/>
      </c>
      <c r="T18" s="463" t="str">
        <f t="shared" si="10"/>
        <v/>
      </c>
      <c r="U18" s="463" t="str">
        <f t="shared" si="10"/>
        <v/>
      </c>
      <c r="V18" s="463" t="str">
        <f t="shared" si="10"/>
        <v/>
      </c>
      <c r="W18" s="463" t="str">
        <f t="shared" si="10"/>
        <v/>
      </c>
      <c r="X18" s="463" t="str">
        <f t="shared" si="10"/>
        <v/>
      </c>
      <c r="Y18" s="463" t="str">
        <f t="shared" si="10"/>
        <v/>
      </c>
      <c r="Z18" s="463" t="str">
        <f t="shared" si="10"/>
        <v/>
      </c>
      <c r="AA18" s="463" t="str">
        <f t="shared" si="10"/>
        <v/>
      </c>
      <c r="AB18" s="463" t="str">
        <f t="shared" si="10"/>
        <v/>
      </c>
      <c r="AC18" s="463" t="str">
        <f t="shared" si="10"/>
        <v/>
      </c>
      <c r="AD18" s="463" t="str">
        <f t="shared" si="10"/>
        <v/>
      </c>
      <c r="AE18" s="463" t="str">
        <f t="shared" si="10"/>
        <v/>
      </c>
      <c r="AF18" s="336"/>
    </row>
    <row r="19" spans="1:32" ht="32.1" customHeight="1" x14ac:dyDescent="0.25">
      <c r="A19" s="811" t="s">
        <v>1553</v>
      </c>
      <c r="B19" s="811"/>
      <c r="C19" s="811"/>
      <c r="D19" s="850"/>
      <c r="E19" s="851"/>
      <c r="F19" s="851"/>
      <c r="G19" s="851"/>
      <c r="H19" s="851"/>
      <c r="I19" s="851"/>
      <c r="J19" s="851"/>
      <c r="K19" s="851"/>
      <c r="L19" s="851"/>
      <c r="M19" s="851"/>
      <c r="N19" s="851"/>
      <c r="O19" s="851"/>
      <c r="P19" s="851"/>
      <c r="Q19" s="851"/>
      <c r="R19" s="851"/>
      <c r="S19" s="851"/>
      <c r="T19" s="851"/>
      <c r="U19" s="851"/>
      <c r="V19" s="851"/>
      <c r="W19" s="851"/>
      <c r="X19" s="851"/>
      <c r="Y19" s="851"/>
      <c r="Z19" s="851"/>
      <c r="AA19" s="852"/>
      <c r="AB19" s="398">
        <f>'P-XV'!K26</f>
        <v>0</v>
      </c>
      <c r="AC19" s="398">
        <f>'P-XV'!R26</f>
        <v>0</v>
      </c>
      <c r="AD19" s="398">
        <f>'P-XV'!Y26</f>
        <v>0</v>
      </c>
      <c r="AE19" s="398">
        <f>'P-XV'!Z26</f>
        <v>0</v>
      </c>
    </row>
    <row r="20" spans="1:32" ht="32.1" customHeight="1" x14ac:dyDescent="0.25">
      <c r="A20" s="695" t="s">
        <v>1552</v>
      </c>
      <c r="B20" s="695"/>
      <c r="C20" s="695"/>
      <c r="D20" s="853"/>
      <c r="E20" s="854"/>
      <c r="F20" s="854"/>
      <c r="G20" s="854"/>
      <c r="H20" s="854"/>
      <c r="I20" s="854"/>
      <c r="J20" s="854"/>
      <c r="K20" s="854"/>
      <c r="L20" s="854"/>
      <c r="M20" s="854"/>
      <c r="N20" s="854"/>
      <c r="O20" s="854"/>
      <c r="P20" s="854"/>
      <c r="Q20" s="854"/>
      <c r="R20" s="854"/>
      <c r="S20" s="854"/>
      <c r="T20" s="854"/>
      <c r="U20" s="854"/>
      <c r="V20" s="854"/>
      <c r="W20" s="854"/>
      <c r="X20" s="854"/>
      <c r="Y20" s="854"/>
      <c r="Z20" s="854"/>
      <c r="AA20" s="855"/>
      <c r="AB20" s="399" t="str">
        <f>IF(AB17='P-XV'!K26,"",FALSE)</f>
        <v/>
      </c>
      <c r="AC20" s="399" t="str">
        <f>IF(AC17='P-XV'!R26,"",FALSE)</f>
        <v/>
      </c>
      <c r="AD20" s="399" t="str">
        <f>IF(AD17='P-XV'!Y26,"",FALSE)</f>
        <v/>
      </c>
      <c r="AE20" s="399" t="str">
        <f>IF(AE17='P-XV'!Z26,"",FALSE)</f>
        <v/>
      </c>
    </row>
    <row r="21" spans="1:32" ht="32.1" customHeight="1" x14ac:dyDescent="0.25">
      <c r="A21" s="811" t="s">
        <v>627</v>
      </c>
      <c r="B21" s="811"/>
      <c r="C21" s="811"/>
      <c r="D21" s="850"/>
      <c r="E21" s="851"/>
      <c r="F21" s="851"/>
      <c r="G21" s="851"/>
      <c r="H21" s="851"/>
      <c r="I21" s="851"/>
      <c r="J21" s="851"/>
      <c r="K21" s="851"/>
      <c r="L21" s="851"/>
      <c r="M21" s="851"/>
      <c r="N21" s="851"/>
      <c r="O21" s="851"/>
      <c r="P21" s="851"/>
      <c r="Q21" s="851"/>
      <c r="R21" s="851"/>
      <c r="S21" s="851"/>
      <c r="T21" s="851"/>
      <c r="U21" s="851"/>
      <c r="V21" s="851"/>
      <c r="W21" s="851"/>
      <c r="X21" s="851"/>
      <c r="Y21" s="851"/>
      <c r="Z21" s="851"/>
      <c r="AA21" s="852"/>
      <c r="AB21" s="398">
        <f>'P-XIV'!J38</f>
        <v>249</v>
      </c>
      <c r="AC21" s="398">
        <f>'P-XIV'!Q38</f>
        <v>72</v>
      </c>
      <c r="AD21" s="398">
        <f>'P-XIV'!X38</f>
        <v>0</v>
      </c>
      <c r="AE21" s="398">
        <f>'P-XIV'!Y38</f>
        <v>321</v>
      </c>
    </row>
    <row r="22" spans="1:32" ht="32.1" customHeight="1" x14ac:dyDescent="0.25">
      <c r="A22" s="695" t="s">
        <v>645</v>
      </c>
      <c r="B22" s="695"/>
      <c r="C22" s="695"/>
      <c r="D22" s="853"/>
      <c r="E22" s="854"/>
      <c r="F22" s="854"/>
      <c r="G22" s="854"/>
      <c r="H22" s="854"/>
      <c r="I22" s="854"/>
      <c r="J22" s="854"/>
      <c r="K22" s="854"/>
      <c r="L22" s="854"/>
      <c r="M22" s="854"/>
      <c r="N22" s="854"/>
      <c r="O22" s="854"/>
      <c r="P22" s="854"/>
      <c r="Q22" s="854"/>
      <c r="R22" s="854"/>
      <c r="S22" s="854"/>
      <c r="T22" s="854"/>
      <c r="U22" s="854"/>
      <c r="V22" s="854"/>
      <c r="W22" s="854"/>
      <c r="X22" s="854"/>
      <c r="Y22" s="854"/>
      <c r="Z22" s="854"/>
      <c r="AA22" s="855"/>
      <c r="AB22" s="399" t="str">
        <f>IF(AB17&lt;='P-XIV'!J38,"",FALSE)</f>
        <v/>
      </c>
      <c r="AC22" s="399" t="str">
        <f>IF(AC17&lt;='P-XIV'!Q38,"",FALSE)</f>
        <v/>
      </c>
      <c r="AD22" s="399" t="str">
        <f>IF(AD17&lt;='P-XIV'!X38,"",FALSE)</f>
        <v/>
      </c>
      <c r="AE22" s="399" t="str">
        <f>IF(AE17&lt;='P-XIV'!Y38,"",FALSE)</f>
        <v/>
      </c>
    </row>
    <row r="200" spans="53:85" x14ac:dyDescent="0.25">
      <c r="BA200" s="141" t="str">
        <f>A1</f>
        <v>Goa, , ADSI-2021</v>
      </c>
      <c r="BB200" s="141"/>
    </row>
    <row r="201" spans="53:85" x14ac:dyDescent="0.25">
      <c r="BA201" s="141" t="str">
        <f>A2</f>
        <v>Errors</v>
      </c>
      <c r="BB201" s="309">
        <f>C2</f>
        <v>0</v>
      </c>
      <c r="BD201" s="472" t="str">
        <f>E2</f>
        <v>Abnormal Variations</v>
      </c>
      <c r="BE201" s="141">
        <f>F2</f>
        <v>0</v>
      </c>
    </row>
    <row r="202" spans="53:85" x14ac:dyDescent="0.25">
      <c r="BA202" s="141" t="str">
        <f>A3</f>
        <v>Proforma–XX</v>
      </c>
      <c r="BB202" s="132"/>
      <c r="BC202" s="132"/>
      <c r="BD202" s="132"/>
      <c r="BE202" s="132"/>
      <c r="BF202" s="132"/>
      <c r="BG202" s="132"/>
      <c r="BH202" s="132"/>
      <c r="BI202" s="132"/>
      <c r="BJ202" s="132"/>
      <c r="BK202" s="132"/>
      <c r="BL202" s="163"/>
      <c r="BN202" s="132"/>
      <c r="BO202" s="132"/>
      <c r="BP202" s="132"/>
      <c r="BQ202" s="132"/>
      <c r="BR202" s="132"/>
      <c r="BS202" s="132"/>
      <c r="BT202" s="132"/>
      <c r="BU202" s="132"/>
      <c r="BV202" s="132"/>
      <c r="BW202" s="132"/>
      <c r="BX202" s="132"/>
      <c r="BY202" s="132"/>
      <c r="BZ202" s="132"/>
      <c r="CA202" s="132"/>
      <c r="CB202" s="163"/>
      <c r="CC202" s="163" t="str">
        <f>A1</f>
        <v>Goa, , ADSI-2021</v>
      </c>
      <c r="CD202" s="132"/>
      <c r="CE202" s="132"/>
      <c r="CF202" s="132"/>
      <c r="CG202" s="132"/>
    </row>
    <row r="203" spans="53:85" x14ac:dyDescent="0.25">
      <c r="BA203" s="141" t="str">
        <f>A4</f>
        <v>Educational Status-wise distribution of suicides committed by Farmers/Cultivators</v>
      </c>
      <c r="BB203" s="132"/>
      <c r="BC203" s="132"/>
      <c r="BD203" s="132"/>
      <c r="BE203" s="132"/>
      <c r="BF203" s="132"/>
      <c r="BG203" s="132"/>
      <c r="BH203" s="132"/>
      <c r="BI203" s="132"/>
      <c r="BJ203" s="132"/>
      <c r="BK203" s="132"/>
      <c r="BN203" s="132"/>
      <c r="BO203" s="132"/>
      <c r="BP203" s="132"/>
      <c r="BQ203" s="132"/>
      <c r="BR203" s="132"/>
      <c r="BS203" s="132"/>
      <c r="BT203" s="132"/>
      <c r="BU203" s="132"/>
      <c r="BV203" s="132"/>
      <c r="BW203" s="132"/>
      <c r="BX203" s="132"/>
      <c r="BY203" s="132"/>
      <c r="BZ203" s="132"/>
      <c r="CA203" s="132"/>
      <c r="CB203" s="163" t="str">
        <f>A2</f>
        <v>Errors</v>
      </c>
      <c r="CC203" s="145">
        <f>C2</f>
        <v>0</v>
      </c>
      <c r="CD203" s="132"/>
      <c r="CE203" s="132"/>
      <c r="CF203" s="132"/>
      <c r="CG203" s="132"/>
    </row>
    <row r="204" spans="53:85" x14ac:dyDescent="0.25">
      <c r="BA204" s="602" t="str">
        <f>B5</f>
        <v>Sl. No.</v>
      </c>
      <c r="BB204" s="602" t="str">
        <f>C5</f>
        <v>Educational Status</v>
      </c>
      <c r="BC204" s="619" t="str">
        <f>D5</f>
        <v>Un-Married</v>
      </c>
      <c r="BD204" s="620"/>
      <c r="BE204" s="620"/>
      <c r="BF204" s="621"/>
      <c r="BG204" s="619" t="str">
        <f t="shared" ref="BG204:BG217" si="11">H5</f>
        <v xml:space="preserve"> Married</v>
      </c>
      <c r="BH204" s="620"/>
      <c r="BI204" s="620"/>
      <c r="BJ204" s="621"/>
      <c r="BK204" s="619" t="str">
        <f t="shared" ref="BK204:BK217" si="12">L5</f>
        <v xml:space="preserve"> Widowed/Widower</v>
      </c>
      <c r="BL204" s="620"/>
      <c r="BM204" s="620"/>
      <c r="BN204" s="621"/>
      <c r="BO204" s="619" t="str">
        <f t="shared" ref="BO204:BO217" si="13">P5</f>
        <v xml:space="preserve"> Divorcee</v>
      </c>
      <c r="BP204" s="620"/>
      <c r="BQ204" s="620"/>
      <c r="BR204" s="621"/>
      <c r="BS204" s="619" t="str">
        <f t="shared" ref="BS204:BS217" si="14">T5</f>
        <v xml:space="preserve"> Separated</v>
      </c>
      <c r="BT204" s="620"/>
      <c r="BU204" s="620"/>
      <c r="BV204" s="621"/>
      <c r="BW204" s="619" t="str">
        <f t="shared" ref="BW204:BW217" si="15">X5</f>
        <v>Status not known</v>
      </c>
      <c r="BX204" s="620"/>
      <c r="BY204" s="620"/>
      <c r="BZ204" s="621"/>
      <c r="CA204" s="619" t="str">
        <f t="shared" ref="CA204:CA217" si="16">AB5</f>
        <v>Grand Total</v>
      </c>
      <c r="CB204" s="620"/>
      <c r="CC204" s="620"/>
      <c r="CD204" s="621"/>
      <c r="CE204" s="132"/>
      <c r="CF204" s="132"/>
      <c r="CG204" s="132"/>
    </row>
    <row r="205" spans="53:85" ht="27.75" customHeight="1" x14ac:dyDescent="0.25">
      <c r="BA205" s="604"/>
      <c r="BB205" s="604"/>
      <c r="BC205" s="162" t="str">
        <f t="shared" ref="BC205:BC216" si="17">D6</f>
        <v>Male</v>
      </c>
      <c r="BD205" s="162" t="str">
        <f t="shared" ref="BD205:BD217" si="18">E6</f>
        <v>Female</v>
      </c>
      <c r="BE205" s="162" t="str">
        <f t="shared" ref="BE205:BE217" si="19">F6</f>
        <v>Transgender</v>
      </c>
      <c r="BF205" s="162" t="str">
        <f t="shared" ref="BF205:BF217" si="20">G6</f>
        <v>Total</v>
      </c>
      <c r="BG205" s="162" t="str">
        <f t="shared" si="11"/>
        <v>Male</v>
      </c>
      <c r="BH205" s="162" t="str">
        <f t="shared" ref="BH205:BH217" si="21">I6</f>
        <v>Female</v>
      </c>
      <c r="BI205" s="162" t="str">
        <f t="shared" ref="BI205:BI217" si="22">J6</f>
        <v>Transgender</v>
      </c>
      <c r="BJ205" s="162" t="str">
        <f t="shared" ref="BJ205:BJ217" si="23">K6</f>
        <v>Total</v>
      </c>
      <c r="BK205" s="162" t="str">
        <f t="shared" si="12"/>
        <v>Male</v>
      </c>
      <c r="BL205" s="162" t="str">
        <f t="shared" ref="BL205:BL217" si="24">M6</f>
        <v>Female</v>
      </c>
      <c r="BM205" s="162" t="str">
        <f t="shared" ref="BM205:BM217" si="25">N6</f>
        <v>Transgender</v>
      </c>
      <c r="BN205" s="162" t="str">
        <f t="shared" ref="BN205:BN217" si="26">O6</f>
        <v>Total</v>
      </c>
      <c r="BO205" s="162" t="str">
        <f t="shared" si="13"/>
        <v>Male</v>
      </c>
      <c r="BP205" s="162" t="str">
        <f t="shared" ref="BP205:BP217" si="27">Q6</f>
        <v>Female</v>
      </c>
      <c r="BQ205" s="162" t="str">
        <f t="shared" ref="BQ205:BQ217" si="28">R6</f>
        <v>Transgender</v>
      </c>
      <c r="BR205" s="162" t="str">
        <f t="shared" ref="BR205:BR217" si="29">S6</f>
        <v>Total</v>
      </c>
      <c r="BS205" s="162" t="str">
        <f t="shared" si="14"/>
        <v>Male</v>
      </c>
      <c r="BT205" s="162" t="str">
        <f t="shared" ref="BT205:BT217" si="30">U6</f>
        <v>Female</v>
      </c>
      <c r="BU205" s="162" t="str">
        <f t="shared" ref="BU205:BU217" si="31">V6</f>
        <v>Transgender</v>
      </c>
      <c r="BV205" s="162" t="str">
        <f t="shared" ref="BV205:BV217" si="32">W6</f>
        <v>Total</v>
      </c>
      <c r="BW205" s="162" t="str">
        <f t="shared" si="15"/>
        <v>Male</v>
      </c>
      <c r="BX205" s="162" t="str">
        <f t="shared" ref="BX205:BX217" si="33">Y6</f>
        <v>Female</v>
      </c>
      <c r="BY205" s="162" t="str">
        <f t="shared" ref="BY205:BY217" si="34">Z6</f>
        <v>Transgender</v>
      </c>
      <c r="BZ205" s="162" t="str">
        <f t="shared" ref="BZ205:BZ217" si="35">AA6</f>
        <v>Total</v>
      </c>
      <c r="CA205" s="162" t="str">
        <f t="shared" si="16"/>
        <v>Male</v>
      </c>
      <c r="CB205" s="162" t="str">
        <f t="shared" ref="CB205:CB217" si="36">AC6</f>
        <v>Female</v>
      </c>
      <c r="CC205" s="162" t="str">
        <f t="shared" ref="CC205:CC217" si="37">AD6</f>
        <v>Transgender</v>
      </c>
      <c r="CD205" s="162" t="str">
        <f t="shared" ref="CD205:CD217" si="38">AE6</f>
        <v>Total</v>
      </c>
      <c r="CE205" s="132"/>
      <c r="CF205" s="132"/>
      <c r="CG205" s="132"/>
    </row>
    <row r="206" spans="53:85" x14ac:dyDescent="0.25">
      <c r="BA206" s="162" t="str">
        <f t="shared" ref="BA206:BA216" si="39">B7</f>
        <v>(1)</v>
      </c>
      <c r="BB206" s="162" t="str">
        <f t="shared" ref="BB206:BB216" si="40">C7</f>
        <v>(2)</v>
      </c>
      <c r="BC206" s="162" t="str">
        <f t="shared" si="17"/>
        <v>(3)</v>
      </c>
      <c r="BD206" s="162" t="str">
        <f t="shared" si="18"/>
        <v>(4)</v>
      </c>
      <c r="BE206" s="162" t="str">
        <f t="shared" si="19"/>
        <v>(5)</v>
      </c>
      <c r="BF206" s="162" t="str">
        <f t="shared" si="20"/>
        <v>(6)</v>
      </c>
      <c r="BG206" s="162" t="str">
        <f t="shared" si="11"/>
        <v>(7)</v>
      </c>
      <c r="BH206" s="162" t="str">
        <f t="shared" si="21"/>
        <v>(8)</v>
      </c>
      <c r="BI206" s="162" t="str">
        <f t="shared" si="22"/>
        <v>(9)</v>
      </c>
      <c r="BJ206" s="162" t="str">
        <f t="shared" si="23"/>
        <v>(10)</v>
      </c>
      <c r="BK206" s="162" t="str">
        <f t="shared" si="12"/>
        <v>(11)</v>
      </c>
      <c r="BL206" s="162" t="str">
        <f t="shared" si="24"/>
        <v>(12)</v>
      </c>
      <c r="BM206" s="162" t="str">
        <f t="shared" si="25"/>
        <v>(13)</v>
      </c>
      <c r="BN206" s="162" t="str">
        <f t="shared" si="26"/>
        <v>(14)</v>
      </c>
      <c r="BO206" s="162" t="str">
        <f t="shared" si="13"/>
        <v>(15)</v>
      </c>
      <c r="BP206" s="162" t="str">
        <f t="shared" si="27"/>
        <v>(16)</v>
      </c>
      <c r="BQ206" s="162" t="str">
        <f t="shared" si="28"/>
        <v>(17)</v>
      </c>
      <c r="BR206" s="162" t="str">
        <f t="shared" si="29"/>
        <v>(18)</v>
      </c>
      <c r="BS206" s="162" t="str">
        <f t="shared" si="14"/>
        <v>(19)</v>
      </c>
      <c r="BT206" s="162" t="str">
        <f t="shared" si="30"/>
        <v>(20)</v>
      </c>
      <c r="BU206" s="162" t="str">
        <f t="shared" si="31"/>
        <v>(21)</v>
      </c>
      <c r="BV206" s="162" t="str">
        <f t="shared" si="32"/>
        <v>(22)</v>
      </c>
      <c r="BW206" s="162" t="str">
        <f t="shared" si="15"/>
        <v>(23)</v>
      </c>
      <c r="BX206" s="162" t="str">
        <f t="shared" si="33"/>
        <v>(24)</v>
      </c>
      <c r="BY206" s="162" t="str">
        <f t="shared" si="34"/>
        <v>(25)</v>
      </c>
      <c r="BZ206" s="162" t="str">
        <f t="shared" si="35"/>
        <v>(26)</v>
      </c>
      <c r="CA206" s="162" t="str">
        <f t="shared" si="16"/>
        <v>(27)</v>
      </c>
      <c r="CB206" s="162" t="str">
        <f t="shared" si="36"/>
        <v>(28)</v>
      </c>
      <c r="CC206" s="162" t="str">
        <f t="shared" si="37"/>
        <v>(29)</v>
      </c>
      <c r="CD206" s="162" t="str">
        <f t="shared" si="38"/>
        <v>(30)</v>
      </c>
      <c r="CE206" s="132"/>
      <c r="CF206" s="132"/>
      <c r="CG206" s="132"/>
    </row>
    <row r="207" spans="53:85" x14ac:dyDescent="0.25">
      <c r="BA207" s="138">
        <f t="shared" si="39"/>
        <v>1</v>
      </c>
      <c r="BB207" s="136" t="str">
        <f t="shared" si="40"/>
        <v>No Education</v>
      </c>
      <c r="BC207" s="136">
        <f t="shared" si="17"/>
        <v>0</v>
      </c>
      <c r="BD207" s="136">
        <f t="shared" si="18"/>
        <v>0</v>
      </c>
      <c r="BE207" s="136">
        <f t="shared" si="19"/>
        <v>0</v>
      </c>
      <c r="BF207" s="136">
        <f t="shared" si="20"/>
        <v>0</v>
      </c>
      <c r="BG207" s="136">
        <f t="shared" si="11"/>
        <v>0</v>
      </c>
      <c r="BH207" s="136">
        <f t="shared" si="21"/>
        <v>0</v>
      </c>
      <c r="BI207" s="136">
        <f t="shared" si="22"/>
        <v>0</v>
      </c>
      <c r="BJ207" s="136">
        <f t="shared" si="23"/>
        <v>0</v>
      </c>
      <c r="BK207" s="136">
        <f t="shared" si="12"/>
        <v>0</v>
      </c>
      <c r="BL207" s="136">
        <f t="shared" si="24"/>
        <v>0</v>
      </c>
      <c r="BM207" s="136">
        <f t="shared" si="25"/>
        <v>0</v>
      </c>
      <c r="BN207" s="136">
        <f t="shared" si="26"/>
        <v>0</v>
      </c>
      <c r="BO207" s="136">
        <f t="shared" si="13"/>
        <v>0</v>
      </c>
      <c r="BP207" s="136">
        <f t="shared" si="27"/>
        <v>0</v>
      </c>
      <c r="BQ207" s="136">
        <f t="shared" si="28"/>
        <v>0</v>
      </c>
      <c r="BR207" s="136">
        <f t="shared" si="29"/>
        <v>0</v>
      </c>
      <c r="BS207" s="136">
        <f t="shared" si="14"/>
        <v>0</v>
      </c>
      <c r="BT207" s="136">
        <f t="shared" si="30"/>
        <v>0</v>
      </c>
      <c r="BU207" s="136">
        <f t="shared" si="31"/>
        <v>0</v>
      </c>
      <c r="BV207" s="136">
        <f t="shared" si="32"/>
        <v>0</v>
      </c>
      <c r="BW207" s="136">
        <f t="shared" si="15"/>
        <v>0</v>
      </c>
      <c r="BX207" s="136">
        <f t="shared" si="33"/>
        <v>0</v>
      </c>
      <c r="BY207" s="136">
        <f t="shared" si="34"/>
        <v>0</v>
      </c>
      <c r="BZ207" s="136">
        <f t="shared" si="35"/>
        <v>0</v>
      </c>
      <c r="CA207" s="136">
        <f t="shared" si="16"/>
        <v>0</v>
      </c>
      <c r="CB207" s="136">
        <f t="shared" si="36"/>
        <v>0</v>
      </c>
      <c r="CC207" s="136">
        <f t="shared" si="37"/>
        <v>0</v>
      </c>
      <c r="CD207" s="136">
        <f t="shared" si="38"/>
        <v>0</v>
      </c>
      <c r="CE207" s="132"/>
      <c r="CF207" s="132"/>
      <c r="CG207" s="132"/>
    </row>
    <row r="208" spans="53:85" x14ac:dyDescent="0.25">
      <c r="BA208" s="138">
        <f t="shared" si="39"/>
        <v>2</v>
      </c>
      <c r="BB208" s="136" t="str">
        <f t="shared" si="40"/>
        <v>Primary (upto class–5)</v>
      </c>
      <c r="BC208" s="136">
        <f t="shared" si="17"/>
        <v>0</v>
      </c>
      <c r="BD208" s="136">
        <f t="shared" si="18"/>
        <v>0</v>
      </c>
      <c r="BE208" s="136">
        <f t="shared" si="19"/>
        <v>0</v>
      </c>
      <c r="BF208" s="136">
        <f t="shared" si="20"/>
        <v>0</v>
      </c>
      <c r="BG208" s="136">
        <f t="shared" si="11"/>
        <v>0</v>
      </c>
      <c r="BH208" s="136">
        <f t="shared" si="21"/>
        <v>0</v>
      </c>
      <c r="BI208" s="136">
        <f t="shared" si="22"/>
        <v>0</v>
      </c>
      <c r="BJ208" s="136">
        <f t="shared" si="23"/>
        <v>0</v>
      </c>
      <c r="BK208" s="136">
        <f t="shared" si="12"/>
        <v>0</v>
      </c>
      <c r="BL208" s="136">
        <f t="shared" si="24"/>
        <v>0</v>
      </c>
      <c r="BM208" s="136">
        <f t="shared" si="25"/>
        <v>0</v>
      </c>
      <c r="BN208" s="136">
        <f t="shared" si="26"/>
        <v>0</v>
      </c>
      <c r="BO208" s="136">
        <f t="shared" si="13"/>
        <v>0</v>
      </c>
      <c r="BP208" s="136">
        <f t="shared" si="27"/>
        <v>0</v>
      </c>
      <c r="BQ208" s="136">
        <f t="shared" si="28"/>
        <v>0</v>
      </c>
      <c r="BR208" s="136">
        <f t="shared" si="29"/>
        <v>0</v>
      </c>
      <c r="BS208" s="136">
        <f t="shared" si="14"/>
        <v>0</v>
      </c>
      <c r="BT208" s="136">
        <f t="shared" si="30"/>
        <v>0</v>
      </c>
      <c r="BU208" s="136">
        <f t="shared" si="31"/>
        <v>0</v>
      </c>
      <c r="BV208" s="136">
        <f t="shared" si="32"/>
        <v>0</v>
      </c>
      <c r="BW208" s="136">
        <f t="shared" si="15"/>
        <v>0</v>
      </c>
      <c r="BX208" s="136">
        <f t="shared" si="33"/>
        <v>0</v>
      </c>
      <c r="BY208" s="136">
        <f t="shared" si="34"/>
        <v>0</v>
      </c>
      <c r="BZ208" s="136">
        <f t="shared" si="35"/>
        <v>0</v>
      </c>
      <c r="CA208" s="136">
        <f t="shared" si="16"/>
        <v>0</v>
      </c>
      <c r="CB208" s="136">
        <f t="shared" si="36"/>
        <v>0</v>
      </c>
      <c r="CC208" s="136">
        <f t="shared" si="37"/>
        <v>0</v>
      </c>
      <c r="CD208" s="136">
        <f t="shared" si="38"/>
        <v>0</v>
      </c>
    </row>
    <row r="209" spans="53:83" x14ac:dyDescent="0.25">
      <c r="BA209" s="138">
        <f t="shared" si="39"/>
        <v>3</v>
      </c>
      <c r="BB209" s="136" t="str">
        <f t="shared" si="40"/>
        <v>Middle (upto class–8)</v>
      </c>
      <c r="BC209" s="136">
        <f t="shared" si="17"/>
        <v>0</v>
      </c>
      <c r="BD209" s="136">
        <f t="shared" si="18"/>
        <v>0</v>
      </c>
      <c r="BE209" s="136">
        <f t="shared" si="19"/>
        <v>0</v>
      </c>
      <c r="BF209" s="136">
        <f t="shared" si="20"/>
        <v>0</v>
      </c>
      <c r="BG209" s="136">
        <f t="shared" si="11"/>
        <v>0</v>
      </c>
      <c r="BH209" s="136">
        <f t="shared" si="21"/>
        <v>0</v>
      </c>
      <c r="BI209" s="136">
        <f t="shared" si="22"/>
        <v>0</v>
      </c>
      <c r="BJ209" s="136">
        <f t="shared" si="23"/>
        <v>0</v>
      </c>
      <c r="BK209" s="136">
        <f t="shared" si="12"/>
        <v>0</v>
      </c>
      <c r="BL209" s="136">
        <f t="shared" si="24"/>
        <v>0</v>
      </c>
      <c r="BM209" s="136">
        <f t="shared" si="25"/>
        <v>0</v>
      </c>
      <c r="BN209" s="136">
        <f t="shared" si="26"/>
        <v>0</v>
      </c>
      <c r="BO209" s="136">
        <f t="shared" si="13"/>
        <v>0</v>
      </c>
      <c r="BP209" s="136">
        <f t="shared" si="27"/>
        <v>0</v>
      </c>
      <c r="BQ209" s="136">
        <f t="shared" si="28"/>
        <v>0</v>
      </c>
      <c r="BR209" s="136">
        <f t="shared" si="29"/>
        <v>0</v>
      </c>
      <c r="BS209" s="136">
        <f t="shared" si="14"/>
        <v>0</v>
      </c>
      <c r="BT209" s="136">
        <f t="shared" si="30"/>
        <v>0</v>
      </c>
      <c r="BU209" s="136">
        <f t="shared" si="31"/>
        <v>0</v>
      </c>
      <c r="BV209" s="136">
        <f t="shared" si="32"/>
        <v>0</v>
      </c>
      <c r="BW209" s="136">
        <f t="shared" si="15"/>
        <v>0</v>
      </c>
      <c r="BX209" s="136">
        <f t="shared" si="33"/>
        <v>0</v>
      </c>
      <c r="BY209" s="136">
        <f t="shared" si="34"/>
        <v>0</v>
      </c>
      <c r="BZ209" s="136">
        <f t="shared" si="35"/>
        <v>0</v>
      </c>
      <c r="CA209" s="136">
        <f t="shared" si="16"/>
        <v>0</v>
      </c>
      <c r="CB209" s="136">
        <f t="shared" si="36"/>
        <v>0</v>
      </c>
      <c r="CC209" s="136">
        <f t="shared" si="37"/>
        <v>0</v>
      </c>
      <c r="CD209" s="136">
        <f t="shared" si="38"/>
        <v>0</v>
      </c>
    </row>
    <row r="210" spans="53:83" x14ac:dyDescent="0.25">
      <c r="BA210" s="138">
        <f t="shared" si="39"/>
        <v>4</v>
      </c>
      <c r="BB210" s="136" t="str">
        <f t="shared" si="40"/>
        <v>Matriculate/Secondary (upto class–10)</v>
      </c>
      <c r="BC210" s="136">
        <f t="shared" si="17"/>
        <v>0</v>
      </c>
      <c r="BD210" s="136">
        <f t="shared" si="18"/>
        <v>0</v>
      </c>
      <c r="BE210" s="136">
        <f t="shared" si="19"/>
        <v>0</v>
      </c>
      <c r="BF210" s="136">
        <f t="shared" si="20"/>
        <v>0</v>
      </c>
      <c r="BG210" s="136">
        <f t="shared" si="11"/>
        <v>0</v>
      </c>
      <c r="BH210" s="136">
        <f t="shared" si="21"/>
        <v>0</v>
      </c>
      <c r="BI210" s="136">
        <f t="shared" si="22"/>
        <v>0</v>
      </c>
      <c r="BJ210" s="136">
        <f t="shared" si="23"/>
        <v>0</v>
      </c>
      <c r="BK210" s="136">
        <f t="shared" si="12"/>
        <v>0</v>
      </c>
      <c r="BL210" s="136">
        <f t="shared" si="24"/>
        <v>0</v>
      </c>
      <c r="BM210" s="136">
        <f t="shared" si="25"/>
        <v>0</v>
      </c>
      <c r="BN210" s="136">
        <f t="shared" si="26"/>
        <v>0</v>
      </c>
      <c r="BO210" s="136">
        <f t="shared" si="13"/>
        <v>0</v>
      </c>
      <c r="BP210" s="136">
        <f t="shared" si="27"/>
        <v>0</v>
      </c>
      <c r="BQ210" s="136">
        <f t="shared" si="28"/>
        <v>0</v>
      </c>
      <c r="BR210" s="136">
        <f t="shared" si="29"/>
        <v>0</v>
      </c>
      <c r="BS210" s="136">
        <f t="shared" si="14"/>
        <v>0</v>
      </c>
      <c r="BT210" s="136">
        <f t="shared" si="30"/>
        <v>0</v>
      </c>
      <c r="BU210" s="136">
        <f t="shared" si="31"/>
        <v>0</v>
      </c>
      <c r="BV210" s="136">
        <f t="shared" si="32"/>
        <v>0</v>
      </c>
      <c r="BW210" s="136">
        <f t="shared" si="15"/>
        <v>0</v>
      </c>
      <c r="BX210" s="136">
        <f t="shared" si="33"/>
        <v>0</v>
      </c>
      <c r="BY210" s="136">
        <f t="shared" si="34"/>
        <v>0</v>
      </c>
      <c r="BZ210" s="136">
        <f t="shared" si="35"/>
        <v>0</v>
      </c>
      <c r="CA210" s="136">
        <f t="shared" si="16"/>
        <v>0</v>
      </c>
      <c r="CB210" s="136">
        <f t="shared" si="36"/>
        <v>0</v>
      </c>
      <c r="CC210" s="136">
        <f t="shared" si="37"/>
        <v>0</v>
      </c>
      <c r="CD210" s="136">
        <f t="shared" si="38"/>
        <v>0</v>
      </c>
    </row>
    <row r="211" spans="53:83" ht="25.5" x14ac:dyDescent="0.25">
      <c r="BA211" s="138">
        <f t="shared" si="39"/>
        <v>5</v>
      </c>
      <c r="BB211" s="140" t="str">
        <f t="shared" si="40"/>
        <v>Higher Secondary/ Intermediate/ Pre-University (upto class–12)</v>
      </c>
      <c r="BC211" s="136">
        <f t="shared" si="17"/>
        <v>0</v>
      </c>
      <c r="BD211" s="136">
        <f t="shared" si="18"/>
        <v>0</v>
      </c>
      <c r="BE211" s="136">
        <f t="shared" si="19"/>
        <v>0</v>
      </c>
      <c r="BF211" s="136">
        <f t="shared" si="20"/>
        <v>0</v>
      </c>
      <c r="BG211" s="136">
        <f t="shared" si="11"/>
        <v>0</v>
      </c>
      <c r="BH211" s="136">
        <f t="shared" si="21"/>
        <v>0</v>
      </c>
      <c r="BI211" s="136">
        <f t="shared" si="22"/>
        <v>0</v>
      </c>
      <c r="BJ211" s="136">
        <f t="shared" si="23"/>
        <v>0</v>
      </c>
      <c r="BK211" s="136">
        <f t="shared" si="12"/>
        <v>0</v>
      </c>
      <c r="BL211" s="136">
        <f t="shared" si="24"/>
        <v>0</v>
      </c>
      <c r="BM211" s="136">
        <f t="shared" si="25"/>
        <v>0</v>
      </c>
      <c r="BN211" s="136">
        <f t="shared" si="26"/>
        <v>0</v>
      </c>
      <c r="BO211" s="136">
        <f t="shared" si="13"/>
        <v>0</v>
      </c>
      <c r="BP211" s="136">
        <f t="shared" si="27"/>
        <v>0</v>
      </c>
      <c r="BQ211" s="136">
        <f t="shared" si="28"/>
        <v>0</v>
      </c>
      <c r="BR211" s="136">
        <f t="shared" si="29"/>
        <v>0</v>
      </c>
      <c r="BS211" s="136">
        <f t="shared" si="14"/>
        <v>0</v>
      </c>
      <c r="BT211" s="136">
        <f t="shared" si="30"/>
        <v>0</v>
      </c>
      <c r="BU211" s="136">
        <f t="shared" si="31"/>
        <v>0</v>
      </c>
      <c r="BV211" s="136">
        <f t="shared" si="32"/>
        <v>0</v>
      </c>
      <c r="BW211" s="136">
        <f t="shared" si="15"/>
        <v>0</v>
      </c>
      <c r="BX211" s="136">
        <f t="shared" si="33"/>
        <v>0</v>
      </c>
      <c r="BY211" s="136">
        <f t="shared" si="34"/>
        <v>0</v>
      </c>
      <c r="BZ211" s="136">
        <f t="shared" si="35"/>
        <v>0</v>
      </c>
      <c r="CA211" s="136">
        <f t="shared" si="16"/>
        <v>0</v>
      </c>
      <c r="CB211" s="136">
        <f t="shared" si="36"/>
        <v>0</v>
      </c>
      <c r="CC211" s="136">
        <f t="shared" si="37"/>
        <v>0</v>
      </c>
      <c r="CD211" s="136">
        <f t="shared" si="38"/>
        <v>0</v>
      </c>
    </row>
    <row r="212" spans="53:83" x14ac:dyDescent="0.25">
      <c r="BA212" s="138">
        <f t="shared" si="39"/>
        <v>6</v>
      </c>
      <c r="BB212" s="136" t="str">
        <f t="shared" si="40"/>
        <v>Diploma/ITI/Certificate</v>
      </c>
      <c r="BC212" s="136">
        <f t="shared" si="17"/>
        <v>0</v>
      </c>
      <c r="BD212" s="136">
        <f t="shared" si="18"/>
        <v>0</v>
      </c>
      <c r="BE212" s="136">
        <f t="shared" si="19"/>
        <v>0</v>
      </c>
      <c r="BF212" s="136">
        <f t="shared" si="20"/>
        <v>0</v>
      </c>
      <c r="BG212" s="136">
        <f t="shared" si="11"/>
        <v>0</v>
      </c>
      <c r="BH212" s="136">
        <f t="shared" si="21"/>
        <v>0</v>
      </c>
      <c r="BI212" s="136">
        <f t="shared" si="22"/>
        <v>0</v>
      </c>
      <c r="BJ212" s="136">
        <f t="shared" si="23"/>
        <v>0</v>
      </c>
      <c r="BK212" s="136">
        <f t="shared" si="12"/>
        <v>0</v>
      </c>
      <c r="BL212" s="136">
        <f t="shared" si="24"/>
        <v>0</v>
      </c>
      <c r="BM212" s="136">
        <f t="shared" si="25"/>
        <v>0</v>
      </c>
      <c r="BN212" s="136">
        <f t="shared" si="26"/>
        <v>0</v>
      </c>
      <c r="BO212" s="136">
        <f t="shared" si="13"/>
        <v>0</v>
      </c>
      <c r="BP212" s="136">
        <f t="shared" si="27"/>
        <v>0</v>
      </c>
      <c r="BQ212" s="136">
        <f t="shared" si="28"/>
        <v>0</v>
      </c>
      <c r="BR212" s="136">
        <f t="shared" si="29"/>
        <v>0</v>
      </c>
      <c r="BS212" s="136">
        <f t="shared" si="14"/>
        <v>0</v>
      </c>
      <c r="BT212" s="136">
        <f t="shared" si="30"/>
        <v>0</v>
      </c>
      <c r="BU212" s="136">
        <f t="shared" si="31"/>
        <v>0</v>
      </c>
      <c r="BV212" s="136">
        <f t="shared" si="32"/>
        <v>0</v>
      </c>
      <c r="BW212" s="136">
        <f t="shared" si="15"/>
        <v>0</v>
      </c>
      <c r="BX212" s="136">
        <f t="shared" si="33"/>
        <v>0</v>
      </c>
      <c r="BY212" s="136">
        <f t="shared" si="34"/>
        <v>0</v>
      </c>
      <c r="BZ212" s="136">
        <f t="shared" si="35"/>
        <v>0</v>
      </c>
      <c r="CA212" s="136">
        <f t="shared" si="16"/>
        <v>0</v>
      </c>
      <c r="CB212" s="136">
        <f t="shared" si="36"/>
        <v>0</v>
      </c>
      <c r="CC212" s="136">
        <f t="shared" si="37"/>
        <v>0</v>
      </c>
      <c r="CD212" s="136">
        <f t="shared" si="38"/>
        <v>0</v>
      </c>
    </row>
    <row r="213" spans="53:83" x14ac:dyDescent="0.25">
      <c r="BA213" s="138">
        <f t="shared" si="39"/>
        <v>7</v>
      </c>
      <c r="BB213" s="136" t="str">
        <f t="shared" si="40"/>
        <v>Graduate and above</v>
      </c>
      <c r="BC213" s="136">
        <f t="shared" si="17"/>
        <v>0</v>
      </c>
      <c r="BD213" s="136">
        <f t="shared" si="18"/>
        <v>0</v>
      </c>
      <c r="BE213" s="136">
        <f t="shared" si="19"/>
        <v>0</v>
      </c>
      <c r="BF213" s="136">
        <f t="shared" si="20"/>
        <v>0</v>
      </c>
      <c r="BG213" s="136">
        <f t="shared" si="11"/>
        <v>0</v>
      </c>
      <c r="BH213" s="136">
        <f t="shared" si="21"/>
        <v>0</v>
      </c>
      <c r="BI213" s="136">
        <f t="shared" si="22"/>
        <v>0</v>
      </c>
      <c r="BJ213" s="136">
        <f t="shared" si="23"/>
        <v>0</v>
      </c>
      <c r="BK213" s="136">
        <f t="shared" si="12"/>
        <v>0</v>
      </c>
      <c r="BL213" s="136">
        <f t="shared" si="24"/>
        <v>0</v>
      </c>
      <c r="BM213" s="136">
        <f t="shared" si="25"/>
        <v>0</v>
      </c>
      <c r="BN213" s="136">
        <f t="shared" si="26"/>
        <v>0</v>
      </c>
      <c r="BO213" s="136">
        <f t="shared" si="13"/>
        <v>0</v>
      </c>
      <c r="BP213" s="136">
        <f t="shared" si="27"/>
        <v>0</v>
      </c>
      <c r="BQ213" s="136">
        <f t="shared" si="28"/>
        <v>0</v>
      </c>
      <c r="BR213" s="136">
        <f t="shared" si="29"/>
        <v>0</v>
      </c>
      <c r="BS213" s="136">
        <f t="shared" si="14"/>
        <v>0</v>
      </c>
      <c r="BT213" s="136">
        <f t="shared" si="30"/>
        <v>0</v>
      </c>
      <c r="BU213" s="136">
        <f t="shared" si="31"/>
        <v>0</v>
      </c>
      <c r="BV213" s="136">
        <f t="shared" si="32"/>
        <v>0</v>
      </c>
      <c r="BW213" s="136">
        <f t="shared" si="15"/>
        <v>0</v>
      </c>
      <c r="BX213" s="136">
        <f t="shared" si="33"/>
        <v>0</v>
      </c>
      <c r="BY213" s="136">
        <f t="shared" si="34"/>
        <v>0</v>
      </c>
      <c r="BZ213" s="136">
        <f t="shared" si="35"/>
        <v>0</v>
      </c>
      <c r="CA213" s="136">
        <f t="shared" si="16"/>
        <v>0</v>
      </c>
      <c r="CB213" s="136">
        <f t="shared" si="36"/>
        <v>0</v>
      </c>
      <c r="CC213" s="136">
        <f t="shared" si="37"/>
        <v>0</v>
      </c>
      <c r="CD213" s="136">
        <f t="shared" si="38"/>
        <v>0</v>
      </c>
    </row>
    <row r="214" spans="53:83" x14ac:dyDescent="0.25">
      <c r="BA214" s="138">
        <f t="shared" si="39"/>
        <v>8</v>
      </c>
      <c r="BB214" s="136" t="str">
        <f t="shared" si="40"/>
        <v>Professionals (MBA, etc.)</v>
      </c>
      <c r="BC214" s="136">
        <f t="shared" si="17"/>
        <v>0</v>
      </c>
      <c r="BD214" s="136">
        <f t="shared" si="18"/>
        <v>0</v>
      </c>
      <c r="BE214" s="136">
        <f t="shared" si="19"/>
        <v>0</v>
      </c>
      <c r="BF214" s="136">
        <f t="shared" si="20"/>
        <v>0</v>
      </c>
      <c r="BG214" s="136">
        <f t="shared" si="11"/>
        <v>0</v>
      </c>
      <c r="BH214" s="136">
        <f t="shared" si="21"/>
        <v>0</v>
      </c>
      <c r="BI214" s="136">
        <f t="shared" si="22"/>
        <v>0</v>
      </c>
      <c r="BJ214" s="136">
        <f t="shared" si="23"/>
        <v>0</v>
      </c>
      <c r="BK214" s="136">
        <f t="shared" si="12"/>
        <v>0</v>
      </c>
      <c r="BL214" s="136">
        <f t="shared" si="24"/>
        <v>0</v>
      </c>
      <c r="BM214" s="136">
        <f t="shared" si="25"/>
        <v>0</v>
      </c>
      <c r="BN214" s="136">
        <f t="shared" si="26"/>
        <v>0</v>
      </c>
      <c r="BO214" s="136">
        <f t="shared" si="13"/>
        <v>0</v>
      </c>
      <c r="BP214" s="136">
        <f t="shared" si="27"/>
        <v>0</v>
      </c>
      <c r="BQ214" s="136">
        <f t="shared" si="28"/>
        <v>0</v>
      </c>
      <c r="BR214" s="136">
        <f t="shared" si="29"/>
        <v>0</v>
      </c>
      <c r="BS214" s="136">
        <f t="shared" si="14"/>
        <v>0</v>
      </c>
      <c r="BT214" s="136">
        <f t="shared" si="30"/>
        <v>0</v>
      </c>
      <c r="BU214" s="136">
        <f t="shared" si="31"/>
        <v>0</v>
      </c>
      <c r="BV214" s="136">
        <f t="shared" si="32"/>
        <v>0</v>
      </c>
      <c r="BW214" s="136">
        <f t="shared" si="15"/>
        <v>0</v>
      </c>
      <c r="BX214" s="136">
        <f t="shared" si="33"/>
        <v>0</v>
      </c>
      <c r="BY214" s="136">
        <f t="shared" si="34"/>
        <v>0</v>
      </c>
      <c r="BZ214" s="136">
        <f t="shared" si="35"/>
        <v>0</v>
      </c>
      <c r="CA214" s="136">
        <f t="shared" si="16"/>
        <v>0</v>
      </c>
      <c r="CB214" s="136">
        <f t="shared" si="36"/>
        <v>0</v>
      </c>
      <c r="CC214" s="136">
        <f t="shared" si="37"/>
        <v>0</v>
      </c>
      <c r="CD214" s="136">
        <f t="shared" si="38"/>
        <v>0</v>
      </c>
    </row>
    <row r="215" spans="53:83" x14ac:dyDescent="0.25">
      <c r="BA215" s="138">
        <f t="shared" si="39"/>
        <v>9</v>
      </c>
      <c r="BB215" s="136" t="str">
        <f t="shared" si="40"/>
        <v>Not known</v>
      </c>
      <c r="BC215" s="136">
        <f t="shared" si="17"/>
        <v>0</v>
      </c>
      <c r="BD215" s="136">
        <f t="shared" si="18"/>
        <v>0</v>
      </c>
      <c r="BE215" s="136">
        <f t="shared" si="19"/>
        <v>0</v>
      </c>
      <c r="BF215" s="136">
        <f t="shared" si="20"/>
        <v>0</v>
      </c>
      <c r="BG215" s="136">
        <f t="shared" si="11"/>
        <v>0</v>
      </c>
      <c r="BH215" s="136">
        <f t="shared" si="21"/>
        <v>0</v>
      </c>
      <c r="BI215" s="136">
        <f t="shared" si="22"/>
        <v>0</v>
      </c>
      <c r="BJ215" s="136">
        <f t="shared" si="23"/>
        <v>0</v>
      </c>
      <c r="BK215" s="136">
        <f t="shared" si="12"/>
        <v>0</v>
      </c>
      <c r="BL215" s="136">
        <f t="shared" si="24"/>
        <v>0</v>
      </c>
      <c r="BM215" s="136">
        <f t="shared" si="25"/>
        <v>0</v>
      </c>
      <c r="BN215" s="136">
        <f t="shared" si="26"/>
        <v>0</v>
      </c>
      <c r="BO215" s="136">
        <f t="shared" si="13"/>
        <v>0</v>
      </c>
      <c r="BP215" s="136">
        <f t="shared" si="27"/>
        <v>0</v>
      </c>
      <c r="BQ215" s="136">
        <f t="shared" si="28"/>
        <v>0</v>
      </c>
      <c r="BR215" s="136">
        <f t="shared" si="29"/>
        <v>0</v>
      </c>
      <c r="BS215" s="136">
        <f t="shared" si="14"/>
        <v>0</v>
      </c>
      <c r="BT215" s="136">
        <f t="shared" si="30"/>
        <v>0</v>
      </c>
      <c r="BU215" s="136">
        <f t="shared" si="31"/>
        <v>0</v>
      </c>
      <c r="BV215" s="136">
        <f t="shared" si="32"/>
        <v>0</v>
      </c>
      <c r="BW215" s="136">
        <f t="shared" si="15"/>
        <v>0</v>
      </c>
      <c r="BX215" s="136">
        <f t="shared" si="33"/>
        <v>0</v>
      </c>
      <c r="BY215" s="136">
        <f t="shared" si="34"/>
        <v>0</v>
      </c>
      <c r="BZ215" s="136">
        <f t="shared" si="35"/>
        <v>0</v>
      </c>
      <c r="CA215" s="136">
        <f t="shared" si="16"/>
        <v>0</v>
      </c>
      <c r="CB215" s="136">
        <f t="shared" si="36"/>
        <v>0</v>
      </c>
      <c r="CC215" s="136">
        <f t="shared" si="37"/>
        <v>0</v>
      </c>
      <c r="CD215" s="136">
        <f t="shared" si="38"/>
        <v>0</v>
      </c>
    </row>
    <row r="216" spans="53:83" x14ac:dyDescent="0.25">
      <c r="BA216" s="138">
        <f t="shared" si="39"/>
        <v>10</v>
      </c>
      <c r="BB216" s="136" t="str">
        <f t="shared" si="40"/>
        <v>Total (sum of Sl. 1 to 9 )</v>
      </c>
      <c r="BC216" s="136">
        <f t="shared" si="17"/>
        <v>0</v>
      </c>
      <c r="BD216" s="136">
        <f t="shared" si="18"/>
        <v>0</v>
      </c>
      <c r="BE216" s="136">
        <f t="shared" si="19"/>
        <v>0</v>
      </c>
      <c r="BF216" s="136">
        <f t="shared" si="20"/>
        <v>0</v>
      </c>
      <c r="BG216" s="136">
        <f t="shared" si="11"/>
        <v>0</v>
      </c>
      <c r="BH216" s="136">
        <f t="shared" si="21"/>
        <v>0</v>
      </c>
      <c r="BI216" s="136">
        <f t="shared" si="22"/>
        <v>0</v>
      </c>
      <c r="BJ216" s="136">
        <f t="shared" si="23"/>
        <v>0</v>
      </c>
      <c r="BK216" s="136">
        <f t="shared" si="12"/>
        <v>0</v>
      </c>
      <c r="BL216" s="136">
        <f t="shared" si="24"/>
        <v>0</v>
      </c>
      <c r="BM216" s="136">
        <f t="shared" si="25"/>
        <v>0</v>
      </c>
      <c r="BN216" s="136">
        <f t="shared" si="26"/>
        <v>0</v>
      </c>
      <c r="BO216" s="136">
        <f t="shared" si="13"/>
        <v>0</v>
      </c>
      <c r="BP216" s="136">
        <f t="shared" si="27"/>
        <v>0</v>
      </c>
      <c r="BQ216" s="136">
        <f t="shared" si="28"/>
        <v>0</v>
      </c>
      <c r="BR216" s="136">
        <f t="shared" si="29"/>
        <v>0</v>
      </c>
      <c r="BS216" s="136">
        <f t="shared" si="14"/>
        <v>0</v>
      </c>
      <c r="BT216" s="136">
        <f t="shared" si="30"/>
        <v>0</v>
      </c>
      <c r="BU216" s="136">
        <f t="shared" si="31"/>
        <v>0</v>
      </c>
      <c r="BV216" s="136">
        <f t="shared" si="32"/>
        <v>0</v>
      </c>
      <c r="BW216" s="136">
        <f t="shared" si="15"/>
        <v>0</v>
      </c>
      <c r="BX216" s="136">
        <f t="shared" si="33"/>
        <v>0</v>
      </c>
      <c r="BY216" s="136">
        <f t="shared" si="34"/>
        <v>0</v>
      </c>
      <c r="BZ216" s="136">
        <f t="shared" si="35"/>
        <v>0</v>
      </c>
      <c r="CA216" s="136">
        <f t="shared" si="16"/>
        <v>0</v>
      </c>
      <c r="CB216" s="136">
        <f t="shared" si="36"/>
        <v>0</v>
      </c>
      <c r="CC216" s="136">
        <f t="shared" si="37"/>
        <v>0</v>
      </c>
      <c r="CD216" s="136">
        <f t="shared" si="38"/>
        <v>0</v>
      </c>
    </row>
    <row r="217" spans="53:83" ht="24.95" customHeight="1" x14ac:dyDescent="0.25">
      <c r="BA217" s="678" t="str">
        <f>A18</f>
        <v>SL-9 ABNORMAL VARIATION IN "NOT KNOWN" DATA</v>
      </c>
      <c r="BB217" s="679"/>
      <c r="BC217" s="471" t="str">
        <f>D18</f>
        <v/>
      </c>
      <c r="BD217" s="471" t="str">
        <f t="shared" si="18"/>
        <v/>
      </c>
      <c r="BE217" s="471" t="str">
        <f t="shared" si="19"/>
        <v/>
      </c>
      <c r="BF217" s="471" t="str">
        <f t="shared" si="20"/>
        <v/>
      </c>
      <c r="BG217" s="471" t="str">
        <f t="shared" si="11"/>
        <v/>
      </c>
      <c r="BH217" s="471" t="str">
        <f t="shared" si="21"/>
        <v/>
      </c>
      <c r="BI217" s="471" t="str">
        <f t="shared" si="22"/>
        <v/>
      </c>
      <c r="BJ217" s="471" t="str">
        <f t="shared" si="23"/>
        <v/>
      </c>
      <c r="BK217" s="471" t="str">
        <f t="shared" si="12"/>
        <v/>
      </c>
      <c r="BL217" s="471" t="str">
        <f t="shared" si="24"/>
        <v/>
      </c>
      <c r="BM217" s="471" t="str">
        <f t="shared" si="25"/>
        <v/>
      </c>
      <c r="BN217" s="471" t="str">
        <f t="shared" si="26"/>
        <v/>
      </c>
      <c r="BO217" s="471" t="str">
        <f t="shared" si="13"/>
        <v/>
      </c>
      <c r="BP217" s="471" t="str">
        <f t="shared" si="27"/>
        <v/>
      </c>
      <c r="BQ217" s="471" t="str">
        <f t="shared" si="28"/>
        <v/>
      </c>
      <c r="BR217" s="471" t="str">
        <f t="shared" si="29"/>
        <v/>
      </c>
      <c r="BS217" s="471" t="str">
        <f t="shared" si="14"/>
        <v/>
      </c>
      <c r="BT217" s="471" t="str">
        <f t="shared" si="30"/>
        <v/>
      </c>
      <c r="BU217" s="471" t="str">
        <f t="shared" si="31"/>
        <v/>
      </c>
      <c r="BV217" s="471" t="str">
        <f t="shared" si="32"/>
        <v/>
      </c>
      <c r="BW217" s="471" t="str">
        <f t="shared" si="15"/>
        <v/>
      </c>
      <c r="BX217" s="471" t="str">
        <f t="shared" si="33"/>
        <v/>
      </c>
      <c r="BY217" s="471" t="str">
        <f t="shared" si="34"/>
        <v/>
      </c>
      <c r="BZ217" s="471" t="str">
        <f t="shared" si="35"/>
        <v/>
      </c>
      <c r="CA217" s="471" t="str">
        <f t="shared" si="16"/>
        <v/>
      </c>
      <c r="CB217" s="471" t="str">
        <f t="shared" si="36"/>
        <v/>
      </c>
      <c r="CC217" s="471" t="str">
        <f t="shared" si="37"/>
        <v/>
      </c>
      <c r="CD217" s="310" t="str">
        <f t="shared" si="38"/>
        <v/>
      </c>
    </row>
    <row r="218" spans="53:83" ht="27.75" customHeight="1" x14ac:dyDescent="0.25">
      <c r="BA218" s="673" t="str">
        <f>A19</f>
        <v>PROFORMA–XV VALUES [Sl.-6.1 Farmers/Cultivators (Sub-Total)]</v>
      </c>
      <c r="BB218" s="674"/>
      <c r="BC218" s="623"/>
      <c r="BD218" s="755"/>
      <c r="BE218" s="755"/>
      <c r="BF218" s="755"/>
      <c r="BG218" s="755"/>
      <c r="BH218" s="755"/>
      <c r="BI218" s="755"/>
      <c r="BJ218" s="755"/>
      <c r="BK218" s="755"/>
      <c r="BL218" s="755"/>
      <c r="BM218" s="755"/>
      <c r="BN218" s="755"/>
      <c r="BO218" s="755"/>
      <c r="BP218" s="755"/>
      <c r="BQ218" s="755"/>
      <c r="BR218" s="755"/>
      <c r="BS218" s="755"/>
      <c r="BT218" s="755"/>
      <c r="BU218" s="755"/>
      <c r="BV218" s="755"/>
      <c r="BW218" s="755"/>
      <c r="BX218" s="755"/>
      <c r="BY218" s="755"/>
      <c r="BZ218" s="624"/>
      <c r="CA218" s="136">
        <f t="shared" ref="CA218:CD221" si="41">AB19</f>
        <v>0</v>
      </c>
      <c r="CB218" s="136">
        <f t="shared" si="41"/>
        <v>0</v>
      </c>
      <c r="CC218" s="136">
        <f t="shared" si="41"/>
        <v>0</v>
      </c>
      <c r="CD218" s="136">
        <f t="shared" si="41"/>
        <v>0</v>
      </c>
    </row>
    <row r="219" spans="53:83" ht="42" customHeight="1" x14ac:dyDescent="0.25">
      <c r="BA219" s="673" t="str">
        <f>A20</f>
        <v>VALIDATION  WITH PROFORMA–XV [Sl.-6.1 Farmers/Cultivators (Sub-Total)]</v>
      </c>
      <c r="BB219" s="674"/>
      <c r="BC219" s="623"/>
      <c r="BD219" s="755"/>
      <c r="BE219" s="755"/>
      <c r="BF219" s="755"/>
      <c r="BG219" s="755"/>
      <c r="BH219" s="755"/>
      <c r="BI219" s="755"/>
      <c r="BJ219" s="755"/>
      <c r="BK219" s="755"/>
      <c r="BL219" s="755"/>
      <c r="BM219" s="755"/>
      <c r="BN219" s="755"/>
      <c r="BO219" s="755"/>
      <c r="BP219" s="755"/>
      <c r="BQ219" s="755"/>
      <c r="BR219" s="755"/>
      <c r="BS219" s="755"/>
      <c r="BT219" s="755"/>
      <c r="BU219" s="755"/>
      <c r="BV219" s="755"/>
      <c r="BW219" s="755"/>
      <c r="BX219" s="755"/>
      <c r="BY219" s="755"/>
      <c r="BZ219" s="624"/>
      <c r="CA219" s="136" t="str">
        <f t="shared" si="41"/>
        <v/>
      </c>
      <c r="CB219" s="136" t="str">
        <f t="shared" si="41"/>
        <v/>
      </c>
      <c r="CC219" s="136" t="str">
        <f t="shared" si="41"/>
        <v/>
      </c>
      <c r="CD219" s="136" t="str">
        <f t="shared" si="41"/>
        <v/>
      </c>
    </row>
    <row r="220" spans="53:83" ht="23.25" customHeight="1" x14ac:dyDescent="0.25">
      <c r="BA220" s="673" t="str">
        <f>A21</f>
        <v xml:space="preserve"> PROFORMA–XIV VALUES [Sl.–21 (Total)]</v>
      </c>
      <c r="BB220" s="674"/>
      <c r="BC220" s="623"/>
      <c r="BD220" s="755"/>
      <c r="BE220" s="755"/>
      <c r="BF220" s="755"/>
      <c r="BG220" s="755"/>
      <c r="BH220" s="755"/>
      <c r="BI220" s="755"/>
      <c r="BJ220" s="755"/>
      <c r="BK220" s="755"/>
      <c r="BL220" s="755"/>
      <c r="BM220" s="755"/>
      <c r="BN220" s="755"/>
      <c r="BO220" s="755"/>
      <c r="BP220" s="755"/>
      <c r="BQ220" s="755"/>
      <c r="BR220" s="755"/>
      <c r="BS220" s="755"/>
      <c r="BT220" s="755"/>
      <c r="BU220" s="755"/>
      <c r="BV220" s="755"/>
      <c r="BW220" s="755"/>
      <c r="BX220" s="755"/>
      <c r="BY220" s="755"/>
      <c r="BZ220" s="624"/>
      <c r="CA220" s="136">
        <f t="shared" si="41"/>
        <v>249</v>
      </c>
      <c r="CB220" s="136">
        <f t="shared" si="41"/>
        <v>72</v>
      </c>
      <c r="CC220" s="136">
        <f t="shared" si="41"/>
        <v>0</v>
      </c>
      <c r="CD220" s="136">
        <f t="shared" si="41"/>
        <v>321</v>
      </c>
    </row>
    <row r="221" spans="53:83" ht="27.75" customHeight="1" x14ac:dyDescent="0.25">
      <c r="BA221" s="673" t="str">
        <f>A22</f>
        <v>VALIDATION  WITH  PROFORMA–XIV [Sl.–21 (Total)]</v>
      </c>
      <c r="BB221" s="674"/>
      <c r="BC221" s="623"/>
      <c r="BD221" s="755"/>
      <c r="BE221" s="755"/>
      <c r="BF221" s="755"/>
      <c r="BG221" s="755"/>
      <c r="BH221" s="755"/>
      <c r="BI221" s="755"/>
      <c r="BJ221" s="755"/>
      <c r="BK221" s="755"/>
      <c r="BL221" s="755"/>
      <c r="BM221" s="755"/>
      <c r="BN221" s="755"/>
      <c r="BO221" s="755"/>
      <c r="BP221" s="755"/>
      <c r="BQ221" s="755"/>
      <c r="BR221" s="755"/>
      <c r="BS221" s="755"/>
      <c r="BT221" s="755"/>
      <c r="BU221" s="755"/>
      <c r="BV221" s="755"/>
      <c r="BW221" s="755"/>
      <c r="BX221" s="755"/>
      <c r="BY221" s="755"/>
      <c r="BZ221" s="624"/>
      <c r="CA221" s="136" t="str">
        <f t="shared" si="41"/>
        <v/>
      </c>
      <c r="CB221" s="136" t="str">
        <f t="shared" si="41"/>
        <v/>
      </c>
      <c r="CC221" s="136" t="str">
        <f t="shared" si="41"/>
        <v/>
      </c>
      <c r="CD221" s="136" t="str">
        <f t="shared" si="41"/>
        <v/>
      </c>
    </row>
    <row r="222" spans="53:83" x14ac:dyDescent="0.25">
      <c r="BA222" s="132"/>
      <c r="BB222" s="132"/>
      <c r="BC222" s="132"/>
      <c r="BD222" s="132"/>
      <c r="BE222" s="132"/>
      <c r="BF222" s="132"/>
      <c r="BG222" s="132"/>
      <c r="BH222" s="132"/>
      <c r="BI222" s="132"/>
      <c r="BJ222" s="132"/>
      <c r="BK222" s="132"/>
      <c r="BL222" s="132"/>
      <c r="BM222" s="132"/>
      <c r="BN222" s="132"/>
      <c r="BO222" s="132"/>
      <c r="BP222" s="132"/>
      <c r="BQ222" s="132"/>
      <c r="BR222" s="132"/>
      <c r="BS222" s="132"/>
      <c r="BT222" s="132"/>
      <c r="BU222" s="132"/>
      <c r="BV222" s="132"/>
      <c r="BW222" s="132"/>
      <c r="BX222" s="132"/>
      <c r="BY222" s="132"/>
      <c r="BZ222" s="132"/>
      <c r="CA222" s="132"/>
      <c r="CB222" s="132"/>
      <c r="CC222" s="132"/>
      <c r="CD222" s="132"/>
      <c r="CE222" s="132"/>
    </row>
    <row r="223" spans="53:83" x14ac:dyDescent="0.25">
      <c r="BA223" s="132"/>
      <c r="BB223" s="132"/>
      <c r="BC223" s="132"/>
      <c r="BD223" s="132"/>
      <c r="BE223" s="132"/>
      <c r="BF223" s="132"/>
      <c r="BG223" s="132"/>
      <c r="BH223" s="132"/>
      <c r="BI223" s="132"/>
      <c r="BJ223" s="132"/>
      <c r="BK223" s="132"/>
      <c r="BL223" s="132"/>
      <c r="BM223" s="132"/>
      <c r="BN223" s="132"/>
      <c r="BO223" s="132"/>
      <c r="BP223" s="132"/>
      <c r="BQ223" s="132"/>
      <c r="BR223" s="132"/>
      <c r="BS223" s="132"/>
      <c r="BT223" s="132"/>
      <c r="BU223" s="132"/>
      <c r="BV223" s="132"/>
      <c r="BW223" s="132"/>
      <c r="BX223" s="132"/>
      <c r="BY223" s="132"/>
      <c r="BZ223" s="132"/>
      <c r="CA223" s="132"/>
      <c r="CB223" s="132"/>
      <c r="CC223" s="132"/>
      <c r="CD223" s="132"/>
      <c r="CE223" s="132"/>
    </row>
    <row r="224" spans="53:83" x14ac:dyDescent="0.25">
      <c r="BA224" s="132"/>
      <c r="BB224" s="132"/>
      <c r="BC224" s="132"/>
      <c r="BD224" s="132"/>
      <c r="BE224" s="132"/>
      <c r="BF224" s="132"/>
      <c r="BG224" s="132"/>
      <c r="BH224" s="132"/>
      <c r="BI224" s="132"/>
      <c r="BJ224" s="132"/>
      <c r="BK224" s="132"/>
      <c r="BL224" s="132"/>
      <c r="BM224" s="132"/>
      <c r="BN224" s="132"/>
      <c r="BO224" s="132"/>
      <c r="BP224" s="132"/>
      <c r="BQ224" s="132"/>
      <c r="BR224" s="132"/>
      <c r="BS224" s="132"/>
      <c r="BT224" s="132"/>
      <c r="BU224" s="132"/>
      <c r="BV224" s="132"/>
      <c r="BW224" s="132"/>
      <c r="BX224" s="132"/>
      <c r="BY224" s="132"/>
      <c r="BZ224" s="132"/>
      <c r="CA224" s="132"/>
      <c r="CB224" s="132"/>
      <c r="CC224" s="132"/>
      <c r="CD224" s="132"/>
      <c r="CE224" s="132"/>
    </row>
    <row r="225" spans="53:83" x14ac:dyDescent="0.25">
      <c r="BA225" s="132"/>
      <c r="BB225" s="132"/>
      <c r="BC225" s="132"/>
      <c r="BD225" s="132"/>
      <c r="BE225" s="132"/>
      <c r="BF225" s="132"/>
      <c r="BG225" s="132"/>
      <c r="BH225" s="132"/>
      <c r="BI225" s="132"/>
      <c r="BJ225" s="132"/>
      <c r="BK225" s="132"/>
      <c r="BL225" s="132"/>
      <c r="BM225" s="132"/>
      <c r="BN225" s="132"/>
      <c r="BO225" s="132"/>
      <c r="BP225" s="132"/>
      <c r="BQ225" s="132"/>
      <c r="BR225" s="132"/>
      <c r="BS225" s="132"/>
      <c r="BT225" s="132"/>
      <c r="BU225" s="132"/>
      <c r="BV225" s="132"/>
      <c r="BW225" s="132"/>
      <c r="BX225" s="132"/>
      <c r="BY225" s="132"/>
      <c r="BZ225" s="132"/>
      <c r="CA225" s="132"/>
      <c r="CB225" s="132"/>
      <c r="CC225" s="132"/>
      <c r="CD225" s="132"/>
      <c r="CE225" s="132"/>
    </row>
    <row r="226" spans="53:83" x14ac:dyDescent="0.25">
      <c r="BA226" s="132"/>
      <c r="BB226" s="132"/>
      <c r="BC226" s="132"/>
      <c r="BD226" s="132"/>
      <c r="BE226" s="132"/>
      <c r="BF226" s="132"/>
      <c r="BG226" s="132"/>
      <c r="BH226" s="132"/>
      <c r="BI226" s="132"/>
      <c r="BJ226" s="132"/>
      <c r="BK226" s="132"/>
      <c r="BL226" s="132"/>
      <c r="BM226" s="132"/>
      <c r="BN226" s="132"/>
      <c r="BO226" s="132"/>
      <c r="BP226" s="132"/>
      <c r="BQ226" s="132"/>
      <c r="BR226" s="132"/>
      <c r="BS226" s="132"/>
      <c r="BT226" s="132"/>
      <c r="BU226" s="132"/>
      <c r="BV226" s="132"/>
      <c r="BW226" s="132"/>
      <c r="BX226" s="132"/>
      <c r="BY226" s="132"/>
      <c r="BZ226" s="132"/>
      <c r="CA226" s="132"/>
      <c r="CB226" s="132"/>
      <c r="CC226" s="132"/>
      <c r="CD226" s="132"/>
      <c r="CE226" s="132"/>
    </row>
    <row r="227" spans="53:83" x14ac:dyDescent="0.25">
      <c r="BA227" s="132"/>
      <c r="BB227" s="132"/>
      <c r="BC227" s="132"/>
      <c r="BD227" s="132"/>
      <c r="BE227" s="132"/>
      <c r="BF227" s="132"/>
      <c r="BG227" s="132"/>
      <c r="BH227" s="132"/>
      <c r="BI227" s="132"/>
      <c r="BJ227" s="132"/>
      <c r="BK227" s="132"/>
      <c r="BL227" s="132"/>
      <c r="BM227" s="132"/>
      <c r="BN227" s="132"/>
      <c r="BO227" s="132"/>
      <c r="BP227" s="132"/>
      <c r="BQ227" s="132"/>
      <c r="BR227" s="132"/>
      <c r="BS227" s="132"/>
      <c r="BT227" s="132"/>
      <c r="BU227" s="132"/>
      <c r="BV227" s="132"/>
      <c r="BW227" s="132"/>
      <c r="BX227" s="132"/>
      <c r="BY227" s="132"/>
      <c r="BZ227" s="132"/>
      <c r="CA227" s="132"/>
      <c r="CB227" s="132"/>
      <c r="CC227" s="132"/>
      <c r="CD227" s="132"/>
      <c r="CE227" s="132"/>
    </row>
    <row r="228" spans="53:83" x14ac:dyDescent="0.25">
      <c r="BA228" s="132"/>
      <c r="BB228" s="132"/>
      <c r="BC228" s="132"/>
      <c r="BD228" s="132"/>
      <c r="BE228" s="132"/>
      <c r="BF228" s="132"/>
      <c r="BG228" s="132"/>
      <c r="BH228" s="132"/>
      <c r="BI228" s="132"/>
      <c r="BJ228" s="132"/>
      <c r="BK228" s="132"/>
      <c r="BL228" s="132"/>
      <c r="BM228" s="132"/>
      <c r="BN228" s="132"/>
      <c r="BO228" s="132"/>
      <c r="BP228" s="132"/>
      <c r="BQ228" s="132"/>
      <c r="BR228" s="132"/>
      <c r="BS228" s="132"/>
      <c r="BT228" s="132"/>
      <c r="BU228" s="132"/>
      <c r="BV228" s="132"/>
      <c r="BW228" s="132"/>
      <c r="BX228" s="132"/>
      <c r="BY228" s="132"/>
      <c r="BZ228" s="132"/>
      <c r="CA228" s="132"/>
      <c r="CB228" s="132"/>
      <c r="CC228" s="132"/>
      <c r="CD228" s="132"/>
      <c r="CE228" s="132"/>
    </row>
    <row r="229" spans="53:83" x14ac:dyDescent="0.25">
      <c r="BA229" s="132"/>
      <c r="BB229" s="132"/>
      <c r="BC229" s="132"/>
      <c r="BD229" s="132"/>
      <c r="BE229" s="132"/>
      <c r="BF229" s="132"/>
      <c r="BG229" s="132"/>
      <c r="BH229" s="132"/>
      <c r="BI229" s="132"/>
      <c r="BJ229" s="132"/>
      <c r="BK229" s="132"/>
      <c r="BL229" s="132"/>
      <c r="BM229" s="132"/>
      <c r="BN229" s="132"/>
      <c r="BO229" s="132"/>
      <c r="BP229" s="132"/>
      <c r="BQ229" s="132"/>
      <c r="BR229" s="132"/>
      <c r="BS229" s="132"/>
      <c r="BT229" s="132"/>
      <c r="BU229" s="132"/>
      <c r="BV229" s="132"/>
      <c r="BW229" s="132"/>
      <c r="BX229" s="132"/>
      <c r="BY229" s="132"/>
      <c r="BZ229" s="132"/>
      <c r="CA229" s="132"/>
      <c r="CB229" s="132"/>
      <c r="CC229" s="132"/>
      <c r="CD229" s="132"/>
      <c r="CE229" s="132"/>
    </row>
    <row r="230" spans="53:83" x14ac:dyDescent="0.25">
      <c r="BA230" s="132"/>
      <c r="BB230" s="132"/>
      <c r="BC230" s="132"/>
      <c r="BD230" s="132"/>
      <c r="BE230" s="132"/>
      <c r="BF230" s="132"/>
      <c r="BG230" s="132"/>
      <c r="BH230" s="132"/>
      <c r="BI230" s="132"/>
      <c r="BJ230" s="132"/>
      <c r="BK230" s="132"/>
      <c r="BL230" s="132"/>
      <c r="BM230" s="132"/>
      <c r="BN230" s="132"/>
      <c r="BO230" s="132"/>
      <c r="BP230" s="132"/>
      <c r="BQ230" s="132"/>
      <c r="BR230" s="132"/>
      <c r="BS230" s="132"/>
      <c r="BT230" s="132"/>
      <c r="BU230" s="132"/>
      <c r="BV230" s="132"/>
      <c r="BW230" s="132"/>
      <c r="BX230" s="132"/>
      <c r="BY230" s="132"/>
      <c r="BZ230" s="132"/>
      <c r="CA230" s="132"/>
      <c r="CB230" s="132"/>
      <c r="CC230" s="132"/>
      <c r="CD230" s="132"/>
      <c r="CE230" s="132"/>
    </row>
    <row r="231" spans="53:83" x14ac:dyDescent="0.25">
      <c r="BA231" s="132"/>
      <c r="BB231" s="132"/>
      <c r="BC231" s="132"/>
      <c r="BD231" s="132"/>
      <c r="BE231" s="132"/>
      <c r="BF231" s="132"/>
      <c r="BG231" s="132"/>
      <c r="BH231" s="132"/>
      <c r="BI231" s="132"/>
      <c r="BJ231" s="132"/>
      <c r="BK231" s="132"/>
      <c r="BL231" s="132"/>
      <c r="BM231" s="132"/>
      <c r="BN231" s="132"/>
      <c r="BO231" s="132"/>
      <c r="BP231" s="132"/>
      <c r="BQ231" s="132"/>
      <c r="BR231" s="132"/>
      <c r="BS231" s="132"/>
      <c r="BT231" s="132"/>
      <c r="BU231" s="132"/>
      <c r="BV231" s="132"/>
      <c r="BW231" s="132"/>
      <c r="BX231" s="132"/>
      <c r="BY231" s="132"/>
      <c r="BZ231" s="132"/>
      <c r="CA231" s="132"/>
      <c r="CB231" s="132"/>
      <c r="CC231" s="132"/>
      <c r="CD231" s="132"/>
      <c r="CE231" s="132"/>
    </row>
    <row r="232" spans="53:83" x14ac:dyDescent="0.25">
      <c r="BA232" s="132"/>
      <c r="BB232" s="132"/>
      <c r="BC232" s="132"/>
      <c r="BD232" s="132"/>
      <c r="BE232" s="132"/>
      <c r="BF232" s="132"/>
      <c r="BG232" s="132"/>
      <c r="BH232" s="132"/>
      <c r="BI232" s="132"/>
      <c r="BJ232" s="132"/>
      <c r="BK232" s="132"/>
      <c r="BL232" s="132"/>
      <c r="BM232" s="132"/>
      <c r="BN232" s="132"/>
      <c r="BO232" s="132"/>
      <c r="BP232" s="132"/>
      <c r="BQ232" s="132"/>
      <c r="BR232" s="132"/>
      <c r="BS232" s="132"/>
      <c r="BT232" s="132"/>
      <c r="BU232" s="132"/>
      <c r="BV232" s="132"/>
      <c r="BW232" s="132"/>
      <c r="BX232" s="132"/>
      <c r="BY232" s="132"/>
      <c r="BZ232" s="132"/>
      <c r="CA232" s="132"/>
      <c r="CB232" s="132"/>
      <c r="CC232" s="132"/>
      <c r="CD232" s="132"/>
      <c r="CE232" s="132"/>
    </row>
    <row r="233" spans="53:83" x14ac:dyDescent="0.25">
      <c r="BA233" s="132"/>
      <c r="BB233" s="132"/>
      <c r="BC233" s="132"/>
      <c r="BD233" s="132"/>
      <c r="BE233" s="132"/>
      <c r="BF233" s="132"/>
      <c r="BG233" s="132"/>
      <c r="BH233" s="132"/>
      <c r="BI233" s="132"/>
      <c r="BJ233" s="132"/>
      <c r="BK233" s="132"/>
      <c r="BL233" s="132"/>
      <c r="BM233" s="132"/>
      <c r="BN233" s="132"/>
      <c r="BO233" s="132"/>
      <c r="BP233" s="132"/>
      <c r="BQ233" s="132"/>
      <c r="BR233" s="132"/>
      <c r="BS233" s="132"/>
      <c r="BT233" s="132"/>
      <c r="BU233" s="132"/>
      <c r="BV233" s="132"/>
      <c r="BW233" s="132"/>
      <c r="BX233" s="132"/>
      <c r="BY233" s="132"/>
      <c r="BZ233" s="132"/>
      <c r="CA233" s="132"/>
      <c r="CB233" s="132"/>
      <c r="CC233" s="132"/>
      <c r="CD233" s="132"/>
      <c r="CE233" s="132"/>
    </row>
    <row r="234" spans="53:83" x14ac:dyDescent="0.25">
      <c r="BA234" s="132"/>
      <c r="BB234" s="132"/>
      <c r="BC234" s="132"/>
      <c r="BD234" s="132"/>
      <c r="BE234" s="132"/>
      <c r="BF234" s="132"/>
      <c r="BG234" s="132"/>
      <c r="BH234" s="132"/>
      <c r="BI234" s="132"/>
      <c r="BJ234" s="132"/>
      <c r="BK234" s="132"/>
      <c r="BL234" s="132"/>
      <c r="BM234" s="132"/>
      <c r="BN234" s="132"/>
      <c r="BO234" s="132"/>
      <c r="BP234" s="132"/>
      <c r="BQ234" s="132"/>
      <c r="BR234" s="132"/>
      <c r="BS234" s="132"/>
      <c r="BT234" s="132"/>
      <c r="BU234" s="132"/>
      <c r="BV234" s="132"/>
      <c r="BW234" s="132"/>
      <c r="BX234" s="132"/>
      <c r="BY234" s="132"/>
      <c r="BZ234" s="132"/>
      <c r="CA234" s="132"/>
      <c r="CB234" s="132"/>
      <c r="CC234" s="132"/>
      <c r="CD234" s="132"/>
      <c r="CE234" s="132"/>
    </row>
    <row r="235" spans="53:83" x14ac:dyDescent="0.25">
      <c r="BA235" s="132"/>
      <c r="BB235" s="132"/>
      <c r="BC235" s="132"/>
      <c r="BD235" s="132"/>
      <c r="BE235" s="132"/>
      <c r="BF235" s="132"/>
      <c r="BG235" s="132"/>
      <c r="BH235" s="132"/>
      <c r="BI235" s="132"/>
      <c r="BJ235" s="132"/>
      <c r="BK235" s="132"/>
      <c r="BL235" s="132"/>
      <c r="BM235" s="132"/>
      <c r="BN235" s="132"/>
      <c r="BO235" s="132"/>
      <c r="BP235" s="132"/>
      <c r="BQ235" s="132"/>
      <c r="BR235" s="132"/>
      <c r="BS235" s="132"/>
      <c r="BT235" s="132"/>
      <c r="BU235" s="132"/>
      <c r="BV235" s="132"/>
      <c r="BW235" s="132"/>
      <c r="BX235" s="132"/>
      <c r="BY235" s="132"/>
      <c r="BZ235" s="132"/>
      <c r="CA235" s="132"/>
      <c r="CB235" s="132"/>
      <c r="CC235" s="132"/>
      <c r="CD235" s="132"/>
      <c r="CE235" s="132"/>
    </row>
    <row r="236" spans="53:83" x14ac:dyDescent="0.25">
      <c r="BA236" s="132"/>
      <c r="BB236" s="132"/>
      <c r="BC236" s="132"/>
      <c r="BD236" s="132"/>
      <c r="BE236" s="132"/>
      <c r="BF236" s="132"/>
      <c r="BG236" s="132"/>
      <c r="BH236" s="132"/>
      <c r="BI236" s="132"/>
      <c r="BJ236" s="132"/>
      <c r="BK236" s="132"/>
      <c r="BL236" s="132"/>
      <c r="BM236" s="132"/>
      <c r="BN236" s="132"/>
      <c r="BO236" s="132"/>
      <c r="BP236" s="132"/>
      <c r="BQ236" s="132"/>
      <c r="BR236" s="132"/>
      <c r="BS236" s="132"/>
      <c r="BT236" s="132"/>
      <c r="BU236" s="132"/>
      <c r="BV236" s="132"/>
      <c r="BW236" s="132"/>
      <c r="BX236" s="132"/>
      <c r="BY236" s="132"/>
      <c r="BZ236" s="132"/>
      <c r="CA236" s="132"/>
      <c r="CB236" s="132"/>
      <c r="CC236" s="132"/>
      <c r="CD236" s="132"/>
      <c r="CE236" s="132"/>
    </row>
    <row r="237" spans="53:83" x14ac:dyDescent="0.25">
      <c r="BA237" s="132"/>
      <c r="BB237" s="132"/>
      <c r="BC237" s="132"/>
      <c r="BD237" s="132"/>
      <c r="BE237" s="132"/>
      <c r="BF237" s="132"/>
      <c r="BG237" s="132"/>
      <c r="BH237" s="132"/>
      <c r="BI237" s="132"/>
      <c r="BJ237" s="132"/>
      <c r="BK237" s="132"/>
      <c r="BL237" s="132"/>
      <c r="BM237" s="132"/>
      <c r="BN237" s="132"/>
      <c r="BO237" s="132"/>
      <c r="BP237" s="132"/>
      <c r="BQ237" s="132"/>
      <c r="BR237" s="132"/>
      <c r="BS237" s="132"/>
      <c r="BT237" s="132"/>
      <c r="BU237" s="132"/>
      <c r="BV237" s="132"/>
      <c r="BW237" s="132"/>
      <c r="BX237" s="132"/>
      <c r="BY237" s="132"/>
      <c r="BZ237" s="132"/>
      <c r="CA237" s="132"/>
      <c r="CB237" s="132"/>
      <c r="CC237" s="132"/>
      <c r="CD237" s="132"/>
      <c r="CE237" s="132"/>
    </row>
    <row r="238" spans="53:83" x14ac:dyDescent="0.25">
      <c r="BA238" s="132"/>
      <c r="BB238" s="132"/>
      <c r="BC238" s="132"/>
      <c r="BD238" s="132"/>
      <c r="BE238" s="132"/>
      <c r="BF238" s="132"/>
      <c r="BG238" s="132"/>
      <c r="BH238" s="132"/>
      <c r="BI238" s="132"/>
      <c r="BJ238" s="132"/>
      <c r="BK238" s="132"/>
      <c r="BL238" s="132"/>
      <c r="BM238" s="132"/>
      <c r="BN238" s="132"/>
      <c r="BO238" s="132"/>
      <c r="BP238" s="132"/>
      <c r="BQ238" s="132"/>
      <c r="BR238" s="132"/>
      <c r="BS238" s="132"/>
      <c r="BT238" s="132"/>
      <c r="BU238" s="132"/>
      <c r="BV238" s="132"/>
      <c r="BW238" s="132"/>
      <c r="BX238" s="132"/>
      <c r="BY238" s="132"/>
      <c r="BZ238" s="132"/>
      <c r="CA238" s="132"/>
      <c r="CB238" s="132"/>
      <c r="CC238" s="132"/>
      <c r="CD238" s="132"/>
      <c r="CE238" s="132"/>
    </row>
    <row r="239" spans="53:83" x14ac:dyDescent="0.25">
      <c r="BA239" s="132"/>
      <c r="BB239" s="132"/>
      <c r="BC239" s="132"/>
      <c r="BD239" s="132"/>
      <c r="BE239" s="132"/>
      <c r="BF239" s="132"/>
      <c r="BG239" s="132"/>
      <c r="BH239" s="132"/>
      <c r="BI239" s="132"/>
      <c r="BJ239" s="132"/>
      <c r="BK239" s="132"/>
      <c r="BL239" s="132"/>
      <c r="BM239" s="132"/>
      <c r="BN239" s="132"/>
      <c r="BO239" s="132"/>
      <c r="BP239" s="132"/>
      <c r="BQ239" s="132"/>
      <c r="BR239" s="132"/>
      <c r="BS239" s="132"/>
      <c r="BT239" s="132"/>
      <c r="BU239" s="132"/>
      <c r="BV239" s="132"/>
      <c r="BW239" s="132"/>
      <c r="BX239" s="132"/>
      <c r="BY239" s="132"/>
      <c r="BZ239" s="132"/>
      <c r="CA239" s="132"/>
      <c r="CB239" s="132"/>
      <c r="CC239" s="132"/>
      <c r="CD239" s="132"/>
      <c r="CE239" s="132"/>
    </row>
    <row r="240" spans="53:83" x14ac:dyDescent="0.25">
      <c r="BA240" s="132"/>
      <c r="BB240" s="132"/>
      <c r="BC240" s="132"/>
      <c r="BD240" s="132"/>
      <c r="BE240" s="132"/>
      <c r="BF240" s="132"/>
      <c r="BG240" s="132"/>
      <c r="BH240" s="132"/>
      <c r="BI240" s="132"/>
      <c r="BJ240" s="132"/>
      <c r="BK240" s="132"/>
      <c r="BL240" s="132"/>
      <c r="BM240" s="132"/>
      <c r="BN240" s="132"/>
      <c r="BO240" s="132"/>
      <c r="BP240" s="132"/>
      <c r="BQ240" s="132"/>
      <c r="BR240" s="132"/>
      <c r="BS240" s="132"/>
      <c r="BT240" s="132"/>
      <c r="BU240" s="132"/>
      <c r="BV240" s="132"/>
      <c r="BW240" s="132"/>
      <c r="BX240" s="132"/>
      <c r="BY240" s="132"/>
      <c r="BZ240" s="132"/>
      <c r="CA240" s="132"/>
      <c r="CB240" s="132"/>
      <c r="CC240" s="132"/>
      <c r="CD240" s="132"/>
      <c r="CE240" s="132"/>
    </row>
    <row r="241" spans="53:83" x14ac:dyDescent="0.25">
      <c r="BA241" s="132"/>
      <c r="BB241" s="132"/>
      <c r="BC241" s="132"/>
      <c r="BD241" s="132"/>
      <c r="BE241" s="132"/>
      <c r="BF241" s="132"/>
      <c r="BG241" s="132"/>
      <c r="BH241" s="132"/>
      <c r="BI241" s="132"/>
      <c r="BJ241" s="132"/>
      <c r="BK241" s="132"/>
      <c r="BL241" s="132"/>
      <c r="BM241" s="132"/>
      <c r="BN241" s="132"/>
      <c r="BO241" s="132"/>
      <c r="BP241" s="132"/>
      <c r="BQ241" s="132"/>
      <c r="BR241" s="132"/>
      <c r="BS241" s="132"/>
      <c r="BT241" s="132"/>
      <c r="BU241" s="132"/>
      <c r="BV241" s="132"/>
      <c r="BW241" s="132"/>
      <c r="BX241" s="132"/>
      <c r="BY241" s="132"/>
      <c r="BZ241" s="132"/>
      <c r="CA241" s="132"/>
      <c r="CB241" s="132"/>
      <c r="CC241" s="132"/>
      <c r="CD241" s="132"/>
      <c r="CE241" s="132"/>
    </row>
    <row r="242" spans="53:83" x14ac:dyDescent="0.25">
      <c r="BA242" s="132"/>
      <c r="BB242" s="132"/>
      <c r="BC242" s="132"/>
      <c r="BD242" s="132"/>
      <c r="BE242" s="132"/>
      <c r="BF242" s="132"/>
      <c r="BG242" s="132"/>
      <c r="BH242" s="132"/>
      <c r="BI242" s="132"/>
      <c r="BJ242" s="132"/>
      <c r="BK242" s="132"/>
      <c r="BL242" s="132"/>
      <c r="BM242" s="132"/>
      <c r="BN242" s="132"/>
      <c r="BO242" s="132"/>
      <c r="BP242" s="132"/>
      <c r="BQ242" s="132"/>
      <c r="BR242" s="132"/>
      <c r="BS242" s="132"/>
      <c r="BT242" s="132"/>
      <c r="BU242" s="132"/>
      <c r="BV242" s="132"/>
      <c r="BW242" s="132"/>
      <c r="BX242" s="132"/>
      <c r="BY242" s="132"/>
      <c r="BZ242" s="132"/>
      <c r="CA242" s="132"/>
      <c r="CB242" s="132"/>
      <c r="CC242" s="132"/>
      <c r="CD242" s="132"/>
      <c r="CE242" s="132"/>
    </row>
    <row r="243" spans="53:83" x14ac:dyDescent="0.25">
      <c r="BA243" s="132"/>
      <c r="BB243" s="132"/>
      <c r="BC243" s="132"/>
      <c r="BD243" s="132"/>
      <c r="BE243" s="132"/>
      <c r="BF243" s="132"/>
      <c r="BG243" s="132"/>
      <c r="BH243" s="132"/>
      <c r="BI243" s="132"/>
      <c r="BJ243" s="132"/>
      <c r="BK243" s="132"/>
      <c r="BL243" s="132"/>
      <c r="BM243" s="132"/>
      <c r="BN243" s="132"/>
      <c r="BO243" s="132"/>
      <c r="BP243" s="132"/>
      <c r="BQ243" s="132"/>
      <c r="BR243" s="132"/>
      <c r="BS243" s="132"/>
      <c r="BT243" s="132"/>
      <c r="BU243" s="132"/>
      <c r="BV243" s="132"/>
      <c r="BW243" s="132"/>
      <c r="BX243" s="132"/>
      <c r="BY243" s="132"/>
      <c r="BZ243" s="132"/>
      <c r="CA243" s="132"/>
      <c r="CB243" s="132"/>
      <c r="CC243" s="132"/>
      <c r="CD243" s="132"/>
      <c r="CE243" s="132"/>
    </row>
    <row r="244" spans="53:83" x14ac:dyDescent="0.25">
      <c r="BA244" s="132"/>
      <c r="BB244" s="132"/>
      <c r="BC244" s="132"/>
      <c r="BD244" s="132"/>
      <c r="BE244" s="132"/>
      <c r="BF244" s="132"/>
      <c r="BG244" s="132"/>
      <c r="BH244" s="132"/>
      <c r="BI244" s="132"/>
      <c r="BJ244" s="132"/>
      <c r="BK244" s="132"/>
      <c r="BL244" s="132"/>
      <c r="BM244" s="132"/>
      <c r="BN244" s="132"/>
      <c r="BO244" s="132"/>
      <c r="BP244" s="132"/>
      <c r="BQ244" s="132"/>
      <c r="BR244" s="132"/>
      <c r="BS244" s="132"/>
      <c r="BT244" s="132"/>
      <c r="BU244" s="132"/>
      <c r="BV244" s="132"/>
      <c r="BW244" s="132"/>
      <c r="BX244" s="132"/>
      <c r="BY244" s="132"/>
      <c r="BZ244" s="132"/>
      <c r="CA244" s="132"/>
      <c r="CB244" s="132"/>
      <c r="CC244" s="132"/>
      <c r="CD244" s="132"/>
      <c r="CE244" s="132"/>
    </row>
    <row r="245" spans="53:83" x14ac:dyDescent="0.25">
      <c r="BA245" s="132"/>
      <c r="BB245" s="132"/>
      <c r="BC245" s="132"/>
      <c r="BD245" s="132"/>
      <c r="BE245" s="132"/>
      <c r="BF245" s="132"/>
      <c r="BG245" s="132"/>
      <c r="BH245" s="132"/>
      <c r="BI245" s="132"/>
      <c r="BJ245" s="132"/>
      <c r="BK245" s="132"/>
      <c r="BL245" s="132"/>
      <c r="BM245" s="132"/>
      <c r="BN245" s="132"/>
      <c r="BO245" s="132"/>
      <c r="BP245" s="132"/>
      <c r="BQ245" s="132"/>
      <c r="BR245" s="132"/>
      <c r="BS245" s="132"/>
      <c r="BT245" s="132"/>
      <c r="BU245" s="132"/>
      <c r="BV245" s="132"/>
      <c r="BW245" s="132"/>
      <c r="BX245" s="132"/>
      <c r="BY245" s="132"/>
      <c r="BZ245" s="132"/>
      <c r="CA245" s="132"/>
      <c r="CB245" s="132"/>
      <c r="CC245" s="132"/>
      <c r="CD245" s="132"/>
      <c r="CE245" s="132"/>
    </row>
    <row r="246" spans="53:83" x14ac:dyDescent="0.25">
      <c r="BA246" s="132"/>
      <c r="BB246" s="132"/>
      <c r="BC246" s="132"/>
      <c r="BD246" s="132"/>
      <c r="BE246" s="132"/>
      <c r="BF246" s="132"/>
      <c r="BG246" s="132"/>
      <c r="BH246" s="132"/>
      <c r="BI246" s="132"/>
      <c r="BJ246" s="132"/>
      <c r="BK246" s="132"/>
      <c r="BL246" s="132"/>
      <c r="BM246" s="132"/>
      <c r="BN246" s="132"/>
      <c r="BO246" s="132"/>
      <c r="BP246" s="132"/>
      <c r="BQ246" s="132"/>
      <c r="BR246" s="132"/>
      <c r="BS246" s="132"/>
      <c r="BT246" s="132"/>
      <c r="BU246" s="132"/>
      <c r="BV246" s="132"/>
      <c r="BW246" s="132"/>
      <c r="BX246" s="132"/>
      <c r="BY246" s="132"/>
      <c r="BZ246" s="132"/>
      <c r="CA246" s="132"/>
      <c r="CB246" s="132"/>
      <c r="CC246" s="132"/>
      <c r="CD246" s="132"/>
      <c r="CE246" s="132"/>
    </row>
    <row r="247" spans="53:83" x14ac:dyDescent="0.25">
      <c r="BA247" s="132"/>
      <c r="BB247" s="132"/>
      <c r="BC247" s="132"/>
      <c r="BD247" s="132"/>
      <c r="BE247" s="132"/>
      <c r="BF247" s="132"/>
      <c r="BG247" s="132"/>
      <c r="BH247" s="132"/>
      <c r="BI247" s="132"/>
      <c r="BJ247" s="132"/>
      <c r="BK247" s="132"/>
      <c r="BL247" s="132"/>
      <c r="BM247" s="132"/>
      <c r="BN247" s="132"/>
      <c r="BO247" s="132"/>
      <c r="BP247" s="132"/>
      <c r="BQ247" s="132"/>
      <c r="BR247" s="132"/>
      <c r="BS247" s="132"/>
      <c r="BT247" s="132"/>
      <c r="BU247" s="132"/>
      <c r="BV247" s="132"/>
      <c r="BW247" s="132"/>
      <c r="BX247" s="132"/>
      <c r="BY247" s="132"/>
      <c r="BZ247" s="132"/>
      <c r="CA247" s="132"/>
      <c r="CB247" s="132"/>
      <c r="CC247" s="132"/>
      <c r="CD247" s="132"/>
      <c r="CE247" s="132"/>
    </row>
    <row r="248" spans="53:83" x14ac:dyDescent="0.25">
      <c r="BA248" s="132"/>
      <c r="BB248" s="132"/>
      <c r="BC248" s="132"/>
      <c r="BD248" s="132"/>
      <c r="BE248" s="132"/>
      <c r="BF248" s="132"/>
      <c r="BG248" s="132"/>
      <c r="BH248" s="132"/>
      <c r="BI248" s="132"/>
      <c r="BJ248" s="132"/>
      <c r="BK248" s="132"/>
      <c r="BL248" s="132"/>
      <c r="BM248" s="132"/>
      <c r="BN248" s="132"/>
      <c r="BO248" s="132"/>
      <c r="BP248" s="132"/>
      <c r="BQ248" s="132"/>
      <c r="BR248" s="132"/>
      <c r="BS248" s="132"/>
      <c r="BT248" s="132"/>
      <c r="BU248" s="132"/>
      <c r="BV248" s="132"/>
      <c r="BW248" s="132"/>
      <c r="BX248" s="132"/>
      <c r="BY248" s="132"/>
      <c r="BZ248" s="132"/>
      <c r="CA248" s="132"/>
      <c r="CB248" s="132"/>
      <c r="CC248" s="132"/>
      <c r="CD248" s="132"/>
      <c r="CE248" s="132"/>
    </row>
    <row r="249" spans="53:83" x14ac:dyDescent="0.25">
      <c r="BA249" s="132"/>
      <c r="BB249" s="132"/>
      <c r="BC249" s="132"/>
      <c r="BD249" s="132"/>
      <c r="BE249" s="132"/>
      <c r="BF249" s="132"/>
      <c r="BG249" s="132"/>
      <c r="BH249" s="132"/>
      <c r="BI249" s="132"/>
      <c r="BJ249" s="132"/>
      <c r="BK249" s="132"/>
      <c r="BL249" s="132"/>
      <c r="BM249" s="132"/>
      <c r="BN249" s="132"/>
      <c r="BO249" s="132"/>
      <c r="BP249" s="132"/>
      <c r="BQ249" s="132"/>
      <c r="BR249" s="132"/>
      <c r="BS249" s="132"/>
      <c r="BT249" s="132"/>
      <c r="BU249" s="132"/>
      <c r="BV249" s="132"/>
      <c r="BW249" s="132"/>
      <c r="BX249" s="132"/>
      <c r="BY249" s="132"/>
      <c r="BZ249" s="132"/>
      <c r="CA249" s="132"/>
      <c r="CB249" s="132"/>
      <c r="CC249" s="132"/>
      <c r="CD249" s="132"/>
      <c r="CE249" s="132"/>
    </row>
    <row r="500" spans="1:32" s="365" customFormat="1" x14ac:dyDescent="0.25">
      <c r="A500" s="206" t="s">
        <v>450</v>
      </c>
      <c r="B500" s="206" t="s">
        <v>451</v>
      </c>
      <c r="C500" s="206" t="s">
        <v>452</v>
      </c>
      <c r="D500" s="206" t="s">
        <v>453</v>
      </c>
      <c r="E500" s="206" t="s">
        <v>498</v>
      </c>
      <c r="F500" s="206" t="s">
        <v>499</v>
      </c>
      <c r="G500" s="206" t="s">
        <v>500</v>
      </c>
      <c r="H500" s="206" t="s">
        <v>501</v>
      </c>
      <c r="I500" s="206" t="s">
        <v>502</v>
      </c>
      <c r="J500" s="206" t="s">
        <v>503</v>
      </c>
      <c r="K500" s="206" t="s">
        <v>504</v>
      </c>
      <c r="L500" s="206" t="s">
        <v>505</v>
      </c>
      <c r="M500" s="206" t="s">
        <v>506</v>
      </c>
      <c r="N500" s="206" t="s">
        <v>507</v>
      </c>
      <c r="O500" s="206" t="s">
        <v>508</v>
      </c>
      <c r="P500" s="206" t="s">
        <v>509</v>
      </c>
      <c r="Q500" s="206" t="s">
        <v>510</v>
      </c>
      <c r="R500" s="206" t="s">
        <v>511</v>
      </c>
      <c r="S500" s="206" t="s">
        <v>512</v>
      </c>
      <c r="T500" s="206" t="s">
        <v>513</v>
      </c>
      <c r="U500" s="206" t="s">
        <v>514</v>
      </c>
      <c r="V500" s="206" t="s">
        <v>515</v>
      </c>
      <c r="W500" s="206" t="s">
        <v>516</v>
      </c>
      <c r="X500" s="206" t="s">
        <v>517</v>
      </c>
      <c r="Y500" s="206" t="s">
        <v>518</v>
      </c>
      <c r="Z500" s="206" t="s">
        <v>519</v>
      </c>
      <c r="AA500" s="206" t="s">
        <v>520</v>
      </c>
      <c r="AB500" s="206" t="s">
        <v>521</v>
      </c>
      <c r="AC500" s="206" t="s">
        <v>522</v>
      </c>
      <c r="AD500" s="206" t="s">
        <v>523</v>
      </c>
      <c r="AE500" s="206" t="s">
        <v>524</v>
      </c>
      <c r="AF500" s="206" t="s">
        <v>525</v>
      </c>
    </row>
    <row r="501" spans="1:32" s="365" customFormat="1" ht="12.75" x14ac:dyDescent="0.2">
      <c r="A501" s="348">
        <f>IF(ADSI!$G$12="",ADSI!$H$16,ADSI!$H$12)</f>
        <v>6</v>
      </c>
      <c r="B501" s="348" t="str">
        <f ca="1">IF(ADSI!$G$12="",ADSI!$H$16,ADSI!$H$14)</f>
        <v/>
      </c>
      <c r="C501" s="403">
        <f>A8</f>
        <v>1030</v>
      </c>
      <c r="D501" s="348">
        <f>ADSI!$K$12</f>
        <v>2021</v>
      </c>
      <c r="E501" s="367">
        <f>D8</f>
        <v>0</v>
      </c>
      <c r="F501" s="367">
        <f t="shared" ref="F501:AF501" si="42">E8</f>
        <v>0</v>
      </c>
      <c r="G501" s="367">
        <f t="shared" si="42"/>
        <v>0</v>
      </c>
      <c r="H501" s="367">
        <f t="shared" si="42"/>
        <v>0</v>
      </c>
      <c r="I501" s="367">
        <f t="shared" si="42"/>
        <v>0</v>
      </c>
      <c r="J501" s="367">
        <f t="shared" si="42"/>
        <v>0</v>
      </c>
      <c r="K501" s="367">
        <f t="shared" si="42"/>
        <v>0</v>
      </c>
      <c r="L501" s="367">
        <f t="shared" si="42"/>
        <v>0</v>
      </c>
      <c r="M501" s="367">
        <f t="shared" si="42"/>
        <v>0</v>
      </c>
      <c r="N501" s="367">
        <f t="shared" si="42"/>
        <v>0</v>
      </c>
      <c r="O501" s="367">
        <f t="shared" si="42"/>
        <v>0</v>
      </c>
      <c r="P501" s="367">
        <f t="shared" si="42"/>
        <v>0</v>
      </c>
      <c r="Q501" s="367">
        <f t="shared" si="42"/>
        <v>0</v>
      </c>
      <c r="R501" s="367">
        <f t="shared" si="42"/>
        <v>0</v>
      </c>
      <c r="S501" s="367">
        <f t="shared" si="42"/>
        <v>0</v>
      </c>
      <c r="T501" s="367">
        <f t="shared" si="42"/>
        <v>0</v>
      </c>
      <c r="U501" s="367">
        <f t="shared" si="42"/>
        <v>0</v>
      </c>
      <c r="V501" s="367">
        <f t="shared" si="42"/>
        <v>0</v>
      </c>
      <c r="W501" s="367">
        <f t="shared" si="42"/>
        <v>0</v>
      </c>
      <c r="X501" s="367">
        <f t="shared" si="42"/>
        <v>0</v>
      </c>
      <c r="Y501" s="367">
        <f t="shared" si="42"/>
        <v>0</v>
      </c>
      <c r="Z501" s="367">
        <f t="shared" si="42"/>
        <v>0</v>
      </c>
      <c r="AA501" s="367">
        <f t="shared" si="42"/>
        <v>0</v>
      </c>
      <c r="AB501" s="367">
        <f t="shared" si="42"/>
        <v>0</v>
      </c>
      <c r="AC501" s="367">
        <f t="shared" si="42"/>
        <v>0</v>
      </c>
      <c r="AD501" s="367">
        <f t="shared" si="42"/>
        <v>0</v>
      </c>
      <c r="AE501" s="367">
        <f t="shared" si="42"/>
        <v>0</v>
      </c>
      <c r="AF501" s="367">
        <f t="shared" si="42"/>
        <v>0</v>
      </c>
    </row>
    <row r="502" spans="1:32" s="365" customFormat="1" ht="12.75" x14ac:dyDescent="0.2">
      <c r="A502" s="348">
        <f>IF(ADSI!$G$12="",ADSI!$H$16,ADSI!$H$12)</f>
        <v>6</v>
      </c>
      <c r="B502" s="348" t="str">
        <f ca="1">IF(ADSI!$G$12="",ADSI!$H$16,ADSI!$H$14)</f>
        <v/>
      </c>
      <c r="C502" s="403">
        <f t="shared" ref="C502:C510" si="43">A9</f>
        <v>1031</v>
      </c>
      <c r="D502" s="348">
        <f>ADSI!$K$12</f>
        <v>2021</v>
      </c>
      <c r="E502" s="367">
        <f t="shared" ref="E502:AF502" si="44">D9</f>
        <v>0</v>
      </c>
      <c r="F502" s="367">
        <f t="shared" si="44"/>
        <v>0</v>
      </c>
      <c r="G502" s="367">
        <f t="shared" si="44"/>
        <v>0</v>
      </c>
      <c r="H502" s="367">
        <f t="shared" si="44"/>
        <v>0</v>
      </c>
      <c r="I502" s="367">
        <f t="shared" si="44"/>
        <v>0</v>
      </c>
      <c r="J502" s="367">
        <f t="shared" si="44"/>
        <v>0</v>
      </c>
      <c r="K502" s="367">
        <f t="shared" si="44"/>
        <v>0</v>
      </c>
      <c r="L502" s="367">
        <f t="shared" si="44"/>
        <v>0</v>
      </c>
      <c r="M502" s="367">
        <f t="shared" si="44"/>
        <v>0</v>
      </c>
      <c r="N502" s="367">
        <f t="shared" si="44"/>
        <v>0</v>
      </c>
      <c r="O502" s="367">
        <f t="shared" si="44"/>
        <v>0</v>
      </c>
      <c r="P502" s="367">
        <f t="shared" si="44"/>
        <v>0</v>
      </c>
      <c r="Q502" s="367">
        <f t="shared" si="44"/>
        <v>0</v>
      </c>
      <c r="R502" s="367">
        <f t="shared" si="44"/>
        <v>0</v>
      </c>
      <c r="S502" s="367">
        <f t="shared" si="44"/>
        <v>0</v>
      </c>
      <c r="T502" s="367">
        <f t="shared" si="44"/>
        <v>0</v>
      </c>
      <c r="U502" s="367">
        <f t="shared" si="44"/>
        <v>0</v>
      </c>
      <c r="V502" s="367">
        <f t="shared" si="44"/>
        <v>0</v>
      </c>
      <c r="W502" s="367">
        <f t="shared" si="44"/>
        <v>0</v>
      </c>
      <c r="X502" s="367">
        <f t="shared" si="44"/>
        <v>0</v>
      </c>
      <c r="Y502" s="367">
        <f t="shared" si="44"/>
        <v>0</v>
      </c>
      <c r="Z502" s="367">
        <f t="shared" si="44"/>
        <v>0</v>
      </c>
      <c r="AA502" s="367">
        <f t="shared" si="44"/>
        <v>0</v>
      </c>
      <c r="AB502" s="367">
        <f t="shared" si="44"/>
        <v>0</v>
      </c>
      <c r="AC502" s="367">
        <f t="shared" si="44"/>
        <v>0</v>
      </c>
      <c r="AD502" s="367">
        <f t="shared" si="44"/>
        <v>0</v>
      </c>
      <c r="AE502" s="367">
        <f t="shared" si="44"/>
        <v>0</v>
      </c>
      <c r="AF502" s="367">
        <f t="shared" si="44"/>
        <v>0</v>
      </c>
    </row>
    <row r="503" spans="1:32" s="365" customFormat="1" ht="12.75" x14ac:dyDescent="0.2">
      <c r="A503" s="348">
        <f>IF(ADSI!$G$12="",ADSI!$H$16,ADSI!$H$12)</f>
        <v>6</v>
      </c>
      <c r="B503" s="348" t="str">
        <f ca="1">IF(ADSI!$G$12="",ADSI!$H$16,ADSI!$H$14)</f>
        <v/>
      </c>
      <c r="C503" s="403">
        <f t="shared" si="43"/>
        <v>1032</v>
      </c>
      <c r="D503" s="348">
        <f>ADSI!$K$12</f>
        <v>2021</v>
      </c>
      <c r="E503" s="367">
        <f t="shared" ref="E503:AF503" si="45">D10</f>
        <v>0</v>
      </c>
      <c r="F503" s="367">
        <f t="shared" si="45"/>
        <v>0</v>
      </c>
      <c r="G503" s="367">
        <f t="shared" si="45"/>
        <v>0</v>
      </c>
      <c r="H503" s="367">
        <f t="shared" si="45"/>
        <v>0</v>
      </c>
      <c r="I503" s="367">
        <f t="shared" si="45"/>
        <v>0</v>
      </c>
      <c r="J503" s="367">
        <f t="shared" si="45"/>
        <v>0</v>
      </c>
      <c r="K503" s="367">
        <f t="shared" si="45"/>
        <v>0</v>
      </c>
      <c r="L503" s="367">
        <f t="shared" si="45"/>
        <v>0</v>
      </c>
      <c r="M503" s="367">
        <f t="shared" si="45"/>
        <v>0</v>
      </c>
      <c r="N503" s="367">
        <f t="shared" si="45"/>
        <v>0</v>
      </c>
      <c r="O503" s="367">
        <f t="shared" si="45"/>
        <v>0</v>
      </c>
      <c r="P503" s="367">
        <f t="shared" si="45"/>
        <v>0</v>
      </c>
      <c r="Q503" s="367">
        <f t="shared" si="45"/>
        <v>0</v>
      </c>
      <c r="R503" s="367">
        <f t="shared" si="45"/>
        <v>0</v>
      </c>
      <c r="S503" s="367">
        <f t="shared" si="45"/>
        <v>0</v>
      </c>
      <c r="T503" s="367">
        <f t="shared" si="45"/>
        <v>0</v>
      </c>
      <c r="U503" s="367">
        <f t="shared" si="45"/>
        <v>0</v>
      </c>
      <c r="V503" s="367">
        <f t="shared" si="45"/>
        <v>0</v>
      </c>
      <c r="W503" s="367">
        <f t="shared" si="45"/>
        <v>0</v>
      </c>
      <c r="X503" s="367">
        <f t="shared" si="45"/>
        <v>0</v>
      </c>
      <c r="Y503" s="367">
        <f t="shared" si="45"/>
        <v>0</v>
      </c>
      <c r="Z503" s="367">
        <f t="shared" si="45"/>
        <v>0</v>
      </c>
      <c r="AA503" s="367">
        <f t="shared" si="45"/>
        <v>0</v>
      </c>
      <c r="AB503" s="367">
        <f t="shared" si="45"/>
        <v>0</v>
      </c>
      <c r="AC503" s="367">
        <f t="shared" si="45"/>
        <v>0</v>
      </c>
      <c r="AD503" s="367">
        <f t="shared" si="45"/>
        <v>0</v>
      </c>
      <c r="AE503" s="367">
        <f t="shared" si="45"/>
        <v>0</v>
      </c>
      <c r="AF503" s="367">
        <f t="shared" si="45"/>
        <v>0</v>
      </c>
    </row>
    <row r="504" spans="1:32" s="365" customFormat="1" ht="12.75" x14ac:dyDescent="0.2">
      <c r="A504" s="348">
        <f>IF(ADSI!$G$12="",ADSI!$H$16,ADSI!$H$12)</f>
        <v>6</v>
      </c>
      <c r="B504" s="348" t="str">
        <f ca="1">IF(ADSI!$G$12="",ADSI!$H$16,ADSI!$H$14)</f>
        <v/>
      </c>
      <c r="C504" s="403">
        <f t="shared" si="43"/>
        <v>1033</v>
      </c>
      <c r="D504" s="348">
        <f>ADSI!$K$12</f>
        <v>2021</v>
      </c>
      <c r="E504" s="367">
        <f t="shared" ref="E504:AF504" si="46">D11</f>
        <v>0</v>
      </c>
      <c r="F504" s="367">
        <f t="shared" si="46"/>
        <v>0</v>
      </c>
      <c r="G504" s="367">
        <f t="shared" si="46"/>
        <v>0</v>
      </c>
      <c r="H504" s="367">
        <f t="shared" si="46"/>
        <v>0</v>
      </c>
      <c r="I504" s="367">
        <f t="shared" si="46"/>
        <v>0</v>
      </c>
      <c r="J504" s="367">
        <f t="shared" si="46"/>
        <v>0</v>
      </c>
      <c r="K504" s="367">
        <f t="shared" si="46"/>
        <v>0</v>
      </c>
      <c r="L504" s="367">
        <f t="shared" si="46"/>
        <v>0</v>
      </c>
      <c r="M504" s="367">
        <f t="shared" si="46"/>
        <v>0</v>
      </c>
      <c r="N504" s="367">
        <f t="shared" si="46"/>
        <v>0</v>
      </c>
      <c r="O504" s="367">
        <f t="shared" si="46"/>
        <v>0</v>
      </c>
      <c r="P504" s="367">
        <f t="shared" si="46"/>
        <v>0</v>
      </c>
      <c r="Q504" s="367">
        <f t="shared" si="46"/>
        <v>0</v>
      </c>
      <c r="R504" s="367">
        <f t="shared" si="46"/>
        <v>0</v>
      </c>
      <c r="S504" s="367">
        <f t="shared" si="46"/>
        <v>0</v>
      </c>
      <c r="T504" s="367">
        <f t="shared" si="46"/>
        <v>0</v>
      </c>
      <c r="U504" s="367">
        <f t="shared" si="46"/>
        <v>0</v>
      </c>
      <c r="V504" s="367">
        <f t="shared" si="46"/>
        <v>0</v>
      </c>
      <c r="W504" s="367">
        <f t="shared" si="46"/>
        <v>0</v>
      </c>
      <c r="X504" s="367">
        <f t="shared" si="46"/>
        <v>0</v>
      </c>
      <c r="Y504" s="367">
        <f t="shared" si="46"/>
        <v>0</v>
      </c>
      <c r="Z504" s="367">
        <f t="shared" si="46"/>
        <v>0</v>
      </c>
      <c r="AA504" s="367">
        <f t="shared" si="46"/>
        <v>0</v>
      </c>
      <c r="AB504" s="367">
        <f t="shared" si="46"/>
        <v>0</v>
      </c>
      <c r="AC504" s="367">
        <f t="shared" si="46"/>
        <v>0</v>
      </c>
      <c r="AD504" s="367">
        <f t="shared" si="46"/>
        <v>0</v>
      </c>
      <c r="AE504" s="367">
        <f t="shared" si="46"/>
        <v>0</v>
      </c>
      <c r="AF504" s="367">
        <f t="shared" si="46"/>
        <v>0</v>
      </c>
    </row>
    <row r="505" spans="1:32" s="365" customFormat="1" ht="12.75" x14ac:dyDescent="0.2">
      <c r="A505" s="348">
        <f>IF(ADSI!$G$12="",ADSI!$H$16,ADSI!$H$12)</f>
        <v>6</v>
      </c>
      <c r="B505" s="348" t="str">
        <f ca="1">IF(ADSI!$G$12="",ADSI!$H$16,ADSI!$H$14)</f>
        <v/>
      </c>
      <c r="C505" s="403">
        <f t="shared" si="43"/>
        <v>1034</v>
      </c>
      <c r="D505" s="348">
        <f>ADSI!$K$12</f>
        <v>2021</v>
      </c>
      <c r="E505" s="367">
        <f t="shared" ref="E505:AF505" si="47">D12</f>
        <v>0</v>
      </c>
      <c r="F505" s="367">
        <f t="shared" si="47"/>
        <v>0</v>
      </c>
      <c r="G505" s="367">
        <f t="shared" si="47"/>
        <v>0</v>
      </c>
      <c r="H505" s="367">
        <f t="shared" si="47"/>
        <v>0</v>
      </c>
      <c r="I505" s="367">
        <f t="shared" si="47"/>
        <v>0</v>
      </c>
      <c r="J505" s="367">
        <f t="shared" si="47"/>
        <v>0</v>
      </c>
      <c r="K505" s="367">
        <f t="shared" si="47"/>
        <v>0</v>
      </c>
      <c r="L505" s="367">
        <f t="shared" si="47"/>
        <v>0</v>
      </c>
      <c r="M505" s="367">
        <f t="shared" si="47"/>
        <v>0</v>
      </c>
      <c r="N505" s="367">
        <f t="shared" si="47"/>
        <v>0</v>
      </c>
      <c r="O505" s="367">
        <f t="shared" si="47"/>
        <v>0</v>
      </c>
      <c r="P505" s="367">
        <f t="shared" si="47"/>
        <v>0</v>
      </c>
      <c r="Q505" s="367">
        <f t="shared" si="47"/>
        <v>0</v>
      </c>
      <c r="R505" s="367">
        <f t="shared" si="47"/>
        <v>0</v>
      </c>
      <c r="S505" s="367">
        <f t="shared" si="47"/>
        <v>0</v>
      </c>
      <c r="T505" s="367">
        <f t="shared" si="47"/>
        <v>0</v>
      </c>
      <c r="U505" s="367">
        <f t="shared" si="47"/>
        <v>0</v>
      </c>
      <c r="V505" s="367">
        <f t="shared" si="47"/>
        <v>0</v>
      </c>
      <c r="W505" s="367">
        <f t="shared" si="47"/>
        <v>0</v>
      </c>
      <c r="X505" s="367">
        <f t="shared" si="47"/>
        <v>0</v>
      </c>
      <c r="Y505" s="367">
        <f t="shared" si="47"/>
        <v>0</v>
      </c>
      <c r="Z505" s="367">
        <f t="shared" si="47"/>
        <v>0</v>
      </c>
      <c r="AA505" s="367">
        <f t="shared" si="47"/>
        <v>0</v>
      </c>
      <c r="AB505" s="367">
        <f t="shared" si="47"/>
        <v>0</v>
      </c>
      <c r="AC505" s="367">
        <f t="shared" si="47"/>
        <v>0</v>
      </c>
      <c r="AD505" s="367">
        <f t="shared" si="47"/>
        <v>0</v>
      </c>
      <c r="AE505" s="367">
        <f t="shared" si="47"/>
        <v>0</v>
      </c>
      <c r="AF505" s="367">
        <f t="shared" si="47"/>
        <v>0</v>
      </c>
    </row>
    <row r="506" spans="1:32" s="365" customFormat="1" ht="12.75" x14ac:dyDescent="0.2">
      <c r="A506" s="348">
        <f>IF(ADSI!$G$12="",ADSI!$H$16,ADSI!$H$12)</f>
        <v>6</v>
      </c>
      <c r="B506" s="348" t="str">
        <f ca="1">IF(ADSI!$G$12="",ADSI!$H$16,ADSI!$H$14)</f>
        <v/>
      </c>
      <c r="C506" s="403">
        <f t="shared" si="43"/>
        <v>1035</v>
      </c>
      <c r="D506" s="348">
        <f>ADSI!$K$12</f>
        <v>2021</v>
      </c>
      <c r="E506" s="367">
        <f t="shared" ref="E506:AF506" si="48">D13</f>
        <v>0</v>
      </c>
      <c r="F506" s="367">
        <f t="shared" si="48"/>
        <v>0</v>
      </c>
      <c r="G506" s="367">
        <f t="shared" si="48"/>
        <v>0</v>
      </c>
      <c r="H506" s="367">
        <f t="shared" si="48"/>
        <v>0</v>
      </c>
      <c r="I506" s="367">
        <f t="shared" si="48"/>
        <v>0</v>
      </c>
      <c r="J506" s="367">
        <f t="shared" si="48"/>
        <v>0</v>
      </c>
      <c r="K506" s="367">
        <f t="shared" si="48"/>
        <v>0</v>
      </c>
      <c r="L506" s="367">
        <f t="shared" si="48"/>
        <v>0</v>
      </c>
      <c r="M506" s="367">
        <f t="shared" si="48"/>
        <v>0</v>
      </c>
      <c r="N506" s="367">
        <f t="shared" si="48"/>
        <v>0</v>
      </c>
      <c r="O506" s="367">
        <f t="shared" si="48"/>
        <v>0</v>
      </c>
      <c r="P506" s="367">
        <f t="shared" si="48"/>
        <v>0</v>
      </c>
      <c r="Q506" s="367">
        <f t="shared" si="48"/>
        <v>0</v>
      </c>
      <c r="R506" s="367">
        <f t="shared" si="48"/>
        <v>0</v>
      </c>
      <c r="S506" s="367">
        <f t="shared" si="48"/>
        <v>0</v>
      </c>
      <c r="T506" s="367">
        <f t="shared" si="48"/>
        <v>0</v>
      </c>
      <c r="U506" s="367">
        <f t="shared" si="48"/>
        <v>0</v>
      </c>
      <c r="V506" s="367">
        <f t="shared" si="48"/>
        <v>0</v>
      </c>
      <c r="W506" s="367">
        <f t="shared" si="48"/>
        <v>0</v>
      </c>
      <c r="X506" s="367">
        <f t="shared" si="48"/>
        <v>0</v>
      </c>
      <c r="Y506" s="367">
        <f t="shared" si="48"/>
        <v>0</v>
      </c>
      <c r="Z506" s="367">
        <f t="shared" si="48"/>
        <v>0</v>
      </c>
      <c r="AA506" s="367">
        <f t="shared" si="48"/>
        <v>0</v>
      </c>
      <c r="AB506" s="367">
        <f t="shared" si="48"/>
        <v>0</v>
      </c>
      <c r="AC506" s="367">
        <f t="shared" si="48"/>
        <v>0</v>
      </c>
      <c r="AD506" s="367">
        <f t="shared" si="48"/>
        <v>0</v>
      </c>
      <c r="AE506" s="367">
        <f t="shared" si="48"/>
        <v>0</v>
      </c>
      <c r="AF506" s="367">
        <f t="shared" si="48"/>
        <v>0</v>
      </c>
    </row>
    <row r="507" spans="1:32" s="365" customFormat="1" ht="12.75" x14ac:dyDescent="0.2">
      <c r="A507" s="348">
        <f>IF(ADSI!$G$12="",ADSI!$H$16,ADSI!$H$12)</f>
        <v>6</v>
      </c>
      <c r="B507" s="348" t="str">
        <f ca="1">IF(ADSI!$G$12="",ADSI!$H$16,ADSI!$H$14)</f>
        <v/>
      </c>
      <c r="C507" s="403">
        <f t="shared" si="43"/>
        <v>1036</v>
      </c>
      <c r="D507" s="348">
        <f>ADSI!$K$12</f>
        <v>2021</v>
      </c>
      <c r="E507" s="367">
        <f t="shared" ref="E507:AF507" si="49">D14</f>
        <v>0</v>
      </c>
      <c r="F507" s="367">
        <f t="shared" si="49"/>
        <v>0</v>
      </c>
      <c r="G507" s="367">
        <f t="shared" si="49"/>
        <v>0</v>
      </c>
      <c r="H507" s="367">
        <f t="shared" si="49"/>
        <v>0</v>
      </c>
      <c r="I507" s="367">
        <f t="shared" si="49"/>
        <v>0</v>
      </c>
      <c r="J507" s="367">
        <f t="shared" si="49"/>
        <v>0</v>
      </c>
      <c r="K507" s="367">
        <f t="shared" si="49"/>
        <v>0</v>
      </c>
      <c r="L507" s="367">
        <f t="shared" si="49"/>
        <v>0</v>
      </c>
      <c r="M507" s="367">
        <f t="shared" si="49"/>
        <v>0</v>
      </c>
      <c r="N507" s="367">
        <f t="shared" si="49"/>
        <v>0</v>
      </c>
      <c r="O507" s="367">
        <f t="shared" si="49"/>
        <v>0</v>
      </c>
      <c r="P507" s="367">
        <f t="shared" si="49"/>
        <v>0</v>
      </c>
      <c r="Q507" s="367">
        <f t="shared" si="49"/>
        <v>0</v>
      </c>
      <c r="R507" s="367">
        <f t="shared" si="49"/>
        <v>0</v>
      </c>
      <c r="S507" s="367">
        <f t="shared" si="49"/>
        <v>0</v>
      </c>
      <c r="T507" s="367">
        <f t="shared" si="49"/>
        <v>0</v>
      </c>
      <c r="U507" s="367">
        <f t="shared" si="49"/>
        <v>0</v>
      </c>
      <c r="V507" s="367">
        <f t="shared" si="49"/>
        <v>0</v>
      </c>
      <c r="W507" s="367">
        <f t="shared" si="49"/>
        <v>0</v>
      </c>
      <c r="X507" s="367">
        <f t="shared" si="49"/>
        <v>0</v>
      </c>
      <c r="Y507" s="367">
        <f t="shared" si="49"/>
        <v>0</v>
      </c>
      <c r="Z507" s="367">
        <f t="shared" si="49"/>
        <v>0</v>
      </c>
      <c r="AA507" s="367">
        <f t="shared" si="49"/>
        <v>0</v>
      </c>
      <c r="AB507" s="367">
        <f t="shared" si="49"/>
        <v>0</v>
      </c>
      <c r="AC507" s="367">
        <f t="shared" si="49"/>
        <v>0</v>
      </c>
      <c r="AD507" s="367">
        <f t="shared" si="49"/>
        <v>0</v>
      </c>
      <c r="AE507" s="367">
        <f t="shared" si="49"/>
        <v>0</v>
      </c>
      <c r="AF507" s="367">
        <f t="shared" si="49"/>
        <v>0</v>
      </c>
    </row>
    <row r="508" spans="1:32" s="365" customFormat="1" ht="12.75" x14ac:dyDescent="0.2">
      <c r="A508" s="348">
        <f>IF(ADSI!$G$12="",ADSI!$H$16,ADSI!$H$12)</f>
        <v>6</v>
      </c>
      <c r="B508" s="348" t="str">
        <f ca="1">IF(ADSI!$G$12="",ADSI!$H$16,ADSI!$H$14)</f>
        <v/>
      </c>
      <c r="C508" s="403">
        <f t="shared" si="43"/>
        <v>1037</v>
      </c>
      <c r="D508" s="348">
        <f>ADSI!$K$12</f>
        <v>2021</v>
      </c>
      <c r="E508" s="367">
        <f t="shared" ref="E508:AF508" si="50">D15</f>
        <v>0</v>
      </c>
      <c r="F508" s="367">
        <f t="shared" si="50"/>
        <v>0</v>
      </c>
      <c r="G508" s="367">
        <f t="shared" si="50"/>
        <v>0</v>
      </c>
      <c r="H508" s="367">
        <f t="shared" si="50"/>
        <v>0</v>
      </c>
      <c r="I508" s="367">
        <f t="shared" si="50"/>
        <v>0</v>
      </c>
      <c r="J508" s="367">
        <f t="shared" si="50"/>
        <v>0</v>
      </c>
      <c r="K508" s="367">
        <f t="shared" si="50"/>
        <v>0</v>
      </c>
      <c r="L508" s="367">
        <f t="shared" si="50"/>
        <v>0</v>
      </c>
      <c r="M508" s="367">
        <f t="shared" si="50"/>
        <v>0</v>
      </c>
      <c r="N508" s="367">
        <f t="shared" si="50"/>
        <v>0</v>
      </c>
      <c r="O508" s="367">
        <f t="shared" si="50"/>
        <v>0</v>
      </c>
      <c r="P508" s="367">
        <f t="shared" si="50"/>
        <v>0</v>
      </c>
      <c r="Q508" s="367">
        <f t="shared" si="50"/>
        <v>0</v>
      </c>
      <c r="R508" s="367">
        <f t="shared" si="50"/>
        <v>0</v>
      </c>
      <c r="S508" s="367">
        <f t="shared" si="50"/>
        <v>0</v>
      </c>
      <c r="T508" s="367">
        <f t="shared" si="50"/>
        <v>0</v>
      </c>
      <c r="U508" s="367">
        <f t="shared" si="50"/>
        <v>0</v>
      </c>
      <c r="V508" s="367">
        <f t="shared" si="50"/>
        <v>0</v>
      </c>
      <c r="W508" s="367">
        <f t="shared" si="50"/>
        <v>0</v>
      </c>
      <c r="X508" s="367">
        <f t="shared" si="50"/>
        <v>0</v>
      </c>
      <c r="Y508" s="367">
        <f t="shared" si="50"/>
        <v>0</v>
      </c>
      <c r="Z508" s="367">
        <f t="shared" si="50"/>
        <v>0</v>
      </c>
      <c r="AA508" s="367">
        <f t="shared" si="50"/>
        <v>0</v>
      </c>
      <c r="AB508" s="367">
        <f t="shared" si="50"/>
        <v>0</v>
      </c>
      <c r="AC508" s="367">
        <f t="shared" si="50"/>
        <v>0</v>
      </c>
      <c r="AD508" s="367">
        <f t="shared" si="50"/>
        <v>0</v>
      </c>
      <c r="AE508" s="367">
        <f t="shared" si="50"/>
        <v>0</v>
      </c>
      <c r="AF508" s="367">
        <f t="shared" si="50"/>
        <v>0</v>
      </c>
    </row>
    <row r="509" spans="1:32" s="365" customFormat="1" ht="12.75" x14ac:dyDescent="0.2">
      <c r="A509" s="348">
        <f>IF(ADSI!$G$12="",ADSI!$H$16,ADSI!$H$12)</f>
        <v>6</v>
      </c>
      <c r="B509" s="348" t="str">
        <f ca="1">IF(ADSI!$G$12="",ADSI!$H$16,ADSI!$H$14)</f>
        <v/>
      </c>
      <c r="C509" s="403">
        <f t="shared" si="43"/>
        <v>1038</v>
      </c>
      <c r="D509" s="348">
        <f>ADSI!$K$12</f>
        <v>2021</v>
      </c>
      <c r="E509" s="367">
        <f t="shared" ref="E509:AF509" si="51">D16</f>
        <v>0</v>
      </c>
      <c r="F509" s="367">
        <f t="shared" si="51"/>
        <v>0</v>
      </c>
      <c r="G509" s="367">
        <f t="shared" si="51"/>
        <v>0</v>
      </c>
      <c r="H509" s="367">
        <f t="shared" si="51"/>
        <v>0</v>
      </c>
      <c r="I509" s="367">
        <f t="shared" si="51"/>
        <v>0</v>
      </c>
      <c r="J509" s="367">
        <f t="shared" si="51"/>
        <v>0</v>
      </c>
      <c r="K509" s="367">
        <f t="shared" si="51"/>
        <v>0</v>
      </c>
      <c r="L509" s="367">
        <f t="shared" si="51"/>
        <v>0</v>
      </c>
      <c r="M509" s="367">
        <f t="shared" si="51"/>
        <v>0</v>
      </c>
      <c r="N509" s="367">
        <f t="shared" si="51"/>
        <v>0</v>
      </c>
      <c r="O509" s="367">
        <f t="shared" si="51"/>
        <v>0</v>
      </c>
      <c r="P509" s="367">
        <f t="shared" si="51"/>
        <v>0</v>
      </c>
      <c r="Q509" s="367">
        <f t="shared" si="51"/>
        <v>0</v>
      </c>
      <c r="R509" s="367">
        <f t="shared" si="51"/>
        <v>0</v>
      </c>
      <c r="S509" s="367">
        <f t="shared" si="51"/>
        <v>0</v>
      </c>
      <c r="T509" s="367">
        <f t="shared" si="51"/>
        <v>0</v>
      </c>
      <c r="U509" s="367">
        <f t="shared" si="51"/>
        <v>0</v>
      </c>
      <c r="V509" s="367">
        <f t="shared" si="51"/>
        <v>0</v>
      </c>
      <c r="W509" s="367">
        <f t="shared" si="51"/>
        <v>0</v>
      </c>
      <c r="X509" s="367">
        <f t="shared" si="51"/>
        <v>0</v>
      </c>
      <c r="Y509" s="367">
        <f t="shared" si="51"/>
        <v>0</v>
      </c>
      <c r="Z509" s="367">
        <f t="shared" si="51"/>
        <v>0</v>
      </c>
      <c r="AA509" s="367">
        <f t="shared" si="51"/>
        <v>0</v>
      </c>
      <c r="AB509" s="367">
        <f t="shared" si="51"/>
        <v>0</v>
      </c>
      <c r="AC509" s="367">
        <f t="shared" si="51"/>
        <v>0</v>
      </c>
      <c r="AD509" s="367">
        <f t="shared" si="51"/>
        <v>0</v>
      </c>
      <c r="AE509" s="367">
        <f t="shared" si="51"/>
        <v>0</v>
      </c>
      <c r="AF509" s="367">
        <f t="shared" si="51"/>
        <v>0</v>
      </c>
    </row>
    <row r="510" spans="1:32" s="365" customFormat="1" ht="12.75" x14ac:dyDescent="0.2">
      <c r="A510" s="348">
        <f>IF(ADSI!$G$12="",ADSI!$H$16,ADSI!$H$12)</f>
        <v>6</v>
      </c>
      <c r="B510" s="348" t="str">
        <f ca="1">IF(ADSI!$G$12="",ADSI!$H$16,ADSI!$H$14)</f>
        <v/>
      </c>
      <c r="C510" s="403">
        <f t="shared" si="43"/>
        <v>1045</v>
      </c>
      <c r="D510" s="348">
        <f>ADSI!$K$12</f>
        <v>2021</v>
      </c>
      <c r="E510" s="367">
        <f t="shared" ref="E510:AF510" si="52">D17</f>
        <v>0</v>
      </c>
      <c r="F510" s="367">
        <f t="shared" si="52"/>
        <v>0</v>
      </c>
      <c r="G510" s="367">
        <f t="shared" si="52"/>
        <v>0</v>
      </c>
      <c r="H510" s="367">
        <f t="shared" si="52"/>
        <v>0</v>
      </c>
      <c r="I510" s="367">
        <f t="shared" si="52"/>
        <v>0</v>
      </c>
      <c r="J510" s="367">
        <f t="shared" si="52"/>
        <v>0</v>
      </c>
      <c r="K510" s="367">
        <f t="shared" si="52"/>
        <v>0</v>
      </c>
      <c r="L510" s="367">
        <f t="shared" si="52"/>
        <v>0</v>
      </c>
      <c r="M510" s="367">
        <f t="shared" si="52"/>
        <v>0</v>
      </c>
      <c r="N510" s="367">
        <f t="shared" si="52"/>
        <v>0</v>
      </c>
      <c r="O510" s="367">
        <f t="shared" si="52"/>
        <v>0</v>
      </c>
      <c r="P510" s="367">
        <f t="shared" si="52"/>
        <v>0</v>
      </c>
      <c r="Q510" s="367">
        <f t="shared" si="52"/>
        <v>0</v>
      </c>
      <c r="R510" s="367">
        <f t="shared" si="52"/>
        <v>0</v>
      </c>
      <c r="S510" s="367">
        <f t="shared" si="52"/>
        <v>0</v>
      </c>
      <c r="T510" s="367">
        <f t="shared" si="52"/>
        <v>0</v>
      </c>
      <c r="U510" s="367">
        <f t="shared" si="52"/>
        <v>0</v>
      </c>
      <c r="V510" s="367">
        <f t="shared" si="52"/>
        <v>0</v>
      </c>
      <c r="W510" s="367">
        <f t="shared" si="52"/>
        <v>0</v>
      </c>
      <c r="X510" s="367">
        <f t="shared" si="52"/>
        <v>0</v>
      </c>
      <c r="Y510" s="367">
        <f t="shared" si="52"/>
        <v>0</v>
      </c>
      <c r="Z510" s="367">
        <f t="shared" si="52"/>
        <v>0</v>
      </c>
      <c r="AA510" s="367">
        <f t="shared" si="52"/>
        <v>0</v>
      </c>
      <c r="AB510" s="367">
        <f t="shared" si="52"/>
        <v>0</v>
      </c>
      <c r="AC510" s="367">
        <f t="shared" si="52"/>
        <v>0</v>
      </c>
      <c r="AD510" s="367">
        <f t="shared" si="52"/>
        <v>0</v>
      </c>
      <c r="AE510" s="367">
        <f t="shared" si="52"/>
        <v>0</v>
      </c>
      <c r="AF510" s="367">
        <f t="shared" si="52"/>
        <v>0</v>
      </c>
    </row>
    <row r="511" spans="1:32" s="365" customFormat="1" ht="12.75" x14ac:dyDescent="0.2">
      <c r="C511" s="366"/>
    </row>
    <row r="512" spans="1:32" s="365" customFormat="1" ht="12.75" x14ac:dyDescent="0.2"/>
    <row r="513" s="365" customFormat="1" ht="12.75" x14ac:dyDescent="0.2"/>
    <row r="514" s="365" customFormat="1" ht="12.75" x14ac:dyDescent="0.2"/>
    <row r="515" s="365" customFormat="1" ht="12.75" x14ac:dyDescent="0.2"/>
    <row r="516" s="365" customFormat="1" ht="12.75" x14ac:dyDescent="0.2"/>
    <row r="517" s="365" customFormat="1" ht="12.75" x14ac:dyDescent="0.2"/>
    <row r="518" s="365" customFormat="1" ht="12.75" x14ac:dyDescent="0.2"/>
    <row r="519" s="365" customFormat="1" ht="12.75" x14ac:dyDescent="0.2"/>
  </sheetData>
  <sheetProtection password="C614" sheet="1" objects="1" scenarios="1" selectLockedCells="1"/>
  <mergeCells count="37">
    <mergeCell ref="CA204:CD204"/>
    <mergeCell ref="BK204:BN204"/>
    <mergeCell ref="BO204:BR204"/>
    <mergeCell ref="BS204:BV204"/>
    <mergeCell ref="D19:AA19"/>
    <mergeCell ref="D20:AA20"/>
    <mergeCell ref="D22:AA22"/>
    <mergeCell ref="BA204:BA205"/>
    <mergeCell ref="BB204:BB205"/>
    <mergeCell ref="BC204:BF204"/>
    <mergeCell ref="BG204:BJ204"/>
    <mergeCell ref="BW204:BZ204"/>
    <mergeCell ref="A5:A7"/>
    <mergeCell ref="A21:C21"/>
    <mergeCell ref="D21:AA21"/>
    <mergeCell ref="AB5:AE5"/>
    <mergeCell ref="X5:AA5"/>
    <mergeCell ref="B5:B6"/>
    <mergeCell ref="C5:C6"/>
    <mergeCell ref="D5:G5"/>
    <mergeCell ref="H5:K5"/>
    <mergeCell ref="L5:O5"/>
    <mergeCell ref="P5:S5"/>
    <mergeCell ref="T5:W5"/>
    <mergeCell ref="A20:C20"/>
    <mergeCell ref="A19:C19"/>
    <mergeCell ref="A18:C18"/>
    <mergeCell ref="A22:C22"/>
    <mergeCell ref="BA219:BB219"/>
    <mergeCell ref="BA220:BB220"/>
    <mergeCell ref="BA221:BB221"/>
    <mergeCell ref="BC218:BZ218"/>
    <mergeCell ref="BC219:BZ219"/>
    <mergeCell ref="BC220:BZ220"/>
    <mergeCell ref="BC221:BZ221"/>
    <mergeCell ref="BA218:BB218"/>
    <mergeCell ref="BA217:BB217"/>
  </mergeCells>
  <conditionalFormatting sqref="AB20:AE20 AB22:AE22">
    <cfRule type="cellIs" dxfId="12" priority="3" operator="equal">
      <formula>FALSE</formula>
    </cfRule>
  </conditionalFormatting>
  <conditionalFormatting sqref="D18:AE18">
    <cfRule type="cellIs" dxfId="11" priority="1" operator="equal">
      <formula>"ABVAR"</formula>
    </cfRule>
    <cfRule type="cellIs" dxfId="10" priority="2" operator="equal">
      <formula>FALSE</formula>
    </cfRule>
  </conditionalFormatting>
  <dataValidations count="1">
    <dataValidation type="whole" allowBlank="1" showInputMessage="1" showErrorMessage="1" sqref="D8:F16 H8:J16 L8:N16 P8:R16 T8:V16 X8:Z16">
      <formula1>0</formula1>
      <formula2>999999999</formula2>
    </dataValidation>
  </dataValidations>
  <pageMargins left="0.39370078740157483" right="0" top="0.74803149606299213" bottom="0.74803149606299213" header="0.31496062992125984" footer="0.19685039370078741"/>
  <pageSetup paperSize="5" orientation="landscape" r:id="rId1"/>
  <headerFooter>
    <oddFooter>&amp;L&amp;9ADSI - &amp;A&amp;C&amp;9&amp;D &amp;T&amp;R&amp;9Page &amp;P of &amp;N</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BG515"/>
  <sheetViews>
    <sheetView showGridLines="0" workbookViewId="0">
      <pane xSplit="3" ySplit="7" topLeftCell="D8" activePane="bottomRight" state="frozen"/>
      <selection activeCell="D9" sqref="D9"/>
      <selection pane="topRight" activeCell="D9" sqref="D9"/>
      <selection pane="bottomLeft" activeCell="D9" sqref="D9"/>
      <selection pane="bottomRight" activeCell="D8" sqref="D8"/>
    </sheetView>
  </sheetViews>
  <sheetFormatPr defaultRowHeight="15" x14ac:dyDescent="0.25"/>
  <cols>
    <col min="1" max="2" width="6.7109375" style="2" customWidth="1"/>
    <col min="3" max="3" width="38.7109375" style="2" bestFit="1" customWidth="1"/>
    <col min="4" max="7" width="15.7109375" style="2" customWidth="1"/>
    <col min="8" max="8" width="8.7109375" style="2" customWidth="1"/>
    <col min="9" max="52" width="9.140625" style="2"/>
    <col min="53" max="53" width="5" style="2" customWidth="1"/>
    <col min="54" max="54" width="42.28515625" style="2" customWidth="1"/>
    <col min="55" max="16384" width="9.140625" style="2"/>
  </cols>
  <sheetData>
    <row r="1" spans="1:19" ht="15.75" x14ac:dyDescent="0.25">
      <c r="A1" s="285" t="str">
        <f>ADSI!$B$1</f>
        <v>Goa, , ADSI-2021</v>
      </c>
    </row>
    <row r="2" spans="1:19" ht="15.75" x14ac:dyDescent="0.25">
      <c r="A2" s="286" t="s">
        <v>657</v>
      </c>
      <c r="C2" s="291">
        <f>COUNTIF(D21:G21,FALSE)+COUNTIF(D23:G23,FALSE)</f>
        <v>0</v>
      </c>
    </row>
    <row r="3" spans="1:19" ht="15.75" x14ac:dyDescent="0.25">
      <c r="A3" s="296" t="s">
        <v>165</v>
      </c>
      <c r="C3" s="60"/>
      <c r="D3" s="60"/>
      <c r="E3" s="60"/>
      <c r="F3" s="35"/>
      <c r="H3" s="60"/>
      <c r="I3" s="60"/>
      <c r="J3" s="60"/>
      <c r="K3" s="3"/>
      <c r="L3" s="3"/>
      <c r="M3" s="3"/>
      <c r="N3" s="3"/>
      <c r="O3" s="3"/>
      <c r="P3" s="3"/>
      <c r="Q3" s="3"/>
      <c r="R3" s="3"/>
      <c r="S3" s="3"/>
    </row>
    <row r="4" spans="1:19" ht="15.75" x14ac:dyDescent="0.25">
      <c r="A4" s="296" t="s">
        <v>1666</v>
      </c>
      <c r="C4" s="60"/>
      <c r="D4" s="60"/>
      <c r="E4" s="60"/>
      <c r="H4" s="60"/>
      <c r="I4" s="60"/>
      <c r="J4" s="60"/>
      <c r="K4" s="3"/>
      <c r="L4" s="3"/>
      <c r="M4" s="3"/>
      <c r="N4" s="3"/>
      <c r="O4" s="3"/>
      <c r="P4" s="3"/>
      <c r="Q4" s="3"/>
      <c r="R4" s="3"/>
      <c r="S4" s="3"/>
    </row>
    <row r="5" spans="1:19" ht="20.100000000000001" customHeight="1" x14ac:dyDescent="0.25">
      <c r="A5" s="636" t="s">
        <v>249</v>
      </c>
      <c r="B5" s="21" t="s">
        <v>0</v>
      </c>
      <c r="C5" s="225" t="s">
        <v>133</v>
      </c>
      <c r="D5" s="17" t="s">
        <v>38</v>
      </c>
      <c r="E5" s="225" t="s">
        <v>39</v>
      </c>
      <c r="F5" s="24" t="s">
        <v>240</v>
      </c>
      <c r="G5" s="225" t="s">
        <v>17</v>
      </c>
      <c r="H5" s="87"/>
    </row>
    <row r="6" spans="1:19" ht="20.100000000000001" customHeight="1" x14ac:dyDescent="0.25">
      <c r="A6" s="637"/>
      <c r="B6" s="9" t="s">
        <v>181</v>
      </c>
      <c r="C6" s="218" t="s">
        <v>182</v>
      </c>
      <c r="D6" s="8" t="s">
        <v>183</v>
      </c>
      <c r="E6" s="218" t="s">
        <v>184</v>
      </c>
      <c r="F6" s="9" t="s">
        <v>185</v>
      </c>
      <c r="G6" s="218" t="s">
        <v>186</v>
      </c>
      <c r="H6" s="87"/>
    </row>
    <row r="7" spans="1:19" ht="20.100000000000001" customHeight="1" x14ac:dyDescent="0.25">
      <c r="A7" s="110">
        <v>1050</v>
      </c>
      <c r="B7" s="110">
        <v>1</v>
      </c>
      <c r="C7" s="526" t="s">
        <v>1618</v>
      </c>
      <c r="D7" s="453">
        <f>SUM(D8:D9)</f>
        <v>0</v>
      </c>
      <c r="E7" s="453">
        <f t="shared" ref="E7:F7" si="0">SUM(E8:E9)</f>
        <v>0</v>
      </c>
      <c r="F7" s="453">
        <f t="shared" si="0"/>
        <v>0</v>
      </c>
      <c r="G7" s="453">
        <f>SUM(D7:F7)</f>
        <v>0</v>
      </c>
      <c r="H7" s="337"/>
    </row>
    <row r="8" spans="1:19" ht="20.100000000000001" customHeight="1" x14ac:dyDescent="0.25">
      <c r="A8" s="110">
        <v>1051</v>
      </c>
      <c r="B8" s="110"/>
      <c r="C8" s="168" t="s">
        <v>1619</v>
      </c>
      <c r="D8" s="245">
        <v>0</v>
      </c>
      <c r="E8" s="245">
        <v>0</v>
      </c>
      <c r="F8" s="245">
        <v>0</v>
      </c>
      <c r="G8" s="453">
        <f t="shared" ref="G8:G18" si="1">SUM(D8:F8)</f>
        <v>0</v>
      </c>
      <c r="H8" s="337"/>
    </row>
    <row r="9" spans="1:19" ht="20.100000000000001" customHeight="1" x14ac:dyDescent="0.25">
      <c r="A9" s="110">
        <v>1052</v>
      </c>
      <c r="B9" s="110"/>
      <c r="C9" s="168" t="s">
        <v>1620</v>
      </c>
      <c r="D9" s="245">
        <v>0</v>
      </c>
      <c r="E9" s="245">
        <v>0</v>
      </c>
      <c r="F9" s="245">
        <v>0</v>
      </c>
      <c r="G9" s="453">
        <f t="shared" si="1"/>
        <v>0</v>
      </c>
      <c r="H9" s="337"/>
    </row>
    <row r="10" spans="1:19" ht="20.100000000000001" customHeight="1" x14ac:dyDescent="0.25">
      <c r="A10" s="110">
        <v>1053</v>
      </c>
      <c r="B10" s="110">
        <v>2</v>
      </c>
      <c r="C10" s="526" t="s">
        <v>1621</v>
      </c>
      <c r="D10" s="453">
        <f>SUM(D11:D12)</f>
        <v>0</v>
      </c>
      <c r="E10" s="453">
        <f>SUM(E11:E12)</f>
        <v>0</v>
      </c>
      <c r="F10" s="453">
        <f>SUM(F11:F12)</f>
        <v>0</v>
      </c>
      <c r="G10" s="453">
        <f t="shared" si="1"/>
        <v>0</v>
      </c>
      <c r="H10" s="337"/>
    </row>
    <row r="11" spans="1:19" ht="20.100000000000001" customHeight="1" x14ac:dyDescent="0.25">
      <c r="A11" s="110">
        <v>1054</v>
      </c>
      <c r="B11" s="110"/>
      <c r="C11" s="168" t="s">
        <v>1622</v>
      </c>
      <c r="D11" s="245">
        <v>0</v>
      </c>
      <c r="E11" s="245">
        <v>0</v>
      </c>
      <c r="F11" s="245">
        <v>0</v>
      </c>
      <c r="G11" s="453">
        <f t="shared" si="1"/>
        <v>0</v>
      </c>
      <c r="H11" s="337"/>
    </row>
    <row r="12" spans="1:19" ht="20.100000000000001" customHeight="1" x14ac:dyDescent="0.25">
      <c r="A12" s="110">
        <v>1055</v>
      </c>
      <c r="B12" s="110"/>
      <c r="C12" s="168" t="s">
        <v>1623</v>
      </c>
      <c r="D12" s="245">
        <v>0</v>
      </c>
      <c r="E12" s="245">
        <v>0</v>
      </c>
      <c r="F12" s="245">
        <v>0</v>
      </c>
      <c r="G12" s="453">
        <f t="shared" si="1"/>
        <v>0</v>
      </c>
      <c r="H12" s="337"/>
    </row>
    <row r="13" spans="1:19" ht="20.100000000000001" customHeight="1" x14ac:dyDescent="0.25">
      <c r="A13" s="110">
        <v>1056</v>
      </c>
      <c r="B13" s="110">
        <v>3</v>
      </c>
      <c r="C13" s="526" t="s">
        <v>1624</v>
      </c>
      <c r="D13" s="453">
        <f>SUM(D14:D15)</f>
        <v>0</v>
      </c>
      <c r="E13" s="453">
        <f t="shared" ref="E13:F13" si="2">SUM(E14:E15)</f>
        <v>0</v>
      </c>
      <c r="F13" s="453">
        <f t="shared" si="2"/>
        <v>0</v>
      </c>
      <c r="G13" s="453">
        <f t="shared" si="1"/>
        <v>0</v>
      </c>
      <c r="H13" s="337"/>
    </row>
    <row r="14" spans="1:19" ht="20.100000000000001" customHeight="1" x14ac:dyDescent="0.25">
      <c r="A14" s="110">
        <v>1057</v>
      </c>
      <c r="B14" s="110"/>
      <c r="C14" s="168" t="s">
        <v>1625</v>
      </c>
      <c r="D14" s="245">
        <v>0</v>
      </c>
      <c r="E14" s="245">
        <v>0</v>
      </c>
      <c r="F14" s="245">
        <v>0</v>
      </c>
      <c r="G14" s="453">
        <f t="shared" si="1"/>
        <v>0</v>
      </c>
      <c r="H14" s="337"/>
    </row>
    <row r="15" spans="1:19" ht="20.100000000000001" customHeight="1" x14ac:dyDescent="0.25">
      <c r="A15" s="110">
        <v>1058</v>
      </c>
      <c r="B15" s="110"/>
      <c r="C15" s="168" t="s">
        <v>1626</v>
      </c>
      <c r="D15" s="245">
        <v>0</v>
      </c>
      <c r="E15" s="245">
        <v>0</v>
      </c>
      <c r="F15" s="245">
        <v>0</v>
      </c>
      <c r="G15" s="453">
        <f t="shared" si="1"/>
        <v>0</v>
      </c>
      <c r="H15" s="337"/>
    </row>
    <row r="16" spans="1:19" ht="20.100000000000001" customHeight="1" x14ac:dyDescent="0.25">
      <c r="A16" s="110">
        <v>1059</v>
      </c>
      <c r="B16" s="110">
        <v>4</v>
      </c>
      <c r="C16" s="526" t="s">
        <v>1627</v>
      </c>
      <c r="D16" s="453">
        <f>SUM(D17:D18)</f>
        <v>0</v>
      </c>
      <c r="E16" s="453">
        <f t="shared" ref="E16:F16" si="3">SUM(E17:E18)</f>
        <v>0</v>
      </c>
      <c r="F16" s="453">
        <f t="shared" si="3"/>
        <v>0</v>
      </c>
      <c r="G16" s="453">
        <f t="shared" si="1"/>
        <v>0</v>
      </c>
      <c r="H16" s="337"/>
    </row>
    <row r="17" spans="1:15" ht="20.100000000000001" customHeight="1" x14ac:dyDescent="0.25">
      <c r="A17" s="110">
        <v>1060</v>
      </c>
      <c r="B17" s="110"/>
      <c r="C17" s="168" t="s">
        <v>1628</v>
      </c>
      <c r="D17" s="245">
        <v>0</v>
      </c>
      <c r="E17" s="245">
        <v>0</v>
      </c>
      <c r="F17" s="245">
        <v>0</v>
      </c>
      <c r="G17" s="453">
        <f t="shared" si="1"/>
        <v>0</v>
      </c>
      <c r="H17" s="337"/>
    </row>
    <row r="18" spans="1:15" ht="20.100000000000001" customHeight="1" x14ac:dyDescent="0.25">
      <c r="A18" s="110">
        <v>1061</v>
      </c>
      <c r="B18" s="110"/>
      <c r="C18" s="168" t="s">
        <v>1629</v>
      </c>
      <c r="D18" s="245">
        <v>0</v>
      </c>
      <c r="E18" s="245">
        <v>0</v>
      </c>
      <c r="F18" s="245">
        <v>0</v>
      </c>
      <c r="G18" s="453">
        <f t="shared" si="1"/>
        <v>0</v>
      </c>
      <c r="H18" s="337"/>
    </row>
    <row r="19" spans="1:15" ht="20.100000000000001" customHeight="1" x14ac:dyDescent="0.25">
      <c r="A19" s="110">
        <v>1070</v>
      </c>
      <c r="B19" s="254">
        <v>5</v>
      </c>
      <c r="C19" s="16" t="s">
        <v>580</v>
      </c>
      <c r="D19" s="447">
        <f>SUM(D7,D10,D13,D16)</f>
        <v>0</v>
      </c>
      <c r="E19" s="447">
        <f t="shared" ref="E19:G19" si="4">SUM(E7,E10,E13,E16)</f>
        <v>0</v>
      </c>
      <c r="F19" s="447">
        <f t="shared" si="4"/>
        <v>0</v>
      </c>
      <c r="G19" s="447">
        <f t="shared" si="4"/>
        <v>0</v>
      </c>
      <c r="H19" s="337"/>
    </row>
    <row r="20" spans="1:15" ht="32.1" customHeight="1" x14ac:dyDescent="0.25">
      <c r="A20" s="811" t="s">
        <v>1553</v>
      </c>
      <c r="B20" s="811"/>
      <c r="C20" s="811"/>
      <c r="D20" s="398">
        <f>'P-XV'!K26</f>
        <v>0</v>
      </c>
      <c r="E20" s="398">
        <f>'P-XV'!R26</f>
        <v>0</v>
      </c>
      <c r="F20" s="398">
        <f>'P-XV'!Y26</f>
        <v>0</v>
      </c>
      <c r="G20" s="398">
        <f>'P-XV'!Z26</f>
        <v>0</v>
      </c>
    </row>
    <row r="21" spans="1:15" ht="32.1" customHeight="1" x14ac:dyDescent="0.25">
      <c r="A21" s="695" t="s">
        <v>1552</v>
      </c>
      <c r="B21" s="695"/>
      <c r="C21" s="695"/>
      <c r="D21" s="399" t="str">
        <f>IF(D19='P-XV'!K26,"",FALSE)</f>
        <v/>
      </c>
      <c r="E21" s="399" t="str">
        <f>IF(E19='P-XV'!R26,"",FALSE)</f>
        <v/>
      </c>
      <c r="F21" s="399" t="str">
        <f>IF(F19='P-XV'!Y26,"",FALSE)</f>
        <v/>
      </c>
      <c r="G21" s="399" t="str">
        <f>IF(G19='P-XV'!Z26,"",FALSE)</f>
        <v/>
      </c>
    </row>
    <row r="22" spans="1:15" ht="32.1" customHeight="1" x14ac:dyDescent="0.25">
      <c r="A22" s="811" t="s">
        <v>627</v>
      </c>
      <c r="B22" s="811"/>
      <c r="C22" s="811"/>
      <c r="D22" s="398">
        <f>'P-XIV'!J38</f>
        <v>249</v>
      </c>
      <c r="E22" s="398">
        <f>'P-XIV'!Q38</f>
        <v>72</v>
      </c>
      <c r="F22" s="398">
        <f>'P-XIV'!X38</f>
        <v>0</v>
      </c>
      <c r="G22" s="398">
        <f>'P-XIV'!Y38</f>
        <v>321</v>
      </c>
    </row>
    <row r="23" spans="1:15" ht="32.1" customHeight="1" x14ac:dyDescent="0.25">
      <c r="A23" s="695" t="s">
        <v>645</v>
      </c>
      <c r="B23" s="695"/>
      <c r="C23" s="695"/>
      <c r="D23" s="399" t="str">
        <f>IF(D19&lt;='P-XIV'!J38,"",FALSE)</f>
        <v/>
      </c>
      <c r="E23" s="399" t="str">
        <f>IF(E19&lt;='P-XIV'!Q38,"",FALSE)</f>
        <v/>
      </c>
      <c r="F23" s="399" t="str">
        <f>IF(F19&lt;='P-XIV'!X38,"",FALSE)</f>
        <v/>
      </c>
      <c r="G23" s="399" t="str">
        <f>IF(G19&lt;='P-XIV'!Y38,"",FALSE)</f>
        <v/>
      </c>
    </row>
    <row r="25" spans="1:15" x14ac:dyDescent="0.25">
      <c r="A25" s="330" t="s">
        <v>1554</v>
      </c>
      <c r="C25" s="20"/>
      <c r="D25" s="20"/>
      <c r="E25" s="20"/>
      <c r="F25" s="20"/>
      <c r="G25" s="20"/>
      <c r="H25" s="20"/>
      <c r="I25" s="20"/>
      <c r="J25" s="20"/>
      <c r="K25" s="20"/>
      <c r="L25" s="20"/>
      <c r="M25" s="20"/>
      <c r="N25" s="20"/>
      <c r="O25" s="20"/>
    </row>
    <row r="26" spans="1:15" x14ac:dyDescent="0.25">
      <c r="A26" s="19"/>
      <c r="B26" s="19"/>
      <c r="C26" s="20"/>
      <c r="D26" s="20"/>
      <c r="E26" s="20"/>
      <c r="F26" s="20"/>
      <c r="G26" s="20"/>
      <c r="H26" s="20"/>
      <c r="I26" s="20"/>
      <c r="J26" s="20"/>
      <c r="K26" s="20"/>
      <c r="L26" s="20"/>
      <c r="M26" s="20"/>
      <c r="N26" s="20"/>
      <c r="O26" s="20"/>
    </row>
    <row r="27" spans="1:15" x14ac:dyDescent="0.25">
      <c r="A27" s="20"/>
      <c r="B27" s="20"/>
      <c r="C27" s="20"/>
      <c r="D27" s="20"/>
      <c r="E27" s="20"/>
      <c r="F27" s="20"/>
      <c r="G27" s="20"/>
      <c r="H27" s="20"/>
      <c r="I27" s="20"/>
      <c r="J27" s="20"/>
      <c r="K27" s="20"/>
      <c r="L27" s="20"/>
      <c r="M27" s="20"/>
      <c r="N27" s="20"/>
      <c r="O27" s="20"/>
    </row>
    <row r="28" spans="1:15" x14ac:dyDescent="0.25">
      <c r="A28" s="20"/>
      <c r="B28" s="20"/>
      <c r="C28" s="20"/>
      <c r="D28" s="20"/>
      <c r="E28" s="20"/>
      <c r="F28" s="20"/>
      <c r="G28" s="20"/>
      <c r="H28" s="20"/>
      <c r="I28" s="20"/>
      <c r="J28" s="20"/>
      <c r="K28" s="20"/>
      <c r="L28" s="20"/>
      <c r="M28" s="20"/>
      <c r="N28" s="20"/>
      <c r="O28" s="20"/>
    </row>
    <row r="200" spans="53:59" x14ac:dyDescent="0.25">
      <c r="BA200" s="141" t="str">
        <f>A1</f>
        <v>Goa, , ADSI-2021</v>
      </c>
      <c r="BB200" s="141"/>
    </row>
    <row r="201" spans="53:59" x14ac:dyDescent="0.25">
      <c r="BA201" s="141" t="str">
        <f>A2</f>
        <v>Errors</v>
      </c>
      <c r="BB201" s="309">
        <f>C2</f>
        <v>0</v>
      </c>
    </row>
    <row r="202" spans="53:59" x14ac:dyDescent="0.25">
      <c r="BA202" s="141" t="str">
        <f>A3</f>
        <v>Proforma–XXI</v>
      </c>
      <c r="BB202" s="132"/>
      <c r="BC202" s="132"/>
      <c r="BD202" s="132"/>
      <c r="BE202" s="165"/>
      <c r="BG202" s="132"/>
    </row>
    <row r="203" spans="53:59" x14ac:dyDescent="0.25">
      <c r="BA203" s="141" t="str">
        <f>A4</f>
        <v>Land Holding Status-wise distribution of  suicides committed by Farmers/Cultivators</v>
      </c>
      <c r="BB203" s="132"/>
      <c r="BC203" s="132"/>
      <c r="BD203" s="132"/>
      <c r="BG203" s="132"/>
    </row>
    <row r="204" spans="53:59" x14ac:dyDescent="0.25">
      <c r="BA204" s="137" t="str">
        <f t="shared" ref="BA204:BA218" si="5">B5</f>
        <v>Sl. No.</v>
      </c>
      <c r="BB204" s="137" t="str">
        <f t="shared" ref="BB204:BB209" si="6">C5</f>
        <v>Land Holding Status</v>
      </c>
      <c r="BC204" s="137" t="str">
        <f t="shared" ref="BC204:BC209" si="7">D5</f>
        <v>Male</v>
      </c>
      <c r="BD204" s="137" t="str">
        <f t="shared" ref="BD204:BD209" si="8">E5</f>
        <v>Female</v>
      </c>
      <c r="BE204" s="137" t="str">
        <f t="shared" ref="BE204:BE209" si="9">F5</f>
        <v>Transgender</v>
      </c>
      <c r="BF204" s="137" t="str">
        <f t="shared" ref="BF204:BF209" si="10">G5</f>
        <v>Total</v>
      </c>
      <c r="BG204" s="132"/>
    </row>
    <row r="205" spans="53:59" x14ac:dyDescent="0.25">
      <c r="BA205" s="137" t="str">
        <f t="shared" si="5"/>
        <v>(1)</v>
      </c>
      <c r="BB205" s="137" t="str">
        <f t="shared" si="6"/>
        <v>(2)</v>
      </c>
      <c r="BC205" s="137" t="str">
        <f t="shared" si="7"/>
        <v>(3)</v>
      </c>
      <c r="BD205" s="137" t="str">
        <f t="shared" si="8"/>
        <v>(4)</v>
      </c>
      <c r="BE205" s="137" t="str">
        <f t="shared" si="9"/>
        <v>(5)</v>
      </c>
      <c r="BF205" s="137" t="str">
        <f t="shared" si="10"/>
        <v>(6)</v>
      </c>
      <c r="BG205" s="132"/>
    </row>
    <row r="206" spans="53:59" x14ac:dyDescent="0.25">
      <c r="BA206" s="138">
        <f t="shared" si="5"/>
        <v>1</v>
      </c>
      <c r="BB206" s="136" t="str">
        <f t="shared" si="6"/>
        <v>Marginal Farmers (sum of 1.1 &amp; 1.2)</v>
      </c>
      <c r="BC206" s="136">
        <f t="shared" si="7"/>
        <v>0</v>
      </c>
      <c r="BD206" s="136">
        <f t="shared" si="8"/>
        <v>0</v>
      </c>
      <c r="BE206" s="136">
        <f t="shared" si="9"/>
        <v>0</v>
      </c>
      <c r="BF206" s="136">
        <f t="shared" si="10"/>
        <v>0</v>
      </c>
      <c r="BG206" s="132"/>
    </row>
    <row r="207" spans="53:59" x14ac:dyDescent="0.25">
      <c r="BA207" s="138"/>
      <c r="BB207" s="154" t="str">
        <f t="shared" si="6"/>
        <v>1.1 Irrigated</v>
      </c>
      <c r="BC207" s="136">
        <f t="shared" si="7"/>
        <v>0</v>
      </c>
      <c r="BD207" s="136">
        <f t="shared" si="8"/>
        <v>0</v>
      </c>
      <c r="BE207" s="136">
        <f t="shared" si="9"/>
        <v>0</v>
      </c>
      <c r="BF207" s="136">
        <f t="shared" si="10"/>
        <v>0</v>
      </c>
      <c r="BG207" s="132"/>
    </row>
    <row r="208" spans="53:59" x14ac:dyDescent="0.25">
      <c r="BA208" s="138"/>
      <c r="BB208" s="154" t="str">
        <f t="shared" si="6"/>
        <v>1.2 Un-irrigated</v>
      </c>
      <c r="BC208" s="136">
        <f t="shared" si="7"/>
        <v>0</v>
      </c>
      <c r="BD208" s="136">
        <f t="shared" si="8"/>
        <v>0</v>
      </c>
      <c r="BE208" s="136">
        <f t="shared" si="9"/>
        <v>0</v>
      </c>
      <c r="BF208" s="136">
        <f t="shared" si="10"/>
        <v>0</v>
      </c>
      <c r="BG208" s="132"/>
    </row>
    <row r="209" spans="53:59" x14ac:dyDescent="0.25">
      <c r="BA209" s="138">
        <f t="shared" si="5"/>
        <v>2</v>
      </c>
      <c r="BB209" s="136" t="str">
        <f t="shared" si="6"/>
        <v>Small Farmers (sum of 2.1 &amp; 2.2)</v>
      </c>
      <c r="BC209" s="136">
        <f t="shared" si="7"/>
        <v>0</v>
      </c>
      <c r="BD209" s="136">
        <f t="shared" si="8"/>
        <v>0</v>
      </c>
      <c r="BE209" s="136">
        <f t="shared" si="9"/>
        <v>0</v>
      </c>
      <c r="BF209" s="136">
        <f t="shared" si="10"/>
        <v>0</v>
      </c>
      <c r="BG209" s="132"/>
    </row>
    <row r="210" spans="53:59" x14ac:dyDescent="0.25">
      <c r="BA210" s="138"/>
      <c r="BB210" s="154" t="str">
        <f t="shared" ref="BB210:BB218" si="11">C11</f>
        <v>2.1 Irrigated</v>
      </c>
      <c r="BC210" s="136">
        <f t="shared" ref="BC210:BC218" si="12">D11</f>
        <v>0</v>
      </c>
      <c r="BD210" s="136">
        <f t="shared" ref="BD210:BD218" si="13">E11</f>
        <v>0</v>
      </c>
      <c r="BE210" s="136">
        <f t="shared" ref="BE210:BE218" si="14">F11</f>
        <v>0</v>
      </c>
      <c r="BF210" s="136">
        <f t="shared" ref="BF210:BF218" si="15">G11</f>
        <v>0</v>
      </c>
      <c r="BG210" s="132"/>
    </row>
    <row r="211" spans="53:59" x14ac:dyDescent="0.25">
      <c r="BA211" s="138"/>
      <c r="BB211" s="154" t="str">
        <f t="shared" si="11"/>
        <v>2.2 Un-irrigated</v>
      </c>
      <c r="BC211" s="136">
        <f t="shared" si="12"/>
        <v>0</v>
      </c>
      <c r="BD211" s="136">
        <f t="shared" si="13"/>
        <v>0</v>
      </c>
      <c r="BE211" s="136">
        <f t="shared" si="14"/>
        <v>0</v>
      </c>
      <c r="BF211" s="136">
        <f t="shared" si="15"/>
        <v>0</v>
      </c>
      <c r="BG211" s="132"/>
    </row>
    <row r="212" spans="53:59" x14ac:dyDescent="0.25">
      <c r="BA212" s="138">
        <f t="shared" si="5"/>
        <v>3</v>
      </c>
      <c r="BB212" s="136" t="str">
        <f t="shared" si="11"/>
        <v>Medium  Farmers (sum of 3.1 &amp; 3.2)</v>
      </c>
      <c r="BC212" s="136">
        <f t="shared" si="12"/>
        <v>0</v>
      </c>
      <c r="BD212" s="136">
        <f t="shared" si="13"/>
        <v>0</v>
      </c>
      <c r="BE212" s="136">
        <f t="shared" si="14"/>
        <v>0</v>
      </c>
      <c r="BF212" s="136">
        <f t="shared" si="15"/>
        <v>0</v>
      </c>
      <c r="BG212" s="132"/>
    </row>
    <row r="213" spans="53:59" x14ac:dyDescent="0.25">
      <c r="BA213" s="138"/>
      <c r="BB213" s="154" t="str">
        <f t="shared" si="11"/>
        <v>3.1 Irrigated</v>
      </c>
      <c r="BC213" s="136">
        <f t="shared" si="12"/>
        <v>0</v>
      </c>
      <c r="BD213" s="136">
        <f t="shared" si="13"/>
        <v>0</v>
      </c>
      <c r="BE213" s="136">
        <f t="shared" si="14"/>
        <v>0</v>
      </c>
      <c r="BF213" s="136">
        <f t="shared" si="15"/>
        <v>0</v>
      </c>
    </row>
    <row r="214" spans="53:59" x14ac:dyDescent="0.25">
      <c r="BA214" s="138"/>
      <c r="BB214" s="154" t="str">
        <f t="shared" si="11"/>
        <v>3.2 Un-irrigated</v>
      </c>
      <c r="BC214" s="136">
        <f t="shared" si="12"/>
        <v>0</v>
      </c>
      <c r="BD214" s="136">
        <f t="shared" si="13"/>
        <v>0</v>
      </c>
      <c r="BE214" s="136">
        <f t="shared" si="14"/>
        <v>0</v>
      </c>
      <c r="BF214" s="136">
        <f t="shared" si="15"/>
        <v>0</v>
      </c>
    </row>
    <row r="215" spans="53:59" x14ac:dyDescent="0.25">
      <c r="BA215" s="138">
        <f t="shared" si="5"/>
        <v>4</v>
      </c>
      <c r="BB215" s="136" t="str">
        <f t="shared" si="11"/>
        <v>Large  Farmers (sum of 4.1 &amp; 4.2)</v>
      </c>
      <c r="BC215" s="136">
        <f t="shared" si="12"/>
        <v>0</v>
      </c>
      <c r="BD215" s="136">
        <f t="shared" si="13"/>
        <v>0</v>
      </c>
      <c r="BE215" s="136">
        <f t="shared" si="14"/>
        <v>0</v>
      </c>
      <c r="BF215" s="136">
        <f t="shared" si="15"/>
        <v>0</v>
      </c>
    </row>
    <row r="216" spans="53:59" x14ac:dyDescent="0.25">
      <c r="BA216" s="138"/>
      <c r="BB216" s="154" t="str">
        <f t="shared" si="11"/>
        <v>4.1 Irrigated</v>
      </c>
      <c r="BC216" s="136">
        <f t="shared" si="12"/>
        <v>0</v>
      </c>
      <c r="BD216" s="136">
        <f t="shared" si="13"/>
        <v>0</v>
      </c>
      <c r="BE216" s="136">
        <f t="shared" si="14"/>
        <v>0</v>
      </c>
      <c r="BF216" s="136">
        <f t="shared" si="15"/>
        <v>0</v>
      </c>
    </row>
    <row r="217" spans="53:59" x14ac:dyDescent="0.25">
      <c r="BA217" s="138"/>
      <c r="BB217" s="154" t="str">
        <f t="shared" si="11"/>
        <v>4.2 Un-irrigated</v>
      </c>
      <c r="BC217" s="136">
        <f t="shared" si="12"/>
        <v>0</v>
      </c>
      <c r="BD217" s="136">
        <f t="shared" si="13"/>
        <v>0</v>
      </c>
      <c r="BE217" s="136">
        <f t="shared" si="14"/>
        <v>0</v>
      </c>
      <c r="BF217" s="136">
        <f t="shared" si="15"/>
        <v>0</v>
      </c>
    </row>
    <row r="218" spans="53:59" x14ac:dyDescent="0.25">
      <c r="BA218" s="138">
        <f t="shared" si="5"/>
        <v>5</v>
      </c>
      <c r="BB218" s="136" t="str">
        <f t="shared" si="11"/>
        <v>Total (sum of Sl. 1 to 4)</v>
      </c>
      <c r="BC218" s="136">
        <f t="shared" si="12"/>
        <v>0</v>
      </c>
      <c r="BD218" s="136">
        <f t="shared" si="13"/>
        <v>0</v>
      </c>
      <c r="BE218" s="136">
        <f t="shared" si="14"/>
        <v>0</v>
      </c>
      <c r="BF218" s="136">
        <f t="shared" si="15"/>
        <v>0</v>
      </c>
    </row>
    <row r="219" spans="53:59" x14ac:dyDescent="0.25">
      <c r="BA219" s="623" t="str">
        <f>A20</f>
        <v>PROFORMA–XV VALUES [Sl.-6.1 Farmers/Cultivators (Sub-Total)]</v>
      </c>
      <c r="BB219" s="624"/>
      <c r="BC219" s="136">
        <f t="shared" ref="BC219:BF222" si="16">D20</f>
        <v>0</v>
      </c>
      <c r="BD219" s="136">
        <f t="shared" si="16"/>
        <v>0</v>
      </c>
      <c r="BE219" s="136">
        <f t="shared" si="16"/>
        <v>0</v>
      </c>
      <c r="BF219" s="136">
        <f t="shared" si="16"/>
        <v>0</v>
      </c>
    </row>
    <row r="220" spans="53:59" x14ac:dyDescent="0.25">
      <c r="BA220" s="623" t="str">
        <f>A21</f>
        <v>VALIDATION  WITH PROFORMA–XV [Sl.-6.1 Farmers/Cultivators (Sub-Total)]</v>
      </c>
      <c r="BB220" s="624"/>
      <c r="BC220" s="136" t="str">
        <f t="shared" si="16"/>
        <v/>
      </c>
      <c r="BD220" s="136" t="str">
        <f t="shared" si="16"/>
        <v/>
      </c>
      <c r="BE220" s="136" t="str">
        <f t="shared" si="16"/>
        <v/>
      </c>
      <c r="BF220" s="136" t="str">
        <f t="shared" si="16"/>
        <v/>
      </c>
    </row>
    <row r="221" spans="53:59" x14ac:dyDescent="0.25">
      <c r="BA221" s="623" t="str">
        <f>A22</f>
        <v xml:space="preserve"> PROFORMA–XIV VALUES [Sl.–21 (Total)]</v>
      </c>
      <c r="BB221" s="624"/>
      <c r="BC221" s="136">
        <f t="shared" si="16"/>
        <v>249</v>
      </c>
      <c r="BD221" s="136">
        <f t="shared" si="16"/>
        <v>72</v>
      </c>
      <c r="BE221" s="136">
        <f t="shared" si="16"/>
        <v>0</v>
      </c>
      <c r="BF221" s="136">
        <f t="shared" si="16"/>
        <v>321</v>
      </c>
    </row>
    <row r="222" spans="53:59" x14ac:dyDescent="0.25">
      <c r="BA222" s="623" t="str">
        <f>A23</f>
        <v>VALIDATION  WITH  PROFORMA–XIV [Sl.–21 (Total)]</v>
      </c>
      <c r="BB222" s="624"/>
      <c r="BC222" s="136" t="str">
        <f t="shared" si="16"/>
        <v/>
      </c>
      <c r="BD222" s="136" t="str">
        <f t="shared" si="16"/>
        <v/>
      </c>
      <c r="BE222" s="136" t="str">
        <f t="shared" si="16"/>
        <v/>
      </c>
      <c r="BF222" s="136" t="str">
        <f t="shared" si="16"/>
        <v/>
      </c>
    </row>
    <row r="223" spans="53:59" x14ac:dyDescent="0.25">
      <c r="BA223" s="132"/>
      <c r="BB223" s="132"/>
      <c r="BC223" s="132"/>
      <c r="BD223" s="132"/>
      <c r="BE223" s="132"/>
      <c r="BF223" s="132"/>
      <c r="BG223" s="132"/>
    </row>
    <row r="224" spans="53:59" x14ac:dyDescent="0.25">
      <c r="BA224" s="132" t="str">
        <f>A25</f>
        <v xml:space="preserve">Note: Marginal (below 1 ha), Small (1 ha &amp; above – below 2 ha),  Medium (2 ha &amp; above – below 10 ha) and Large (10 ha &amp; above) Cultivators as per Agricultural Census </v>
      </c>
      <c r="BB224" s="132"/>
      <c r="BC224" s="132"/>
      <c r="BD224" s="132"/>
      <c r="BE224" s="132"/>
      <c r="BF224" s="132"/>
      <c r="BG224" s="132"/>
    </row>
    <row r="225" spans="53:59" x14ac:dyDescent="0.25">
      <c r="BA225" s="132"/>
      <c r="BB225" s="132"/>
      <c r="BC225" s="132"/>
      <c r="BD225" s="132"/>
      <c r="BE225" s="132"/>
      <c r="BF225" s="132"/>
      <c r="BG225" s="132"/>
    </row>
    <row r="226" spans="53:59" x14ac:dyDescent="0.25">
      <c r="BA226" s="132"/>
      <c r="BB226" s="132"/>
      <c r="BC226" s="132"/>
      <c r="BD226" s="132"/>
      <c r="BE226" s="132"/>
      <c r="BF226" s="132"/>
      <c r="BG226" s="132"/>
    </row>
    <row r="227" spans="53:59" x14ac:dyDescent="0.25">
      <c r="BA227" s="132"/>
      <c r="BB227" s="132"/>
      <c r="BC227" s="132"/>
      <c r="BD227" s="132"/>
      <c r="BE227" s="132"/>
      <c r="BF227" s="132"/>
      <c r="BG227" s="132"/>
    </row>
    <row r="500" spans="1:8" x14ac:dyDescent="0.25">
      <c r="A500" s="207" t="s">
        <v>450</v>
      </c>
      <c r="B500" s="207" t="s">
        <v>451</v>
      </c>
      <c r="C500" s="207" t="s">
        <v>452</v>
      </c>
      <c r="D500" s="207" t="s">
        <v>453</v>
      </c>
      <c r="E500" s="207" t="s">
        <v>38</v>
      </c>
      <c r="F500" s="207" t="s">
        <v>39</v>
      </c>
      <c r="G500" s="207" t="s">
        <v>526</v>
      </c>
      <c r="H500" s="207" t="s">
        <v>17</v>
      </c>
    </row>
    <row r="501" spans="1:8" x14ac:dyDescent="0.25">
      <c r="A501" s="348">
        <f>IF(ADSI!$G$12="",ADSI!$H$16,ADSI!$H$12)</f>
        <v>6</v>
      </c>
      <c r="B501" s="348" t="str">
        <f ca="1">IF(ADSI!$G$12="",ADSI!$H$16,ADSI!$H$14)</f>
        <v/>
      </c>
      <c r="C501" s="403">
        <f>A7</f>
        <v>1050</v>
      </c>
      <c r="D501" s="348">
        <f>ADSI!$K$12</f>
        <v>2021</v>
      </c>
      <c r="E501" s="367">
        <f>D7</f>
        <v>0</v>
      </c>
      <c r="F501" s="367">
        <f t="shared" ref="F501:H501" si="17">E7</f>
        <v>0</v>
      </c>
      <c r="G501" s="367">
        <f t="shared" si="17"/>
        <v>0</v>
      </c>
      <c r="H501" s="367">
        <f t="shared" si="17"/>
        <v>0</v>
      </c>
    </row>
    <row r="502" spans="1:8" x14ac:dyDescent="0.25">
      <c r="A502" s="348">
        <f>IF(ADSI!$G$12="",ADSI!$H$16,ADSI!$H$12)</f>
        <v>6</v>
      </c>
      <c r="B502" s="348" t="str">
        <f ca="1">IF(ADSI!$G$12="",ADSI!$H$16,ADSI!$H$14)</f>
        <v/>
      </c>
      <c r="C502" s="403">
        <f t="shared" ref="C502:C513" si="18">A8</f>
        <v>1051</v>
      </c>
      <c r="D502" s="348">
        <f>ADSI!$K$12</f>
        <v>2021</v>
      </c>
      <c r="E502" s="367">
        <f t="shared" ref="E502:H502" si="19">D8</f>
        <v>0</v>
      </c>
      <c r="F502" s="367">
        <f t="shared" si="19"/>
        <v>0</v>
      </c>
      <c r="G502" s="367">
        <f t="shared" si="19"/>
        <v>0</v>
      </c>
      <c r="H502" s="367">
        <f t="shared" si="19"/>
        <v>0</v>
      </c>
    </row>
    <row r="503" spans="1:8" x14ac:dyDescent="0.25">
      <c r="A503" s="348">
        <f>IF(ADSI!$G$12="",ADSI!$H$16,ADSI!$H$12)</f>
        <v>6</v>
      </c>
      <c r="B503" s="348" t="str">
        <f ca="1">IF(ADSI!$G$12="",ADSI!$H$16,ADSI!$H$14)</f>
        <v/>
      </c>
      <c r="C503" s="403">
        <f t="shared" si="18"/>
        <v>1052</v>
      </c>
      <c r="D503" s="348">
        <f>ADSI!$K$12</f>
        <v>2021</v>
      </c>
      <c r="E503" s="367">
        <f t="shared" ref="E503:H503" si="20">D9</f>
        <v>0</v>
      </c>
      <c r="F503" s="367">
        <f t="shared" si="20"/>
        <v>0</v>
      </c>
      <c r="G503" s="367">
        <f t="shared" si="20"/>
        <v>0</v>
      </c>
      <c r="H503" s="367">
        <f t="shared" si="20"/>
        <v>0</v>
      </c>
    </row>
    <row r="504" spans="1:8" x14ac:dyDescent="0.25">
      <c r="A504" s="348">
        <f>IF(ADSI!$G$12="",ADSI!$H$16,ADSI!$H$12)</f>
        <v>6</v>
      </c>
      <c r="B504" s="348" t="str">
        <f ca="1">IF(ADSI!$G$12="",ADSI!$H$16,ADSI!$H$14)</f>
        <v/>
      </c>
      <c r="C504" s="403">
        <f t="shared" si="18"/>
        <v>1053</v>
      </c>
      <c r="D504" s="348">
        <f>ADSI!$K$12</f>
        <v>2021</v>
      </c>
      <c r="E504" s="367">
        <f t="shared" ref="E504:H504" si="21">D10</f>
        <v>0</v>
      </c>
      <c r="F504" s="367">
        <f t="shared" si="21"/>
        <v>0</v>
      </c>
      <c r="G504" s="367">
        <f t="shared" si="21"/>
        <v>0</v>
      </c>
      <c r="H504" s="367">
        <f t="shared" si="21"/>
        <v>0</v>
      </c>
    </row>
    <row r="505" spans="1:8" x14ac:dyDescent="0.25">
      <c r="A505" s="348">
        <f>IF(ADSI!$G$12="",ADSI!$H$16,ADSI!$H$12)</f>
        <v>6</v>
      </c>
      <c r="B505" s="348" t="str">
        <f ca="1">IF(ADSI!$G$12="",ADSI!$H$16,ADSI!$H$14)</f>
        <v/>
      </c>
      <c r="C505" s="403">
        <f t="shared" si="18"/>
        <v>1054</v>
      </c>
      <c r="D505" s="348">
        <f>ADSI!$K$12</f>
        <v>2021</v>
      </c>
      <c r="E505" s="367">
        <f t="shared" ref="E505:H505" si="22">D11</f>
        <v>0</v>
      </c>
      <c r="F505" s="367">
        <f t="shared" si="22"/>
        <v>0</v>
      </c>
      <c r="G505" s="367">
        <f t="shared" si="22"/>
        <v>0</v>
      </c>
      <c r="H505" s="367">
        <f t="shared" si="22"/>
        <v>0</v>
      </c>
    </row>
    <row r="506" spans="1:8" x14ac:dyDescent="0.25">
      <c r="A506" s="348">
        <f>IF(ADSI!$G$12="",ADSI!$H$16,ADSI!$H$12)</f>
        <v>6</v>
      </c>
      <c r="B506" s="348" t="str">
        <f ca="1">IF(ADSI!$G$12="",ADSI!$H$16,ADSI!$H$14)</f>
        <v/>
      </c>
      <c r="C506" s="403">
        <f t="shared" si="18"/>
        <v>1055</v>
      </c>
      <c r="D506" s="348">
        <f>ADSI!$K$12</f>
        <v>2021</v>
      </c>
      <c r="E506" s="367">
        <f t="shared" ref="E506:H506" si="23">D12</f>
        <v>0</v>
      </c>
      <c r="F506" s="367">
        <f t="shared" si="23"/>
        <v>0</v>
      </c>
      <c r="G506" s="367">
        <f t="shared" si="23"/>
        <v>0</v>
      </c>
      <c r="H506" s="367">
        <f t="shared" si="23"/>
        <v>0</v>
      </c>
    </row>
    <row r="507" spans="1:8" x14ac:dyDescent="0.25">
      <c r="A507" s="348">
        <f>IF(ADSI!$G$12="",ADSI!$H$16,ADSI!$H$12)</f>
        <v>6</v>
      </c>
      <c r="B507" s="348" t="str">
        <f ca="1">IF(ADSI!$G$12="",ADSI!$H$16,ADSI!$H$14)</f>
        <v/>
      </c>
      <c r="C507" s="403">
        <f t="shared" si="18"/>
        <v>1056</v>
      </c>
      <c r="D507" s="348">
        <f>ADSI!$K$12</f>
        <v>2021</v>
      </c>
      <c r="E507" s="367">
        <f t="shared" ref="E507:H507" si="24">D13</f>
        <v>0</v>
      </c>
      <c r="F507" s="367">
        <f t="shared" si="24"/>
        <v>0</v>
      </c>
      <c r="G507" s="367">
        <f t="shared" si="24"/>
        <v>0</v>
      </c>
      <c r="H507" s="367">
        <f t="shared" si="24"/>
        <v>0</v>
      </c>
    </row>
    <row r="508" spans="1:8" x14ac:dyDescent="0.25">
      <c r="A508" s="348">
        <f>IF(ADSI!$G$12="",ADSI!$H$16,ADSI!$H$12)</f>
        <v>6</v>
      </c>
      <c r="B508" s="348" t="str">
        <f ca="1">IF(ADSI!$G$12="",ADSI!$H$16,ADSI!$H$14)</f>
        <v/>
      </c>
      <c r="C508" s="403">
        <f t="shared" si="18"/>
        <v>1057</v>
      </c>
      <c r="D508" s="348">
        <f>ADSI!$K$12</f>
        <v>2021</v>
      </c>
      <c r="E508" s="367">
        <f t="shared" ref="E508:H508" si="25">D14</f>
        <v>0</v>
      </c>
      <c r="F508" s="367">
        <f t="shared" si="25"/>
        <v>0</v>
      </c>
      <c r="G508" s="367">
        <f t="shared" si="25"/>
        <v>0</v>
      </c>
      <c r="H508" s="367">
        <f t="shared" si="25"/>
        <v>0</v>
      </c>
    </row>
    <row r="509" spans="1:8" x14ac:dyDescent="0.25">
      <c r="A509" s="348">
        <f>IF(ADSI!$G$12="",ADSI!$H$16,ADSI!$H$12)</f>
        <v>6</v>
      </c>
      <c r="B509" s="348" t="str">
        <f ca="1">IF(ADSI!$G$12="",ADSI!$H$16,ADSI!$H$14)</f>
        <v/>
      </c>
      <c r="C509" s="403">
        <f t="shared" si="18"/>
        <v>1058</v>
      </c>
      <c r="D509" s="348">
        <f>ADSI!$K$12</f>
        <v>2021</v>
      </c>
      <c r="E509" s="367">
        <f t="shared" ref="E509:H509" si="26">D15</f>
        <v>0</v>
      </c>
      <c r="F509" s="367">
        <f t="shared" si="26"/>
        <v>0</v>
      </c>
      <c r="G509" s="367">
        <f t="shared" si="26"/>
        <v>0</v>
      </c>
      <c r="H509" s="367">
        <f t="shared" si="26"/>
        <v>0</v>
      </c>
    </row>
    <row r="510" spans="1:8" x14ac:dyDescent="0.25">
      <c r="A510" s="348">
        <f>IF(ADSI!$G$12="",ADSI!$H$16,ADSI!$H$12)</f>
        <v>6</v>
      </c>
      <c r="B510" s="348" t="str">
        <f ca="1">IF(ADSI!$G$12="",ADSI!$H$16,ADSI!$H$14)</f>
        <v/>
      </c>
      <c r="C510" s="403">
        <f t="shared" si="18"/>
        <v>1059</v>
      </c>
      <c r="D510" s="348">
        <f>ADSI!$K$12</f>
        <v>2021</v>
      </c>
      <c r="E510" s="367">
        <f t="shared" ref="E510:H510" si="27">D16</f>
        <v>0</v>
      </c>
      <c r="F510" s="367">
        <f t="shared" si="27"/>
        <v>0</v>
      </c>
      <c r="G510" s="367">
        <f t="shared" si="27"/>
        <v>0</v>
      </c>
      <c r="H510" s="367">
        <f t="shared" si="27"/>
        <v>0</v>
      </c>
    </row>
    <row r="511" spans="1:8" x14ac:dyDescent="0.25">
      <c r="A511" s="348">
        <f>IF(ADSI!$G$12="",ADSI!$H$16,ADSI!$H$12)</f>
        <v>6</v>
      </c>
      <c r="B511" s="348" t="str">
        <f ca="1">IF(ADSI!$G$12="",ADSI!$H$16,ADSI!$H$14)</f>
        <v/>
      </c>
      <c r="C511" s="403">
        <f>A17</f>
        <v>1060</v>
      </c>
      <c r="D511" s="348">
        <f>ADSI!$K$12</f>
        <v>2021</v>
      </c>
      <c r="E511" s="367">
        <f t="shared" ref="E511:H511" si="28">D17</f>
        <v>0</v>
      </c>
      <c r="F511" s="367">
        <f t="shared" si="28"/>
        <v>0</v>
      </c>
      <c r="G511" s="367">
        <f t="shared" si="28"/>
        <v>0</v>
      </c>
      <c r="H511" s="367">
        <f t="shared" si="28"/>
        <v>0</v>
      </c>
    </row>
    <row r="512" spans="1:8" x14ac:dyDescent="0.25">
      <c r="A512" s="348">
        <f>IF(ADSI!$G$12="",ADSI!$H$16,ADSI!$H$12)</f>
        <v>6</v>
      </c>
      <c r="B512" s="348" t="str">
        <f ca="1">IF(ADSI!$G$12="",ADSI!$H$16,ADSI!$H$14)</f>
        <v/>
      </c>
      <c r="C512" s="403">
        <f t="shared" si="18"/>
        <v>1061</v>
      </c>
      <c r="D512" s="348">
        <f>ADSI!$K$12</f>
        <v>2021</v>
      </c>
      <c r="E512" s="367">
        <f t="shared" ref="E512:H512" si="29">D18</f>
        <v>0</v>
      </c>
      <c r="F512" s="367">
        <f t="shared" si="29"/>
        <v>0</v>
      </c>
      <c r="G512" s="367">
        <f t="shared" si="29"/>
        <v>0</v>
      </c>
      <c r="H512" s="367">
        <f t="shared" si="29"/>
        <v>0</v>
      </c>
    </row>
    <row r="513" spans="1:8" x14ac:dyDescent="0.25">
      <c r="A513" s="348">
        <f>IF(ADSI!$G$12="",ADSI!$H$16,ADSI!$H$12)</f>
        <v>6</v>
      </c>
      <c r="B513" s="348" t="str">
        <f ca="1">IF(ADSI!$G$12="",ADSI!$H$16,ADSI!$H$14)</f>
        <v/>
      </c>
      <c r="C513" s="403">
        <f t="shared" si="18"/>
        <v>1070</v>
      </c>
      <c r="D513" s="348">
        <f>ADSI!$K$12</f>
        <v>2021</v>
      </c>
      <c r="E513" s="367">
        <f t="shared" ref="E513:H513" si="30">D19</f>
        <v>0</v>
      </c>
      <c r="F513" s="367">
        <f t="shared" si="30"/>
        <v>0</v>
      </c>
      <c r="G513" s="367">
        <f t="shared" si="30"/>
        <v>0</v>
      </c>
      <c r="H513" s="367">
        <f t="shared" si="30"/>
        <v>0</v>
      </c>
    </row>
    <row r="514" spans="1:8" x14ac:dyDescent="0.25">
      <c r="A514" s="365"/>
      <c r="B514" s="365"/>
      <c r="C514" s="366"/>
      <c r="D514" s="365"/>
      <c r="E514" s="365"/>
      <c r="F514" s="365"/>
      <c r="G514" s="365"/>
      <c r="H514" s="365"/>
    </row>
    <row r="515" spans="1:8" x14ac:dyDescent="0.25">
      <c r="C515" s="91"/>
    </row>
  </sheetData>
  <sheetProtection password="C614" sheet="1" objects="1" scenarios="1" selectLockedCells="1"/>
  <mergeCells count="9">
    <mergeCell ref="A5:A6"/>
    <mergeCell ref="BA219:BB219"/>
    <mergeCell ref="BA220:BB220"/>
    <mergeCell ref="BA221:BB221"/>
    <mergeCell ref="BA222:BB222"/>
    <mergeCell ref="A21:C21"/>
    <mergeCell ref="A23:C23"/>
    <mergeCell ref="A20:C20"/>
    <mergeCell ref="A22:C22"/>
  </mergeCells>
  <conditionalFormatting sqref="D21:G21 D23:G23">
    <cfRule type="cellIs" dxfId="9" priority="1" operator="equal">
      <formula>FALSE</formula>
    </cfRule>
  </conditionalFormatting>
  <dataValidations count="1">
    <dataValidation type="whole" allowBlank="1" showInputMessage="1" showErrorMessage="1" sqref="D8:F9 D11:F12 D14:F15 D17:F18">
      <formula1>0</formula1>
      <formula2>999999999</formula2>
    </dataValidation>
  </dataValidations>
  <pageMargins left="1.1811023622047245" right="0.70866141732283472" top="1.1811023622047245" bottom="0.74803149606299213" header="0.31496062992125984" footer="0.19685039370078741"/>
  <pageSetup paperSize="5" orientation="landscape" r:id="rId1"/>
  <headerFooter>
    <oddFooter>&amp;L&amp;9ADSI - &amp;A&amp;C&amp;9&amp;D &amp;T&amp;R&amp;9Page &amp;P of &amp;N</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B526"/>
  <sheetViews>
    <sheetView showGridLines="0" workbookViewId="0">
      <pane xSplit="3" ySplit="8" topLeftCell="D9" activePane="bottomRight" state="frozen"/>
      <selection activeCell="D9" sqref="D9"/>
      <selection pane="topRight" activeCell="D9" sqref="D9"/>
      <selection pane="bottomLeft" activeCell="D9" sqref="D9"/>
      <selection pane="bottomRight" activeCell="D9" sqref="D9"/>
    </sheetView>
  </sheetViews>
  <sheetFormatPr defaultRowHeight="15" x14ac:dyDescent="0.25"/>
  <cols>
    <col min="1" max="2" width="6.7109375" style="2" customWidth="1"/>
    <col min="3" max="3" width="45" style="2" bestFit="1" customWidth="1"/>
    <col min="4" max="7" width="12.7109375" style="2" customWidth="1"/>
    <col min="8" max="8" width="15.7109375" style="2" customWidth="1"/>
    <col min="9" max="12" width="12.7109375" style="2" customWidth="1"/>
    <col min="13" max="13" width="15.7109375" style="2" customWidth="1"/>
    <col min="14" max="17" width="12.7109375" style="2" customWidth="1"/>
    <col min="18" max="19" width="15.7109375" style="2" customWidth="1"/>
    <col min="20" max="20" width="8.7109375" style="2" customWidth="1"/>
    <col min="21" max="52" width="9.140625" style="2"/>
    <col min="53" max="53" width="5.5703125" style="2" customWidth="1"/>
    <col min="54" max="54" width="19.42578125" style="2" customWidth="1"/>
    <col min="55" max="69" width="8.85546875" style="2" customWidth="1"/>
    <col min="70" max="16384" width="9.140625" style="2"/>
  </cols>
  <sheetData>
    <row r="1" spans="1:20" ht="15.75" customHeight="1" x14ac:dyDescent="0.25">
      <c r="A1" s="285" t="str">
        <f>ADSI!$B$1</f>
        <v>Goa, , ADSI-2021</v>
      </c>
      <c r="G1" s="856" t="s">
        <v>624</v>
      </c>
      <c r="H1" s="856"/>
      <c r="I1" s="856"/>
      <c r="J1" s="856"/>
      <c r="K1" s="856"/>
      <c r="L1" s="856"/>
      <c r="M1" s="856"/>
      <c r="N1" s="856"/>
      <c r="O1" s="856"/>
      <c r="P1" s="856"/>
    </row>
    <row r="2" spans="1:20" ht="15.75" customHeight="1" x14ac:dyDescent="0.25">
      <c r="A2" s="286" t="s">
        <v>657</v>
      </c>
      <c r="C2" s="291">
        <f>COUNTIF(D31:S31,FALSE)</f>
        <v>0</v>
      </c>
      <c r="E2" s="465" t="s">
        <v>1570</v>
      </c>
      <c r="F2" s="464">
        <f>COUNTIF(D32:S35,"ABVAR")</f>
        <v>0</v>
      </c>
      <c r="G2" s="856"/>
      <c r="H2" s="856"/>
      <c r="I2" s="856"/>
      <c r="J2" s="856"/>
      <c r="K2" s="856"/>
      <c r="L2" s="856"/>
      <c r="M2" s="856"/>
      <c r="N2" s="856"/>
      <c r="O2" s="856"/>
      <c r="P2" s="856"/>
    </row>
    <row r="3" spans="1:20" ht="15.75" customHeight="1" x14ac:dyDescent="0.25">
      <c r="A3" s="296" t="s">
        <v>166</v>
      </c>
      <c r="C3" s="73"/>
      <c r="D3" s="73"/>
      <c r="E3" s="73"/>
      <c r="F3" s="73"/>
      <c r="G3" s="273"/>
      <c r="H3" s="273"/>
      <c r="I3" s="273"/>
      <c r="J3" s="273"/>
      <c r="K3" s="273"/>
      <c r="L3" s="273"/>
      <c r="M3" s="273"/>
      <c r="N3" s="273"/>
      <c r="O3" s="273"/>
      <c r="P3" s="273"/>
      <c r="Q3" s="166"/>
      <c r="R3" s="166"/>
      <c r="S3" s="166"/>
    </row>
    <row r="4" spans="1:20" x14ac:dyDescent="0.25">
      <c r="A4" s="296" t="s">
        <v>646</v>
      </c>
      <c r="C4" s="61"/>
      <c r="D4" s="61"/>
      <c r="E4" s="61"/>
      <c r="F4" s="61"/>
      <c r="G4" s="61"/>
      <c r="H4" s="61"/>
      <c r="I4" s="61"/>
      <c r="J4" s="61"/>
      <c r="K4" s="61"/>
      <c r="L4" s="61"/>
      <c r="O4" s="61"/>
      <c r="P4" s="61"/>
      <c r="Q4" s="61"/>
      <c r="R4" s="61"/>
      <c r="S4" s="61"/>
    </row>
    <row r="5" spans="1:20" ht="20.100000000000001" customHeight="1" x14ac:dyDescent="0.25">
      <c r="A5" s="646" t="s">
        <v>249</v>
      </c>
      <c r="B5" s="646" t="s">
        <v>0</v>
      </c>
      <c r="C5" s="698" t="s">
        <v>34</v>
      </c>
      <c r="D5" s="641" t="s">
        <v>139</v>
      </c>
      <c r="E5" s="642"/>
      <c r="F5" s="642"/>
      <c r="G5" s="642"/>
      <c r="H5" s="642"/>
      <c r="I5" s="642"/>
      <c r="J5" s="642"/>
      <c r="K5" s="642"/>
      <c r="L5" s="642"/>
      <c r="M5" s="642"/>
      <c r="N5" s="642"/>
      <c r="O5" s="642"/>
      <c r="P5" s="642"/>
      <c r="Q5" s="642"/>
      <c r="R5" s="643"/>
      <c r="S5" s="698" t="s">
        <v>272</v>
      </c>
    </row>
    <row r="6" spans="1:20" ht="20.100000000000001" customHeight="1" x14ac:dyDescent="0.25">
      <c r="A6" s="646"/>
      <c r="B6" s="646"/>
      <c r="C6" s="698"/>
      <c r="D6" s="646" t="s">
        <v>38</v>
      </c>
      <c r="E6" s="646"/>
      <c r="F6" s="646"/>
      <c r="G6" s="646"/>
      <c r="H6" s="646"/>
      <c r="I6" s="698" t="s">
        <v>39</v>
      </c>
      <c r="J6" s="698"/>
      <c r="K6" s="698"/>
      <c r="L6" s="698"/>
      <c r="M6" s="698"/>
      <c r="N6" s="641" t="s">
        <v>240</v>
      </c>
      <c r="O6" s="642"/>
      <c r="P6" s="642"/>
      <c r="Q6" s="642"/>
      <c r="R6" s="643"/>
      <c r="S6" s="698"/>
    </row>
    <row r="7" spans="1:20" ht="45" x14ac:dyDescent="0.25">
      <c r="A7" s="646"/>
      <c r="B7" s="646"/>
      <c r="C7" s="698"/>
      <c r="D7" s="106" t="s">
        <v>171</v>
      </c>
      <c r="E7" s="106" t="s">
        <v>15</v>
      </c>
      <c r="F7" s="106" t="s">
        <v>178</v>
      </c>
      <c r="G7" s="106" t="s">
        <v>16</v>
      </c>
      <c r="H7" s="106" t="s">
        <v>439</v>
      </c>
      <c r="I7" s="225" t="s">
        <v>171</v>
      </c>
      <c r="J7" s="225" t="s">
        <v>15</v>
      </c>
      <c r="K7" s="225" t="s">
        <v>178</v>
      </c>
      <c r="L7" s="225" t="s">
        <v>16</v>
      </c>
      <c r="M7" s="225" t="s">
        <v>237</v>
      </c>
      <c r="N7" s="106" t="s">
        <v>171</v>
      </c>
      <c r="O7" s="106" t="s">
        <v>15</v>
      </c>
      <c r="P7" s="106" t="s">
        <v>178</v>
      </c>
      <c r="Q7" s="106" t="s">
        <v>16</v>
      </c>
      <c r="R7" s="106" t="s">
        <v>246</v>
      </c>
      <c r="S7" s="698"/>
    </row>
    <row r="8" spans="1:20" ht="20.100000000000001" customHeight="1" x14ac:dyDescent="0.25">
      <c r="A8" s="8"/>
      <c r="B8" s="8" t="s">
        <v>181</v>
      </c>
      <c r="C8" s="219" t="s">
        <v>182</v>
      </c>
      <c r="D8" s="8" t="s">
        <v>183</v>
      </c>
      <c r="E8" s="9" t="s">
        <v>184</v>
      </c>
      <c r="F8" s="9" t="s">
        <v>185</v>
      </c>
      <c r="G8" s="9" t="s">
        <v>186</v>
      </c>
      <c r="H8" s="8" t="s">
        <v>187</v>
      </c>
      <c r="I8" s="219" t="s">
        <v>188</v>
      </c>
      <c r="J8" s="219" t="s">
        <v>189</v>
      </c>
      <c r="K8" s="219" t="s">
        <v>190</v>
      </c>
      <c r="L8" s="219" t="s">
        <v>191</v>
      </c>
      <c r="M8" s="219" t="s">
        <v>192</v>
      </c>
      <c r="N8" s="8" t="s">
        <v>193</v>
      </c>
      <c r="O8" s="8" t="s">
        <v>194</v>
      </c>
      <c r="P8" s="8" t="s">
        <v>195</v>
      </c>
      <c r="Q8" s="8" t="s">
        <v>196</v>
      </c>
      <c r="R8" s="8" t="s">
        <v>197</v>
      </c>
      <c r="S8" s="219" t="s">
        <v>204</v>
      </c>
    </row>
    <row r="9" spans="1:20" ht="20.100000000000001" customHeight="1" x14ac:dyDescent="0.25">
      <c r="A9" s="72">
        <v>1075</v>
      </c>
      <c r="B9" s="118">
        <v>1</v>
      </c>
      <c r="C9" s="109" t="s">
        <v>282</v>
      </c>
      <c r="D9" s="234">
        <v>0</v>
      </c>
      <c r="E9" s="234">
        <v>0</v>
      </c>
      <c r="F9" s="234">
        <v>0</v>
      </c>
      <c r="G9" s="234">
        <v>0</v>
      </c>
      <c r="H9" s="458">
        <f>SUM(D9:G9)</f>
        <v>0</v>
      </c>
      <c r="I9" s="234">
        <v>0</v>
      </c>
      <c r="J9" s="234">
        <v>0</v>
      </c>
      <c r="K9" s="234">
        <v>0</v>
      </c>
      <c r="L9" s="234">
        <v>0</v>
      </c>
      <c r="M9" s="458">
        <f>SUM(I9:L9)</f>
        <v>0</v>
      </c>
      <c r="N9" s="251">
        <v>0</v>
      </c>
      <c r="O9" s="251">
        <v>0</v>
      </c>
      <c r="P9" s="251">
        <v>0</v>
      </c>
      <c r="Q9" s="251">
        <v>0</v>
      </c>
      <c r="R9" s="458">
        <f>SUM(N9:Q9)</f>
        <v>0</v>
      </c>
      <c r="S9" s="458">
        <f>SUM(H9+M9+R9)</f>
        <v>0</v>
      </c>
      <c r="T9" s="336"/>
    </row>
    <row r="10" spans="1:20" ht="20.100000000000001" customHeight="1" x14ac:dyDescent="0.25">
      <c r="A10" s="108">
        <v>1076</v>
      </c>
      <c r="B10" s="118">
        <v>2</v>
      </c>
      <c r="C10" s="459" t="s">
        <v>1555</v>
      </c>
      <c r="D10" s="457">
        <f>SUM(D11:D15)</f>
        <v>0</v>
      </c>
      <c r="E10" s="457">
        <f t="shared" ref="E10:G10" si="0">SUM(E11:E15)</f>
        <v>0</v>
      </c>
      <c r="F10" s="457">
        <f t="shared" si="0"/>
        <v>0</v>
      </c>
      <c r="G10" s="457">
        <f t="shared" si="0"/>
        <v>0</v>
      </c>
      <c r="H10" s="458">
        <f t="shared" ref="H10:H28" si="1">SUM(D10:G10)</f>
        <v>0</v>
      </c>
      <c r="I10" s="457">
        <f t="shared" ref="I10:Q10" si="2">SUM(I11:I15)</f>
        <v>0</v>
      </c>
      <c r="J10" s="457">
        <f t="shared" si="2"/>
        <v>0</v>
      </c>
      <c r="K10" s="457">
        <f t="shared" si="2"/>
        <v>0</v>
      </c>
      <c r="L10" s="457">
        <f t="shared" si="2"/>
        <v>0</v>
      </c>
      <c r="M10" s="458">
        <f t="shared" ref="M10:M28" si="3">SUM(I10:L10)</f>
        <v>0</v>
      </c>
      <c r="N10" s="457">
        <f t="shared" si="2"/>
        <v>0</v>
      </c>
      <c r="O10" s="457">
        <f t="shared" si="2"/>
        <v>0</v>
      </c>
      <c r="P10" s="457">
        <f t="shared" si="2"/>
        <v>0</v>
      </c>
      <c r="Q10" s="457">
        <f t="shared" si="2"/>
        <v>0</v>
      </c>
      <c r="R10" s="458">
        <f t="shared" ref="R10:R28" si="4">SUM(N10:Q10)</f>
        <v>0</v>
      </c>
      <c r="S10" s="458">
        <f t="shared" ref="S10:S27" si="5">SUM(H10+M10+R10)</f>
        <v>0</v>
      </c>
      <c r="T10" s="336"/>
    </row>
    <row r="11" spans="1:20" ht="20.100000000000001" customHeight="1" x14ac:dyDescent="0.25">
      <c r="A11" s="72">
        <v>1077</v>
      </c>
      <c r="B11" s="118"/>
      <c r="C11" s="181" t="s">
        <v>1505</v>
      </c>
      <c r="D11" s="234">
        <v>0</v>
      </c>
      <c r="E11" s="234">
        <v>0</v>
      </c>
      <c r="F11" s="234">
        <v>0</v>
      </c>
      <c r="G11" s="234">
        <v>0</v>
      </c>
      <c r="H11" s="458">
        <f t="shared" si="1"/>
        <v>0</v>
      </c>
      <c r="I11" s="234">
        <v>0</v>
      </c>
      <c r="J11" s="235">
        <v>0</v>
      </c>
      <c r="K11" s="234">
        <v>0</v>
      </c>
      <c r="L11" s="234">
        <v>0</v>
      </c>
      <c r="M11" s="458">
        <f t="shared" si="3"/>
        <v>0</v>
      </c>
      <c r="N11" s="251">
        <v>0</v>
      </c>
      <c r="O11" s="251">
        <v>0</v>
      </c>
      <c r="P11" s="251">
        <v>0</v>
      </c>
      <c r="Q11" s="251">
        <v>0</v>
      </c>
      <c r="R11" s="458">
        <f t="shared" si="4"/>
        <v>0</v>
      </c>
      <c r="S11" s="458">
        <f t="shared" si="5"/>
        <v>0</v>
      </c>
      <c r="T11" s="336"/>
    </row>
    <row r="12" spans="1:20" ht="20.100000000000001" customHeight="1" x14ac:dyDescent="0.25">
      <c r="A12" s="118">
        <v>1078</v>
      </c>
      <c r="B12" s="118"/>
      <c r="C12" s="181" t="s">
        <v>1506</v>
      </c>
      <c r="D12" s="234">
        <v>0</v>
      </c>
      <c r="E12" s="234">
        <v>0</v>
      </c>
      <c r="F12" s="234">
        <v>0</v>
      </c>
      <c r="G12" s="234">
        <v>0</v>
      </c>
      <c r="H12" s="458">
        <f t="shared" si="1"/>
        <v>0</v>
      </c>
      <c r="I12" s="234">
        <v>0</v>
      </c>
      <c r="J12" s="235">
        <v>0</v>
      </c>
      <c r="K12" s="234">
        <v>0</v>
      </c>
      <c r="L12" s="234">
        <v>0</v>
      </c>
      <c r="M12" s="458">
        <f t="shared" si="3"/>
        <v>0</v>
      </c>
      <c r="N12" s="251">
        <v>0</v>
      </c>
      <c r="O12" s="251">
        <v>0</v>
      </c>
      <c r="P12" s="251">
        <v>0</v>
      </c>
      <c r="Q12" s="251">
        <v>0</v>
      </c>
      <c r="R12" s="458">
        <f t="shared" si="4"/>
        <v>0</v>
      </c>
      <c r="S12" s="458">
        <f t="shared" si="5"/>
        <v>0</v>
      </c>
      <c r="T12" s="336"/>
    </row>
    <row r="13" spans="1:20" ht="20.100000000000001" customHeight="1" x14ac:dyDescent="0.25">
      <c r="A13" s="72">
        <v>1079</v>
      </c>
      <c r="B13" s="118"/>
      <c r="C13" s="181" t="s">
        <v>1507</v>
      </c>
      <c r="D13" s="234">
        <v>0</v>
      </c>
      <c r="E13" s="234">
        <v>0</v>
      </c>
      <c r="F13" s="234">
        <v>0</v>
      </c>
      <c r="G13" s="234">
        <v>0</v>
      </c>
      <c r="H13" s="458">
        <f t="shared" si="1"/>
        <v>0</v>
      </c>
      <c r="I13" s="234">
        <v>0</v>
      </c>
      <c r="J13" s="234">
        <v>0</v>
      </c>
      <c r="K13" s="234">
        <v>0</v>
      </c>
      <c r="L13" s="234">
        <v>0</v>
      </c>
      <c r="M13" s="458">
        <f t="shared" si="3"/>
        <v>0</v>
      </c>
      <c r="N13" s="251">
        <v>0</v>
      </c>
      <c r="O13" s="251">
        <v>0</v>
      </c>
      <c r="P13" s="251">
        <v>0</v>
      </c>
      <c r="Q13" s="251">
        <v>0</v>
      </c>
      <c r="R13" s="458">
        <f t="shared" si="4"/>
        <v>0</v>
      </c>
      <c r="S13" s="458">
        <f t="shared" si="5"/>
        <v>0</v>
      </c>
      <c r="T13" s="336"/>
    </row>
    <row r="14" spans="1:20" ht="20.100000000000001" customHeight="1" x14ac:dyDescent="0.25">
      <c r="A14" s="118">
        <v>1080</v>
      </c>
      <c r="B14" s="118"/>
      <c r="C14" s="181" t="s">
        <v>1508</v>
      </c>
      <c r="D14" s="234">
        <v>0</v>
      </c>
      <c r="E14" s="234">
        <v>0</v>
      </c>
      <c r="F14" s="234">
        <v>0</v>
      </c>
      <c r="G14" s="234">
        <v>0</v>
      </c>
      <c r="H14" s="458">
        <f t="shared" si="1"/>
        <v>0</v>
      </c>
      <c r="I14" s="234">
        <v>0</v>
      </c>
      <c r="J14" s="234">
        <v>0</v>
      </c>
      <c r="K14" s="234">
        <v>0</v>
      </c>
      <c r="L14" s="234">
        <v>0</v>
      </c>
      <c r="M14" s="458">
        <f t="shared" si="3"/>
        <v>0</v>
      </c>
      <c r="N14" s="251">
        <v>0</v>
      </c>
      <c r="O14" s="251">
        <v>0</v>
      </c>
      <c r="P14" s="251">
        <v>0</v>
      </c>
      <c r="Q14" s="251">
        <v>0</v>
      </c>
      <c r="R14" s="458">
        <f t="shared" si="4"/>
        <v>0</v>
      </c>
      <c r="S14" s="458">
        <f t="shared" si="5"/>
        <v>0</v>
      </c>
      <c r="T14" s="336"/>
    </row>
    <row r="15" spans="1:20" ht="20.100000000000001" customHeight="1" x14ac:dyDescent="0.25">
      <c r="A15" s="72">
        <v>1081</v>
      </c>
      <c r="B15" s="118"/>
      <c r="C15" s="181" t="s">
        <v>1509</v>
      </c>
      <c r="D15" s="234">
        <v>0</v>
      </c>
      <c r="E15" s="234">
        <v>0</v>
      </c>
      <c r="F15" s="234">
        <v>0</v>
      </c>
      <c r="G15" s="234">
        <v>0</v>
      </c>
      <c r="H15" s="458">
        <f t="shared" si="1"/>
        <v>0</v>
      </c>
      <c r="I15" s="234">
        <v>0</v>
      </c>
      <c r="J15" s="234">
        <v>0</v>
      </c>
      <c r="K15" s="234">
        <v>0</v>
      </c>
      <c r="L15" s="234">
        <v>0</v>
      </c>
      <c r="M15" s="458">
        <f t="shared" si="3"/>
        <v>0</v>
      </c>
      <c r="N15" s="234">
        <v>0</v>
      </c>
      <c r="O15" s="234">
        <v>0</v>
      </c>
      <c r="P15" s="234">
        <v>0</v>
      </c>
      <c r="Q15" s="234">
        <v>0</v>
      </c>
      <c r="R15" s="458">
        <f t="shared" si="4"/>
        <v>0</v>
      </c>
      <c r="S15" s="458">
        <f t="shared" si="5"/>
        <v>0</v>
      </c>
      <c r="T15" s="336"/>
    </row>
    <row r="16" spans="1:20" ht="20.100000000000001" customHeight="1" x14ac:dyDescent="0.25">
      <c r="A16" s="118">
        <v>1082</v>
      </c>
      <c r="B16" s="118">
        <v>3</v>
      </c>
      <c r="C16" s="11" t="s">
        <v>123</v>
      </c>
      <c r="D16" s="234">
        <v>0</v>
      </c>
      <c r="E16" s="234">
        <v>0</v>
      </c>
      <c r="F16" s="234">
        <v>0</v>
      </c>
      <c r="G16" s="234">
        <v>0</v>
      </c>
      <c r="H16" s="458">
        <f t="shared" si="1"/>
        <v>0</v>
      </c>
      <c r="I16" s="235">
        <v>0</v>
      </c>
      <c r="J16" s="234">
        <v>0</v>
      </c>
      <c r="K16" s="234">
        <v>0</v>
      </c>
      <c r="L16" s="234">
        <v>0</v>
      </c>
      <c r="M16" s="458">
        <f t="shared" si="3"/>
        <v>0</v>
      </c>
      <c r="N16" s="251">
        <v>0</v>
      </c>
      <c r="O16" s="251">
        <v>0</v>
      </c>
      <c r="P16" s="251">
        <v>0</v>
      </c>
      <c r="Q16" s="251">
        <v>0</v>
      </c>
      <c r="R16" s="458">
        <f t="shared" si="4"/>
        <v>0</v>
      </c>
      <c r="S16" s="458">
        <f t="shared" si="5"/>
        <v>0</v>
      </c>
      <c r="T16" s="336"/>
    </row>
    <row r="17" spans="1:20" ht="20.100000000000001" customHeight="1" x14ac:dyDescent="0.25">
      <c r="A17" s="72">
        <v>1083</v>
      </c>
      <c r="B17" s="118">
        <v>4</v>
      </c>
      <c r="C17" s="11" t="s">
        <v>116</v>
      </c>
      <c r="D17" s="234">
        <v>0</v>
      </c>
      <c r="E17" s="234">
        <v>0</v>
      </c>
      <c r="F17" s="234">
        <v>0</v>
      </c>
      <c r="G17" s="234">
        <v>0</v>
      </c>
      <c r="H17" s="458">
        <f t="shared" si="1"/>
        <v>0</v>
      </c>
      <c r="I17" s="234">
        <v>0</v>
      </c>
      <c r="J17" s="234">
        <v>0</v>
      </c>
      <c r="K17" s="234">
        <v>0</v>
      </c>
      <c r="L17" s="234">
        <v>0</v>
      </c>
      <c r="M17" s="458">
        <f t="shared" si="3"/>
        <v>0</v>
      </c>
      <c r="N17" s="251">
        <v>0</v>
      </c>
      <c r="O17" s="251">
        <v>0</v>
      </c>
      <c r="P17" s="251">
        <v>0</v>
      </c>
      <c r="Q17" s="251">
        <v>0</v>
      </c>
      <c r="R17" s="458">
        <f t="shared" si="4"/>
        <v>0</v>
      </c>
      <c r="S17" s="458">
        <f t="shared" si="5"/>
        <v>0</v>
      </c>
      <c r="T17" s="336"/>
    </row>
    <row r="18" spans="1:20" ht="20.100000000000001" customHeight="1" x14ac:dyDescent="0.25">
      <c r="A18" s="118">
        <v>1084</v>
      </c>
      <c r="B18" s="118">
        <v>5</v>
      </c>
      <c r="C18" s="529" t="s">
        <v>127</v>
      </c>
      <c r="D18" s="234">
        <v>0</v>
      </c>
      <c r="E18" s="234">
        <v>0</v>
      </c>
      <c r="F18" s="234">
        <v>0</v>
      </c>
      <c r="G18" s="234">
        <v>0</v>
      </c>
      <c r="H18" s="458">
        <f t="shared" si="1"/>
        <v>0</v>
      </c>
      <c r="I18" s="234">
        <v>0</v>
      </c>
      <c r="J18" s="234">
        <v>0</v>
      </c>
      <c r="K18" s="234">
        <v>0</v>
      </c>
      <c r="L18" s="234">
        <v>0</v>
      </c>
      <c r="M18" s="458">
        <f t="shared" si="3"/>
        <v>0</v>
      </c>
      <c r="N18" s="251">
        <v>0</v>
      </c>
      <c r="O18" s="251">
        <v>0</v>
      </c>
      <c r="P18" s="251">
        <v>0</v>
      </c>
      <c r="Q18" s="251">
        <v>0</v>
      </c>
      <c r="R18" s="458">
        <f t="shared" si="4"/>
        <v>0</v>
      </c>
      <c r="S18" s="458">
        <f t="shared" si="5"/>
        <v>0</v>
      </c>
      <c r="T18" s="336"/>
    </row>
    <row r="19" spans="1:20" ht="20.100000000000001" customHeight="1" x14ac:dyDescent="0.25">
      <c r="A19" s="72">
        <v>1085</v>
      </c>
      <c r="B19" s="118">
        <v>6</v>
      </c>
      <c r="C19" s="434" t="s">
        <v>1556</v>
      </c>
      <c r="D19" s="457">
        <f>SUM(D20:D24)</f>
        <v>0</v>
      </c>
      <c r="E19" s="457">
        <f t="shared" ref="E19:G19" si="6">SUM(E20:E24)</f>
        <v>0</v>
      </c>
      <c r="F19" s="457">
        <f t="shared" si="6"/>
        <v>0</v>
      </c>
      <c r="G19" s="457">
        <f t="shared" si="6"/>
        <v>0</v>
      </c>
      <c r="H19" s="458">
        <f>SUM(D19:G19)</f>
        <v>0</v>
      </c>
      <c r="I19" s="457">
        <f t="shared" ref="I19:Q19" si="7">SUM(I20:I24)</f>
        <v>0</v>
      </c>
      <c r="J19" s="457">
        <f t="shared" si="7"/>
        <v>0</v>
      </c>
      <c r="K19" s="457">
        <f t="shared" si="7"/>
        <v>0</v>
      </c>
      <c r="L19" s="457">
        <f t="shared" si="7"/>
        <v>0</v>
      </c>
      <c r="M19" s="458">
        <f t="shared" si="3"/>
        <v>0</v>
      </c>
      <c r="N19" s="457">
        <f t="shared" si="7"/>
        <v>0</v>
      </c>
      <c r="O19" s="457">
        <f t="shared" si="7"/>
        <v>0</v>
      </c>
      <c r="P19" s="457">
        <f t="shared" si="7"/>
        <v>0</v>
      </c>
      <c r="Q19" s="457">
        <f t="shared" si="7"/>
        <v>0</v>
      </c>
      <c r="R19" s="458">
        <f t="shared" si="4"/>
        <v>0</v>
      </c>
      <c r="S19" s="458">
        <f t="shared" si="5"/>
        <v>0</v>
      </c>
      <c r="T19" s="336"/>
    </row>
    <row r="20" spans="1:20" ht="20.100000000000001" customHeight="1" x14ac:dyDescent="0.25">
      <c r="A20" s="118">
        <v>1086</v>
      </c>
      <c r="B20" s="118"/>
      <c r="C20" s="181" t="s">
        <v>1557</v>
      </c>
      <c r="D20" s="234">
        <v>0</v>
      </c>
      <c r="E20" s="234">
        <v>0</v>
      </c>
      <c r="F20" s="234">
        <v>0</v>
      </c>
      <c r="G20" s="234">
        <v>0</v>
      </c>
      <c r="H20" s="458">
        <f t="shared" si="1"/>
        <v>0</v>
      </c>
      <c r="I20" s="234">
        <v>0</v>
      </c>
      <c r="J20" s="234">
        <v>0</v>
      </c>
      <c r="K20" s="234">
        <v>0</v>
      </c>
      <c r="L20" s="234">
        <v>0</v>
      </c>
      <c r="M20" s="458">
        <f t="shared" si="3"/>
        <v>0</v>
      </c>
      <c r="N20" s="251">
        <v>0</v>
      </c>
      <c r="O20" s="251">
        <v>0</v>
      </c>
      <c r="P20" s="251">
        <v>0</v>
      </c>
      <c r="Q20" s="251">
        <v>0</v>
      </c>
      <c r="R20" s="458">
        <f t="shared" si="4"/>
        <v>0</v>
      </c>
      <c r="S20" s="458">
        <f t="shared" si="5"/>
        <v>0</v>
      </c>
      <c r="T20" s="336"/>
    </row>
    <row r="21" spans="1:20" ht="20.100000000000001" customHeight="1" x14ac:dyDescent="0.25">
      <c r="A21" s="72">
        <v>1087</v>
      </c>
      <c r="B21" s="118"/>
      <c r="C21" s="181" t="s">
        <v>1558</v>
      </c>
      <c r="D21" s="234">
        <v>0</v>
      </c>
      <c r="E21" s="234">
        <v>0</v>
      </c>
      <c r="F21" s="234">
        <v>0</v>
      </c>
      <c r="G21" s="234">
        <v>0</v>
      </c>
      <c r="H21" s="458">
        <f t="shared" si="1"/>
        <v>0</v>
      </c>
      <c r="I21" s="234">
        <v>0</v>
      </c>
      <c r="J21" s="234">
        <v>0</v>
      </c>
      <c r="K21" s="234">
        <v>0</v>
      </c>
      <c r="L21" s="234">
        <v>0</v>
      </c>
      <c r="M21" s="458">
        <f t="shared" si="3"/>
        <v>0</v>
      </c>
      <c r="N21" s="251">
        <v>0</v>
      </c>
      <c r="O21" s="251">
        <v>0</v>
      </c>
      <c r="P21" s="251">
        <v>0</v>
      </c>
      <c r="Q21" s="251">
        <v>0</v>
      </c>
      <c r="R21" s="458">
        <f t="shared" si="4"/>
        <v>0</v>
      </c>
      <c r="S21" s="458">
        <f t="shared" si="5"/>
        <v>0</v>
      </c>
      <c r="T21" s="336"/>
    </row>
    <row r="22" spans="1:20" ht="20.100000000000001" customHeight="1" x14ac:dyDescent="0.25">
      <c r="A22" s="118">
        <v>1088</v>
      </c>
      <c r="B22" s="118"/>
      <c r="C22" s="181" t="s">
        <v>1559</v>
      </c>
      <c r="D22" s="234">
        <v>0</v>
      </c>
      <c r="E22" s="234">
        <v>0</v>
      </c>
      <c r="F22" s="234">
        <v>0</v>
      </c>
      <c r="G22" s="234">
        <v>0</v>
      </c>
      <c r="H22" s="458">
        <f t="shared" si="1"/>
        <v>0</v>
      </c>
      <c r="I22" s="234">
        <v>0</v>
      </c>
      <c r="J22" s="234">
        <v>0</v>
      </c>
      <c r="K22" s="234">
        <v>0</v>
      </c>
      <c r="L22" s="234">
        <v>0</v>
      </c>
      <c r="M22" s="458">
        <f t="shared" si="3"/>
        <v>0</v>
      </c>
      <c r="N22" s="251">
        <v>0</v>
      </c>
      <c r="O22" s="251">
        <v>0</v>
      </c>
      <c r="P22" s="251">
        <v>0</v>
      </c>
      <c r="Q22" s="251">
        <v>0</v>
      </c>
      <c r="R22" s="458">
        <f t="shared" si="4"/>
        <v>0</v>
      </c>
      <c r="S22" s="458">
        <f t="shared" si="5"/>
        <v>0</v>
      </c>
      <c r="T22" s="336"/>
    </row>
    <row r="23" spans="1:20" ht="20.100000000000001" customHeight="1" x14ac:dyDescent="0.25">
      <c r="A23" s="72">
        <v>1089</v>
      </c>
      <c r="B23" s="118"/>
      <c r="C23" s="181" t="s">
        <v>1560</v>
      </c>
      <c r="D23" s="234">
        <v>0</v>
      </c>
      <c r="E23" s="234">
        <v>0</v>
      </c>
      <c r="F23" s="234">
        <v>0</v>
      </c>
      <c r="G23" s="234">
        <v>0</v>
      </c>
      <c r="H23" s="458">
        <f t="shared" si="1"/>
        <v>0</v>
      </c>
      <c r="I23" s="234">
        <v>0</v>
      </c>
      <c r="J23" s="234">
        <v>0</v>
      </c>
      <c r="K23" s="234">
        <v>0</v>
      </c>
      <c r="L23" s="234">
        <v>0</v>
      </c>
      <c r="M23" s="458">
        <f t="shared" si="3"/>
        <v>0</v>
      </c>
      <c r="N23" s="251">
        <v>0</v>
      </c>
      <c r="O23" s="251">
        <v>0</v>
      </c>
      <c r="P23" s="251">
        <v>0</v>
      </c>
      <c r="Q23" s="251">
        <v>0</v>
      </c>
      <c r="R23" s="458">
        <f t="shared" si="4"/>
        <v>0</v>
      </c>
      <c r="S23" s="458">
        <f t="shared" si="5"/>
        <v>0</v>
      </c>
      <c r="T23" s="336"/>
    </row>
    <row r="24" spans="1:20" ht="20.100000000000001" customHeight="1" x14ac:dyDescent="0.25">
      <c r="A24" s="118">
        <v>1090</v>
      </c>
      <c r="B24" s="118"/>
      <c r="C24" s="181" t="s">
        <v>1561</v>
      </c>
      <c r="D24" s="234">
        <v>0</v>
      </c>
      <c r="E24" s="234">
        <v>0</v>
      </c>
      <c r="F24" s="234">
        <v>0</v>
      </c>
      <c r="G24" s="234">
        <v>0</v>
      </c>
      <c r="H24" s="458">
        <f t="shared" si="1"/>
        <v>0</v>
      </c>
      <c r="I24" s="234">
        <v>0</v>
      </c>
      <c r="J24" s="234">
        <v>0</v>
      </c>
      <c r="K24" s="234">
        <v>0</v>
      </c>
      <c r="L24" s="234">
        <v>0</v>
      </c>
      <c r="M24" s="458">
        <f t="shared" si="3"/>
        <v>0</v>
      </c>
      <c r="N24" s="251">
        <v>0</v>
      </c>
      <c r="O24" s="251">
        <v>0</v>
      </c>
      <c r="P24" s="251">
        <v>0</v>
      </c>
      <c r="Q24" s="251">
        <v>0</v>
      </c>
      <c r="R24" s="458">
        <f t="shared" si="4"/>
        <v>0</v>
      </c>
      <c r="S24" s="458">
        <f t="shared" si="5"/>
        <v>0</v>
      </c>
      <c r="T24" s="336"/>
    </row>
    <row r="25" spans="1:20" ht="20.100000000000001" customHeight="1" x14ac:dyDescent="0.25">
      <c r="A25" s="72">
        <v>1091</v>
      </c>
      <c r="B25" s="118">
        <v>7</v>
      </c>
      <c r="C25" s="11" t="s">
        <v>128</v>
      </c>
      <c r="D25" s="265">
        <v>0</v>
      </c>
      <c r="E25" s="265">
        <v>0</v>
      </c>
      <c r="F25" s="265">
        <v>0</v>
      </c>
      <c r="G25" s="265">
        <v>0</v>
      </c>
      <c r="H25" s="458">
        <f t="shared" si="1"/>
        <v>0</v>
      </c>
      <c r="I25" s="265">
        <v>0</v>
      </c>
      <c r="J25" s="265">
        <v>0</v>
      </c>
      <c r="K25" s="265">
        <v>0</v>
      </c>
      <c r="L25" s="265">
        <v>0</v>
      </c>
      <c r="M25" s="458">
        <f t="shared" si="3"/>
        <v>0</v>
      </c>
      <c r="N25" s="251">
        <v>0</v>
      </c>
      <c r="O25" s="251">
        <v>0</v>
      </c>
      <c r="P25" s="251">
        <v>0</v>
      </c>
      <c r="Q25" s="251">
        <v>0</v>
      </c>
      <c r="R25" s="458">
        <f t="shared" si="4"/>
        <v>0</v>
      </c>
      <c r="S25" s="458">
        <f t="shared" si="5"/>
        <v>0</v>
      </c>
      <c r="T25" s="336"/>
    </row>
    <row r="26" spans="1:20" ht="20.100000000000001" customHeight="1" x14ac:dyDescent="0.25">
      <c r="A26" s="118">
        <v>1092</v>
      </c>
      <c r="B26" s="118">
        <v>8</v>
      </c>
      <c r="C26" s="11" t="s">
        <v>118</v>
      </c>
      <c r="D26" s="265">
        <v>0</v>
      </c>
      <c r="E26" s="265">
        <v>0</v>
      </c>
      <c r="F26" s="265">
        <v>0</v>
      </c>
      <c r="G26" s="265">
        <v>0</v>
      </c>
      <c r="H26" s="458">
        <f t="shared" si="1"/>
        <v>0</v>
      </c>
      <c r="I26" s="265">
        <v>0</v>
      </c>
      <c r="J26" s="265">
        <v>0</v>
      </c>
      <c r="K26" s="265">
        <v>0</v>
      </c>
      <c r="L26" s="265">
        <v>0</v>
      </c>
      <c r="M26" s="458">
        <f t="shared" si="3"/>
        <v>0</v>
      </c>
      <c r="N26" s="251">
        <v>0</v>
      </c>
      <c r="O26" s="251">
        <v>0</v>
      </c>
      <c r="P26" s="251">
        <v>0</v>
      </c>
      <c r="Q26" s="251">
        <v>0</v>
      </c>
      <c r="R26" s="458">
        <f t="shared" si="4"/>
        <v>0</v>
      </c>
      <c r="S26" s="458">
        <f t="shared" si="5"/>
        <v>0</v>
      </c>
      <c r="T26" s="336"/>
    </row>
    <row r="27" spans="1:20" ht="20.100000000000001" customHeight="1" x14ac:dyDescent="0.25">
      <c r="A27" s="72">
        <v>1093</v>
      </c>
      <c r="B27" s="118">
        <v>9</v>
      </c>
      <c r="C27" s="11" t="s">
        <v>49</v>
      </c>
      <c r="D27" s="265">
        <v>0</v>
      </c>
      <c r="E27" s="265">
        <v>0</v>
      </c>
      <c r="F27" s="265">
        <v>0</v>
      </c>
      <c r="G27" s="265">
        <v>0</v>
      </c>
      <c r="H27" s="458">
        <f t="shared" si="1"/>
        <v>0</v>
      </c>
      <c r="I27" s="265">
        <v>0</v>
      </c>
      <c r="J27" s="265">
        <v>0</v>
      </c>
      <c r="K27" s="265">
        <v>0</v>
      </c>
      <c r="L27" s="265">
        <v>0</v>
      </c>
      <c r="M27" s="458">
        <f t="shared" si="3"/>
        <v>0</v>
      </c>
      <c r="N27" s="265">
        <v>0</v>
      </c>
      <c r="O27" s="265">
        <v>0</v>
      </c>
      <c r="P27" s="265">
        <v>0</v>
      </c>
      <c r="Q27" s="265">
        <v>0</v>
      </c>
      <c r="R27" s="458">
        <f t="shared" si="4"/>
        <v>0</v>
      </c>
      <c r="S27" s="458">
        <f t="shared" si="5"/>
        <v>0</v>
      </c>
      <c r="T27" s="336"/>
    </row>
    <row r="28" spans="1:20" ht="20.100000000000001" customHeight="1" x14ac:dyDescent="0.25">
      <c r="A28" s="118">
        <v>1094</v>
      </c>
      <c r="B28" s="118">
        <v>10</v>
      </c>
      <c r="C28" s="11" t="s">
        <v>125</v>
      </c>
      <c r="D28" s="265">
        <v>0</v>
      </c>
      <c r="E28" s="265">
        <v>0</v>
      </c>
      <c r="F28" s="265">
        <v>0</v>
      </c>
      <c r="G28" s="265">
        <v>0</v>
      </c>
      <c r="H28" s="458">
        <f t="shared" si="1"/>
        <v>0</v>
      </c>
      <c r="I28" s="265">
        <v>0</v>
      </c>
      <c r="J28" s="265">
        <v>0</v>
      </c>
      <c r="K28" s="265">
        <v>0</v>
      </c>
      <c r="L28" s="265">
        <v>0</v>
      </c>
      <c r="M28" s="458">
        <f t="shared" si="3"/>
        <v>0</v>
      </c>
      <c r="N28" s="265">
        <v>0</v>
      </c>
      <c r="O28" s="265">
        <v>0</v>
      </c>
      <c r="P28" s="265">
        <v>0</v>
      </c>
      <c r="Q28" s="265">
        <v>0</v>
      </c>
      <c r="R28" s="458">
        <f t="shared" si="4"/>
        <v>0</v>
      </c>
      <c r="S28" s="458">
        <f>SUM(H28+M28+R28)</f>
        <v>0</v>
      </c>
      <c r="T28" s="336"/>
    </row>
    <row r="29" spans="1:20" ht="20.100000000000001" customHeight="1" x14ac:dyDescent="0.25">
      <c r="A29" s="72">
        <v>1110</v>
      </c>
      <c r="B29" s="254">
        <v>11</v>
      </c>
      <c r="C29" s="15" t="s">
        <v>585</v>
      </c>
      <c r="D29" s="441">
        <f>SUM(D9:D10,D16:D19,D25:D28)</f>
        <v>0</v>
      </c>
      <c r="E29" s="441">
        <f t="shared" ref="E29:Q29" si="8">SUM(E9:E10,E16:E19,E25:E28)</f>
        <v>0</v>
      </c>
      <c r="F29" s="441">
        <f t="shared" si="8"/>
        <v>0</v>
      </c>
      <c r="G29" s="441">
        <f t="shared" si="8"/>
        <v>0</v>
      </c>
      <c r="H29" s="441">
        <f>SUM(D29:G29)</f>
        <v>0</v>
      </c>
      <c r="I29" s="441">
        <f t="shared" si="8"/>
        <v>0</v>
      </c>
      <c r="J29" s="441">
        <f t="shared" si="8"/>
        <v>0</v>
      </c>
      <c r="K29" s="441">
        <f t="shared" si="8"/>
        <v>0</v>
      </c>
      <c r="L29" s="441">
        <f t="shared" si="8"/>
        <v>0</v>
      </c>
      <c r="M29" s="441">
        <f>SUM(I29:L29)</f>
        <v>0</v>
      </c>
      <c r="N29" s="441">
        <f t="shared" si="8"/>
        <v>0</v>
      </c>
      <c r="O29" s="441">
        <f t="shared" si="8"/>
        <v>0</v>
      </c>
      <c r="P29" s="441">
        <f t="shared" si="8"/>
        <v>0</v>
      </c>
      <c r="Q29" s="441">
        <f t="shared" si="8"/>
        <v>0</v>
      </c>
      <c r="R29" s="441">
        <f>SUM(N29:Q29)</f>
        <v>0</v>
      </c>
      <c r="S29" s="441">
        <f>SUM(H29+M29+R29)</f>
        <v>0</v>
      </c>
      <c r="T29" s="336"/>
    </row>
    <row r="30" spans="1:20" s="59" customFormat="1" ht="23.25" customHeight="1" x14ac:dyDescent="0.25">
      <c r="A30" s="857" t="s">
        <v>671</v>
      </c>
      <c r="B30" s="858"/>
      <c r="C30" s="859"/>
      <c r="D30" s="304">
        <f>'P-XIV'!F38</f>
        <v>65</v>
      </c>
      <c r="E30" s="304">
        <f>'P-XIV'!G38</f>
        <v>79</v>
      </c>
      <c r="F30" s="304">
        <f>'P-XIV'!H38</f>
        <v>81</v>
      </c>
      <c r="G30" s="304">
        <f>'P-XIV'!I38</f>
        <v>16</v>
      </c>
      <c r="H30" s="400">
        <f>'P-XIV'!J38</f>
        <v>249</v>
      </c>
      <c r="I30" s="304">
        <f>'P-XIV'!M38</f>
        <v>19</v>
      </c>
      <c r="J30" s="304">
        <f>'P-XIV'!N38</f>
        <v>21</v>
      </c>
      <c r="K30" s="304">
        <f>'P-XIV'!O38</f>
        <v>11</v>
      </c>
      <c r="L30" s="304">
        <f>'P-XIV'!P38</f>
        <v>16</v>
      </c>
      <c r="M30" s="400">
        <f>'P-XIV'!Q38</f>
        <v>72</v>
      </c>
      <c r="N30" s="304">
        <f>'P-XIV'!T38</f>
        <v>0</v>
      </c>
      <c r="O30" s="304">
        <f>'P-XIV'!U38</f>
        <v>0</v>
      </c>
      <c r="P30" s="304">
        <f>'P-XIV'!V38</f>
        <v>0</v>
      </c>
      <c r="Q30" s="304">
        <f>'P-XIV'!W38</f>
        <v>0</v>
      </c>
      <c r="R30" s="400">
        <f>'P-XIV'!X38</f>
        <v>0</v>
      </c>
      <c r="S30" s="400">
        <f>'P-XIV'!Y38</f>
        <v>321</v>
      </c>
    </row>
    <row r="31" spans="1:20" ht="32.1" customHeight="1" x14ac:dyDescent="0.25">
      <c r="A31" s="695" t="s">
        <v>645</v>
      </c>
      <c r="B31" s="695"/>
      <c r="C31" s="695"/>
      <c r="D31" s="399" t="str">
        <f>IF(D29&lt;='P-XIV'!F38,"",FALSE)</f>
        <v/>
      </c>
      <c r="E31" s="399" t="str">
        <f>IF(E29&lt;='P-XIV'!G38,"",FALSE)</f>
        <v/>
      </c>
      <c r="F31" s="399" t="str">
        <f>IF(F29&lt;='P-XIV'!H38,"",FALSE)</f>
        <v/>
      </c>
      <c r="G31" s="399" t="str">
        <f>IF(G29&lt;='P-XIV'!I38,"",FALSE)</f>
        <v/>
      </c>
      <c r="H31" s="399" t="str">
        <f>IF(H29&lt;='P-XIV'!J38,"",FALSE)</f>
        <v/>
      </c>
      <c r="I31" s="399" t="str">
        <f>IF(I29&lt;='P-XIV'!M38,"",FALSE)</f>
        <v/>
      </c>
      <c r="J31" s="399" t="str">
        <f>IF(J29&lt;='P-XIV'!N38,"",FALSE)</f>
        <v/>
      </c>
      <c r="K31" s="399" t="str">
        <f>IF(K29&lt;='P-XIV'!O38,"",FALSE)</f>
        <v/>
      </c>
      <c r="L31" s="399" t="str">
        <f>IF(L29&lt;='P-XIV'!P38,"",FALSE)</f>
        <v/>
      </c>
      <c r="M31" s="399" t="str">
        <f>IF(M29&lt;='P-XIV'!Q38,"",FALSE)</f>
        <v/>
      </c>
      <c r="N31" s="399" t="str">
        <f>IF(N29&lt;='P-XIV'!T38,"",FALSE)</f>
        <v/>
      </c>
      <c r="O31" s="399" t="str">
        <f>IF(O29&lt;='P-XIV'!U38,"",FALSE)</f>
        <v/>
      </c>
      <c r="P31" s="399" t="str">
        <f>IF(P29&lt;='P-XIV'!V38,"",FALSE)</f>
        <v/>
      </c>
      <c r="Q31" s="399" t="str">
        <f>IF(Q29&lt;='P-XIV'!W38,"",FALSE)</f>
        <v/>
      </c>
      <c r="R31" s="399" t="str">
        <f>IF(R29&lt;='P-XIV'!X38,"",FALSE)</f>
        <v/>
      </c>
      <c r="S31" s="399" t="str">
        <f>IF(S29&lt;='P-XIV'!Y38,"",FALSE)</f>
        <v/>
      </c>
    </row>
    <row r="32" spans="1:20" ht="24.95" customHeight="1" x14ac:dyDescent="0.25">
      <c r="A32" s="595" t="s">
        <v>1584</v>
      </c>
      <c r="B32" s="596"/>
      <c r="C32" s="597"/>
      <c r="D32" s="463" t="str">
        <f>IF(D10&gt;0,IF((D15/D10*100)&gt;10,"ABVAR",""),"")</f>
        <v/>
      </c>
      <c r="E32" s="463" t="str">
        <f t="shared" ref="E32:S32" si="9">IF(E10&gt;0,IF((E15/E10*100)&gt;10,"ABVAR",""),"")</f>
        <v/>
      </c>
      <c r="F32" s="463" t="str">
        <f t="shared" si="9"/>
        <v/>
      </c>
      <c r="G32" s="463" t="str">
        <f t="shared" si="9"/>
        <v/>
      </c>
      <c r="H32" s="463" t="str">
        <f t="shared" si="9"/>
        <v/>
      </c>
      <c r="I32" s="463" t="str">
        <f t="shared" si="9"/>
        <v/>
      </c>
      <c r="J32" s="463" t="str">
        <f t="shared" si="9"/>
        <v/>
      </c>
      <c r="K32" s="463" t="str">
        <f t="shared" si="9"/>
        <v/>
      </c>
      <c r="L32" s="463" t="str">
        <f t="shared" si="9"/>
        <v/>
      </c>
      <c r="M32" s="463" t="str">
        <f t="shared" si="9"/>
        <v/>
      </c>
      <c r="N32" s="463" t="str">
        <f t="shared" si="9"/>
        <v/>
      </c>
      <c r="O32" s="463" t="str">
        <f t="shared" si="9"/>
        <v/>
      </c>
      <c r="P32" s="463" t="str">
        <f t="shared" si="9"/>
        <v/>
      </c>
      <c r="Q32" s="463" t="str">
        <f t="shared" si="9"/>
        <v/>
      </c>
      <c r="R32" s="463" t="str">
        <f t="shared" si="9"/>
        <v/>
      </c>
      <c r="S32" s="463" t="str">
        <f t="shared" si="9"/>
        <v/>
      </c>
    </row>
    <row r="33" spans="1:19" ht="30" customHeight="1" x14ac:dyDescent="0.25">
      <c r="A33" s="595" t="s">
        <v>1601</v>
      </c>
      <c r="B33" s="596"/>
      <c r="C33" s="597"/>
      <c r="D33" s="463" t="str">
        <f>IF(D19&gt;0,IF((D24/D19*100)&gt;10,"ABVAR",""),"")</f>
        <v/>
      </c>
      <c r="E33" s="463" t="str">
        <f t="shared" ref="E33:S33" si="10">IF(E19&gt;0,IF((E24/E19*100)&gt;10,"ABVAR",""),"")</f>
        <v/>
      </c>
      <c r="F33" s="463" t="str">
        <f t="shared" si="10"/>
        <v/>
      </c>
      <c r="G33" s="463" t="str">
        <f t="shared" si="10"/>
        <v/>
      </c>
      <c r="H33" s="463" t="str">
        <f t="shared" si="10"/>
        <v/>
      </c>
      <c r="I33" s="463" t="str">
        <f t="shared" si="10"/>
        <v/>
      </c>
      <c r="J33" s="463" t="str">
        <f t="shared" si="10"/>
        <v/>
      </c>
      <c r="K33" s="463" t="str">
        <f t="shared" si="10"/>
        <v/>
      </c>
      <c r="L33" s="463" t="str">
        <f t="shared" si="10"/>
        <v/>
      </c>
      <c r="M33" s="463" t="str">
        <f t="shared" si="10"/>
        <v/>
      </c>
      <c r="N33" s="463" t="str">
        <f t="shared" si="10"/>
        <v/>
      </c>
      <c r="O33" s="463" t="str">
        <f t="shared" si="10"/>
        <v/>
      </c>
      <c r="P33" s="463" t="str">
        <f t="shared" si="10"/>
        <v/>
      </c>
      <c r="Q33" s="463" t="str">
        <f t="shared" si="10"/>
        <v/>
      </c>
      <c r="R33" s="463" t="str">
        <f t="shared" si="10"/>
        <v/>
      </c>
      <c r="S33" s="463" t="str">
        <f t="shared" si="10"/>
        <v/>
      </c>
    </row>
    <row r="34" spans="1:19" ht="24.95" customHeight="1" x14ac:dyDescent="0.25">
      <c r="A34" s="595" t="s">
        <v>1602</v>
      </c>
      <c r="B34" s="596"/>
      <c r="C34" s="597"/>
      <c r="D34" s="463" t="str">
        <f>IF(D29&gt;0,IF((D27/D29*100)&gt;10,"ABVAR",""),"")</f>
        <v/>
      </c>
      <c r="E34" s="463" t="str">
        <f t="shared" ref="E34:S34" si="11">IF(E29&gt;0,IF((E27/E29*100)&gt;10,"ABVAR",""),"")</f>
        <v/>
      </c>
      <c r="F34" s="463" t="str">
        <f t="shared" si="11"/>
        <v/>
      </c>
      <c r="G34" s="463" t="str">
        <f t="shared" si="11"/>
        <v/>
      </c>
      <c r="H34" s="463" t="str">
        <f t="shared" si="11"/>
        <v/>
      </c>
      <c r="I34" s="463" t="str">
        <f t="shared" si="11"/>
        <v/>
      </c>
      <c r="J34" s="463" t="str">
        <f t="shared" si="11"/>
        <v/>
      </c>
      <c r="K34" s="463" t="str">
        <f t="shared" si="11"/>
        <v/>
      </c>
      <c r="L34" s="463" t="str">
        <f t="shared" si="11"/>
        <v/>
      </c>
      <c r="M34" s="463" t="str">
        <f t="shared" si="11"/>
        <v/>
      </c>
      <c r="N34" s="463" t="str">
        <f t="shared" si="11"/>
        <v/>
      </c>
      <c r="O34" s="463" t="str">
        <f t="shared" si="11"/>
        <v/>
      </c>
      <c r="P34" s="463" t="str">
        <f t="shared" si="11"/>
        <v/>
      </c>
      <c r="Q34" s="463" t="str">
        <f t="shared" si="11"/>
        <v/>
      </c>
      <c r="R34" s="463" t="str">
        <f t="shared" si="11"/>
        <v/>
      </c>
      <c r="S34" s="463" t="str">
        <f t="shared" si="11"/>
        <v/>
      </c>
    </row>
    <row r="35" spans="1:19" ht="24.95" customHeight="1" x14ac:dyDescent="0.25">
      <c r="A35" s="595" t="s">
        <v>1603</v>
      </c>
      <c r="B35" s="596"/>
      <c r="C35" s="597"/>
      <c r="D35" s="463" t="str">
        <f>IF(D29&gt;0,IF((D28/D29*100)&gt;10,"ABVAR",""),"")</f>
        <v/>
      </c>
      <c r="E35" s="463" t="str">
        <f t="shared" ref="E35:S35" si="12">IF(E29&gt;0,IF((E28/E29*100)&gt;10,"ABVAR",""),"")</f>
        <v/>
      </c>
      <c r="F35" s="463" t="str">
        <f t="shared" si="12"/>
        <v/>
      </c>
      <c r="G35" s="463" t="str">
        <f t="shared" si="12"/>
        <v/>
      </c>
      <c r="H35" s="463" t="str">
        <f t="shared" si="12"/>
        <v/>
      </c>
      <c r="I35" s="463" t="str">
        <f t="shared" si="12"/>
        <v/>
      </c>
      <c r="J35" s="463" t="str">
        <f t="shared" si="12"/>
        <v/>
      </c>
      <c r="K35" s="463" t="str">
        <f t="shared" si="12"/>
        <v/>
      </c>
      <c r="L35" s="463" t="str">
        <f t="shared" si="12"/>
        <v/>
      </c>
      <c r="M35" s="463" t="str">
        <f t="shared" si="12"/>
        <v/>
      </c>
      <c r="N35" s="463" t="str">
        <f t="shared" si="12"/>
        <v/>
      </c>
      <c r="O35" s="463" t="str">
        <f t="shared" si="12"/>
        <v/>
      </c>
      <c r="P35" s="463" t="str">
        <f t="shared" si="12"/>
        <v/>
      </c>
      <c r="Q35" s="463" t="str">
        <f t="shared" si="12"/>
        <v/>
      </c>
      <c r="R35" s="463" t="str">
        <f t="shared" si="12"/>
        <v/>
      </c>
      <c r="S35" s="463" t="str">
        <f t="shared" si="12"/>
        <v/>
      </c>
    </row>
    <row r="36" spans="1:19" x14ac:dyDescent="0.25">
      <c r="D36" s="856"/>
      <c r="E36" s="856"/>
      <c r="F36" s="856"/>
      <c r="G36" s="856"/>
      <c r="H36" s="856"/>
      <c r="I36" s="856"/>
      <c r="J36" s="856"/>
      <c r="K36" s="856"/>
      <c r="L36" s="856"/>
      <c r="M36" s="856"/>
      <c r="N36" s="273"/>
    </row>
    <row r="37" spans="1:19" x14ac:dyDescent="0.25">
      <c r="A37" s="528" t="s">
        <v>1665</v>
      </c>
    </row>
    <row r="200" spans="53:80" x14ac:dyDescent="0.25">
      <c r="BA200" s="141" t="str">
        <f>A1</f>
        <v>Goa, , ADSI-2021</v>
      </c>
      <c r="BB200" s="141"/>
    </row>
    <row r="201" spans="53:80" x14ac:dyDescent="0.25">
      <c r="BA201" s="141" t="str">
        <f>A2</f>
        <v>Errors</v>
      </c>
      <c r="BB201" s="309">
        <f>C2</f>
        <v>0</v>
      </c>
      <c r="BD201" s="472" t="str">
        <f>E2</f>
        <v>Abnormal Variations</v>
      </c>
      <c r="BE201" s="141">
        <f>F2</f>
        <v>0</v>
      </c>
    </row>
    <row r="202" spans="53:80" x14ac:dyDescent="0.25">
      <c r="BA202" s="141" t="str">
        <f>A3</f>
        <v>Proforma–XXII</v>
      </c>
      <c r="BB202" s="132"/>
      <c r="BC202" s="132"/>
      <c r="BD202" s="132"/>
      <c r="BE202" s="132"/>
      <c r="BF202" s="132"/>
      <c r="BG202" s="132"/>
      <c r="BH202" s="132"/>
      <c r="BI202" s="132"/>
      <c r="BJ202" s="132"/>
      <c r="BK202" s="132"/>
      <c r="BL202" s="165"/>
      <c r="BN202" s="132"/>
      <c r="BO202" s="132"/>
      <c r="BP202" s="132"/>
      <c r="BQ202" s="132"/>
      <c r="BR202" s="132"/>
      <c r="BS202" s="132"/>
      <c r="BT202" s="132"/>
      <c r="BU202" s="132"/>
      <c r="BV202" s="132"/>
      <c r="BW202" s="132"/>
      <c r="BX202" s="132"/>
      <c r="BY202" s="132"/>
      <c r="BZ202" s="132"/>
      <c r="CA202" s="132"/>
      <c r="CB202" s="132"/>
    </row>
    <row r="203" spans="53:80" x14ac:dyDescent="0.25">
      <c r="BA203" s="141" t="str">
        <f>A4</f>
        <v>Distribution of Suicides of Central Armed Police Force (CAPF) Personnel by Causes</v>
      </c>
      <c r="BB203" s="132"/>
      <c r="BC203" s="132"/>
      <c r="BD203" s="132"/>
      <c r="BE203" s="132"/>
      <c r="BF203" s="132"/>
      <c r="BG203" s="132"/>
      <c r="BH203" s="132"/>
      <c r="BI203" s="132"/>
      <c r="BJ203" s="132"/>
      <c r="BK203" s="132"/>
      <c r="BN203" s="132"/>
      <c r="BO203" s="132"/>
      <c r="BP203" s="132"/>
      <c r="BQ203" s="132"/>
      <c r="BR203" s="132"/>
      <c r="BS203" s="132"/>
      <c r="BT203" s="132"/>
      <c r="BU203" s="132"/>
      <c r="BV203" s="132"/>
      <c r="BW203" s="132"/>
      <c r="BX203" s="132"/>
      <c r="BY203" s="132"/>
      <c r="BZ203" s="132"/>
      <c r="CA203" s="132"/>
      <c r="CB203" s="132"/>
    </row>
    <row r="204" spans="53:80" x14ac:dyDescent="0.25">
      <c r="BA204" s="602" t="str">
        <f>B5</f>
        <v>Sl. No.</v>
      </c>
      <c r="BB204" s="602" t="str">
        <f>C5</f>
        <v>Causes</v>
      </c>
      <c r="BC204" s="619" t="str">
        <f>D5</f>
        <v>Number of Suicidal Deaths</v>
      </c>
      <c r="BD204" s="620"/>
      <c r="BE204" s="620"/>
      <c r="BF204" s="620"/>
      <c r="BG204" s="620"/>
      <c r="BH204" s="620"/>
      <c r="BI204" s="620"/>
      <c r="BJ204" s="620"/>
      <c r="BK204" s="620"/>
      <c r="BL204" s="620"/>
      <c r="BM204" s="620"/>
      <c r="BN204" s="620"/>
      <c r="BO204" s="620"/>
      <c r="BP204" s="620"/>
      <c r="BQ204" s="621"/>
      <c r="BR204" s="602" t="str">
        <f>S5</f>
        <v>Grand Total [col. (7)+(12)+(17)]</v>
      </c>
      <c r="BS204" s="132"/>
      <c r="BT204" s="132"/>
      <c r="BU204" s="132"/>
      <c r="BV204" s="132"/>
      <c r="BW204" s="132"/>
      <c r="BX204" s="132"/>
      <c r="BY204" s="132"/>
      <c r="BZ204" s="132"/>
      <c r="CA204" s="132"/>
      <c r="CB204" s="132"/>
    </row>
    <row r="205" spans="53:80" x14ac:dyDescent="0.25">
      <c r="BA205" s="603"/>
      <c r="BB205" s="603"/>
      <c r="BC205" s="619" t="str">
        <f t="shared" ref="BC205:BC228" si="13">D6</f>
        <v>Male</v>
      </c>
      <c r="BD205" s="620"/>
      <c r="BE205" s="620"/>
      <c r="BF205" s="620"/>
      <c r="BG205" s="621"/>
      <c r="BH205" s="619" t="str">
        <f t="shared" ref="BH205:BH234" si="14">I6</f>
        <v>Female</v>
      </c>
      <c r="BI205" s="620"/>
      <c r="BJ205" s="620"/>
      <c r="BK205" s="620"/>
      <c r="BL205" s="621"/>
      <c r="BM205" s="619" t="str">
        <f t="shared" ref="BM205:BM234" si="15">N6</f>
        <v>Transgender</v>
      </c>
      <c r="BN205" s="620"/>
      <c r="BO205" s="620"/>
      <c r="BP205" s="620"/>
      <c r="BQ205" s="621"/>
      <c r="BR205" s="603"/>
      <c r="BS205" s="132"/>
      <c r="BT205" s="132"/>
      <c r="BU205" s="132"/>
      <c r="BV205" s="132"/>
      <c r="BW205" s="132"/>
      <c r="BX205" s="132"/>
      <c r="BY205" s="132"/>
      <c r="BZ205" s="132"/>
      <c r="CA205" s="132"/>
      <c r="CB205" s="132"/>
    </row>
    <row r="206" spans="53:80" ht="51" x14ac:dyDescent="0.25">
      <c r="BA206" s="604"/>
      <c r="BB206" s="604"/>
      <c r="BC206" s="164" t="str">
        <f t="shared" si="13"/>
        <v>18 and above – below 30 years</v>
      </c>
      <c r="BD206" s="164" t="str">
        <f t="shared" ref="BD206:BD234" si="16">E7</f>
        <v>30 and above – below 45 years</v>
      </c>
      <c r="BE206" s="164" t="str">
        <f t="shared" ref="BE206:BE234" si="17">F7</f>
        <v>45 and above – below 60 years</v>
      </c>
      <c r="BF206" s="164" t="str">
        <f t="shared" ref="BF206:BF234" si="18">G7</f>
        <v>60 years &amp; above</v>
      </c>
      <c r="BG206" s="164" t="str">
        <f t="shared" ref="BG206:BG234" si="19">H7</f>
        <v xml:space="preserve"> Total [sum of  (3) to (6)]</v>
      </c>
      <c r="BH206" s="164" t="str">
        <f t="shared" si="14"/>
        <v>18 and above – below 30 years</v>
      </c>
      <c r="BI206" s="164" t="str">
        <f t="shared" ref="BI206:BI234" si="20">J7</f>
        <v>30 and above – below 45 years</v>
      </c>
      <c r="BJ206" s="164" t="str">
        <f t="shared" ref="BJ206:BJ234" si="21">K7</f>
        <v>45 and above – below 60 years</v>
      </c>
      <c r="BK206" s="164" t="str">
        <f t="shared" ref="BK206:BK234" si="22">L7</f>
        <v>60 years &amp; above</v>
      </c>
      <c r="BL206" s="164" t="str">
        <f t="shared" ref="BL206:BL234" si="23">M7</f>
        <v>Total 
[sum of (8) to (11)]</v>
      </c>
      <c r="BM206" s="164" t="str">
        <f t="shared" si="15"/>
        <v>18 and above – below 30 years</v>
      </c>
      <c r="BN206" s="164" t="str">
        <f t="shared" ref="BN206:BN234" si="24">O7</f>
        <v>30 and above – below 45 years</v>
      </c>
      <c r="BO206" s="164" t="str">
        <f t="shared" ref="BO206:BO234" si="25">P7</f>
        <v>45 and above – below 60 years</v>
      </c>
      <c r="BP206" s="164" t="str">
        <f t="shared" ref="BP206:BP234" si="26">Q7</f>
        <v>60 years &amp; above</v>
      </c>
      <c r="BQ206" s="164" t="str">
        <f t="shared" ref="BQ206:BQ234" si="27">R7</f>
        <v>Total 
[sum of (13) to (16)]</v>
      </c>
      <c r="BR206" s="604"/>
      <c r="BS206" s="132"/>
      <c r="BT206" s="132"/>
      <c r="BU206" s="132"/>
      <c r="BV206" s="132"/>
      <c r="BW206" s="132"/>
      <c r="BX206" s="132"/>
      <c r="BY206" s="132"/>
      <c r="BZ206" s="132"/>
      <c r="CA206" s="132"/>
      <c r="CB206" s="132"/>
    </row>
    <row r="207" spans="53:80" x14ac:dyDescent="0.25">
      <c r="BA207" s="164" t="str">
        <f t="shared" ref="BA207:BA228" si="28">B8</f>
        <v>(1)</v>
      </c>
      <c r="BB207" s="164" t="str">
        <f t="shared" ref="BB207:BB228" si="29">C8</f>
        <v>(2)</v>
      </c>
      <c r="BC207" s="164" t="str">
        <f t="shared" si="13"/>
        <v>(3)</v>
      </c>
      <c r="BD207" s="164" t="str">
        <f t="shared" si="16"/>
        <v>(4)</v>
      </c>
      <c r="BE207" s="164" t="str">
        <f t="shared" si="17"/>
        <v>(5)</v>
      </c>
      <c r="BF207" s="164" t="str">
        <f t="shared" si="18"/>
        <v>(6)</v>
      </c>
      <c r="BG207" s="164" t="str">
        <f t="shared" si="19"/>
        <v>(7)</v>
      </c>
      <c r="BH207" s="164" t="str">
        <f t="shared" si="14"/>
        <v>(8)</v>
      </c>
      <c r="BI207" s="164" t="str">
        <f t="shared" si="20"/>
        <v>(9)</v>
      </c>
      <c r="BJ207" s="164" t="str">
        <f t="shared" si="21"/>
        <v>(10)</v>
      </c>
      <c r="BK207" s="164" t="str">
        <f t="shared" si="22"/>
        <v>(11)</v>
      </c>
      <c r="BL207" s="164" t="str">
        <f t="shared" si="23"/>
        <v>(12)</v>
      </c>
      <c r="BM207" s="164" t="str">
        <f t="shared" si="15"/>
        <v>(13)</v>
      </c>
      <c r="BN207" s="164" t="str">
        <f t="shared" si="24"/>
        <v>(14)</v>
      </c>
      <c r="BO207" s="164" t="str">
        <f t="shared" si="25"/>
        <v>(15)</v>
      </c>
      <c r="BP207" s="164" t="str">
        <f t="shared" si="26"/>
        <v>(16)</v>
      </c>
      <c r="BQ207" s="164" t="str">
        <f t="shared" si="27"/>
        <v>(17)</v>
      </c>
      <c r="BR207" s="164" t="str">
        <f t="shared" ref="BR207:BR234" si="30">S8</f>
        <v>(18)</v>
      </c>
      <c r="BS207" s="132"/>
      <c r="BT207" s="132"/>
      <c r="BU207" s="132"/>
      <c r="BV207" s="132"/>
      <c r="BW207" s="132"/>
      <c r="BX207" s="132"/>
      <c r="BY207" s="132"/>
      <c r="BZ207" s="132"/>
      <c r="CA207" s="132"/>
      <c r="CB207" s="132"/>
    </row>
    <row r="208" spans="53:80" x14ac:dyDescent="0.25">
      <c r="BA208" s="138">
        <f t="shared" si="28"/>
        <v>1</v>
      </c>
      <c r="BB208" s="140" t="str">
        <f t="shared" si="29"/>
        <v>Bankruptcy or indebtedness</v>
      </c>
      <c r="BC208" s="136">
        <f t="shared" si="13"/>
        <v>0</v>
      </c>
      <c r="BD208" s="136">
        <f t="shared" si="16"/>
        <v>0</v>
      </c>
      <c r="BE208" s="136">
        <f t="shared" si="17"/>
        <v>0</v>
      </c>
      <c r="BF208" s="136">
        <f t="shared" si="18"/>
        <v>0</v>
      </c>
      <c r="BG208" s="136">
        <f t="shared" si="19"/>
        <v>0</v>
      </c>
      <c r="BH208" s="136">
        <f t="shared" si="14"/>
        <v>0</v>
      </c>
      <c r="BI208" s="136">
        <f t="shared" si="20"/>
        <v>0</v>
      </c>
      <c r="BJ208" s="136">
        <f t="shared" si="21"/>
        <v>0</v>
      </c>
      <c r="BK208" s="136">
        <f t="shared" si="22"/>
        <v>0</v>
      </c>
      <c r="BL208" s="136">
        <f t="shared" si="23"/>
        <v>0</v>
      </c>
      <c r="BM208" s="136">
        <f t="shared" si="15"/>
        <v>0</v>
      </c>
      <c r="BN208" s="136">
        <f t="shared" si="24"/>
        <v>0</v>
      </c>
      <c r="BO208" s="136">
        <f t="shared" si="25"/>
        <v>0</v>
      </c>
      <c r="BP208" s="136">
        <f t="shared" si="26"/>
        <v>0</v>
      </c>
      <c r="BQ208" s="136">
        <f t="shared" si="27"/>
        <v>0</v>
      </c>
      <c r="BR208" s="136">
        <f t="shared" si="30"/>
        <v>0</v>
      </c>
      <c r="BS208" s="132"/>
      <c r="BT208" s="132"/>
      <c r="BU208" s="132"/>
      <c r="BV208" s="132"/>
      <c r="BW208" s="132"/>
      <c r="BX208" s="132"/>
      <c r="BY208" s="132"/>
      <c r="BZ208" s="132"/>
      <c r="CA208" s="132"/>
      <c r="CB208" s="132"/>
    </row>
    <row r="209" spans="53:80" ht="25.5" x14ac:dyDescent="0.25">
      <c r="BA209" s="138">
        <f t="shared" si="28"/>
        <v>2</v>
      </c>
      <c r="BB209" s="140" t="str">
        <f t="shared" si="29"/>
        <v>Marriage Related Isuues (sum of 2.1 to 2.5)</v>
      </c>
      <c r="BC209" s="136">
        <f t="shared" si="13"/>
        <v>0</v>
      </c>
      <c r="BD209" s="136">
        <f t="shared" si="16"/>
        <v>0</v>
      </c>
      <c r="BE209" s="136">
        <f t="shared" si="17"/>
        <v>0</v>
      </c>
      <c r="BF209" s="136">
        <f t="shared" si="18"/>
        <v>0</v>
      </c>
      <c r="BG209" s="136">
        <f t="shared" si="19"/>
        <v>0</v>
      </c>
      <c r="BH209" s="136">
        <f t="shared" si="14"/>
        <v>0</v>
      </c>
      <c r="BI209" s="136">
        <f t="shared" si="20"/>
        <v>0</v>
      </c>
      <c r="BJ209" s="136">
        <f t="shared" si="21"/>
        <v>0</v>
      </c>
      <c r="BK209" s="136">
        <f t="shared" si="22"/>
        <v>0</v>
      </c>
      <c r="BL209" s="136">
        <f t="shared" si="23"/>
        <v>0</v>
      </c>
      <c r="BM209" s="136">
        <f t="shared" si="15"/>
        <v>0</v>
      </c>
      <c r="BN209" s="136">
        <f t="shared" si="24"/>
        <v>0</v>
      </c>
      <c r="BO209" s="136">
        <f t="shared" si="25"/>
        <v>0</v>
      </c>
      <c r="BP209" s="136">
        <f t="shared" si="26"/>
        <v>0</v>
      </c>
      <c r="BQ209" s="136">
        <f t="shared" si="27"/>
        <v>0</v>
      </c>
      <c r="BR209" s="136">
        <f t="shared" si="30"/>
        <v>0</v>
      </c>
      <c r="BS209" s="132"/>
      <c r="BT209" s="132"/>
      <c r="BU209" s="132"/>
      <c r="BV209" s="132"/>
      <c r="BW209" s="132"/>
      <c r="BX209" s="132"/>
      <c r="BY209" s="132"/>
      <c r="BZ209" s="132"/>
      <c r="CA209" s="132"/>
      <c r="CB209" s="132"/>
    </row>
    <row r="210" spans="53:80" x14ac:dyDescent="0.25">
      <c r="BA210" s="138"/>
      <c r="BB210" s="140" t="str">
        <f t="shared" si="29"/>
        <v>2.1 Non Settlement of Marriage</v>
      </c>
      <c r="BC210" s="136">
        <f t="shared" si="13"/>
        <v>0</v>
      </c>
      <c r="BD210" s="136">
        <f t="shared" si="16"/>
        <v>0</v>
      </c>
      <c r="BE210" s="136">
        <f t="shared" si="17"/>
        <v>0</v>
      </c>
      <c r="BF210" s="136">
        <f t="shared" si="18"/>
        <v>0</v>
      </c>
      <c r="BG210" s="136">
        <f t="shared" si="19"/>
        <v>0</v>
      </c>
      <c r="BH210" s="136">
        <f t="shared" si="14"/>
        <v>0</v>
      </c>
      <c r="BI210" s="136">
        <f t="shared" si="20"/>
        <v>0</v>
      </c>
      <c r="BJ210" s="136">
        <f t="shared" si="21"/>
        <v>0</v>
      </c>
      <c r="BK210" s="136">
        <f t="shared" si="22"/>
        <v>0</v>
      </c>
      <c r="BL210" s="136">
        <f t="shared" si="23"/>
        <v>0</v>
      </c>
      <c r="BM210" s="136">
        <f t="shared" si="15"/>
        <v>0</v>
      </c>
      <c r="BN210" s="136">
        <f t="shared" si="24"/>
        <v>0</v>
      </c>
      <c r="BO210" s="136">
        <f t="shared" si="25"/>
        <v>0</v>
      </c>
      <c r="BP210" s="136">
        <f t="shared" si="26"/>
        <v>0</v>
      </c>
      <c r="BQ210" s="136">
        <f t="shared" si="27"/>
        <v>0</v>
      </c>
      <c r="BR210" s="136">
        <f t="shared" si="30"/>
        <v>0</v>
      </c>
    </row>
    <row r="211" spans="53:80" x14ac:dyDescent="0.25">
      <c r="BA211" s="138"/>
      <c r="BB211" s="140" t="str">
        <f t="shared" si="29"/>
        <v>2.2 Dowry Related Issues</v>
      </c>
      <c r="BC211" s="136">
        <f t="shared" si="13"/>
        <v>0</v>
      </c>
      <c r="BD211" s="136">
        <f t="shared" si="16"/>
        <v>0</v>
      </c>
      <c r="BE211" s="136">
        <f t="shared" si="17"/>
        <v>0</v>
      </c>
      <c r="BF211" s="136">
        <f t="shared" si="18"/>
        <v>0</v>
      </c>
      <c r="BG211" s="136">
        <f t="shared" si="19"/>
        <v>0</v>
      </c>
      <c r="BH211" s="136">
        <f t="shared" si="14"/>
        <v>0</v>
      </c>
      <c r="BI211" s="136">
        <f t="shared" si="20"/>
        <v>0</v>
      </c>
      <c r="BJ211" s="136">
        <f t="shared" si="21"/>
        <v>0</v>
      </c>
      <c r="BK211" s="136">
        <f t="shared" si="22"/>
        <v>0</v>
      </c>
      <c r="BL211" s="136">
        <f t="shared" si="23"/>
        <v>0</v>
      </c>
      <c r="BM211" s="136">
        <f t="shared" si="15"/>
        <v>0</v>
      </c>
      <c r="BN211" s="136">
        <f t="shared" si="24"/>
        <v>0</v>
      </c>
      <c r="BO211" s="136">
        <f t="shared" si="25"/>
        <v>0</v>
      </c>
      <c r="BP211" s="136">
        <f t="shared" si="26"/>
        <v>0</v>
      </c>
      <c r="BQ211" s="136">
        <f t="shared" si="27"/>
        <v>0</v>
      </c>
      <c r="BR211" s="136">
        <f t="shared" si="30"/>
        <v>0</v>
      </c>
    </row>
    <row r="212" spans="53:80" x14ac:dyDescent="0.25">
      <c r="BA212" s="138"/>
      <c r="BB212" s="140" t="str">
        <f t="shared" si="29"/>
        <v>2.3 Extra Marital affairs</v>
      </c>
      <c r="BC212" s="136">
        <f t="shared" si="13"/>
        <v>0</v>
      </c>
      <c r="BD212" s="136">
        <f t="shared" si="16"/>
        <v>0</v>
      </c>
      <c r="BE212" s="136">
        <f t="shared" si="17"/>
        <v>0</v>
      </c>
      <c r="BF212" s="136">
        <f t="shared" si="18"/>
        <v>0</v>
      </c>
      <c r="BG212" s="136">
        <f t="shared" si="19"/>
        <v>0</v>
      </c>
      <c r="BH212" s="136">
        <f t="shared" si="14"/>
        <v>0</v>
      </c>
      <c r="BI212" s="136">
        <f t="shared" si="20"/>
        <v>0</v>
      </c>
      <c r="BJ212" s="136">
        <f t="shared" si="21"/>
        <v>0</v>
      </c>
      <c r="BK212" s="136">
        <f t="shared" si="22"/>
        <v>0</v>
      </c>
      <c r="BL212" s="136">
        <f t="shared" si="23"/>
        <v>0</v>
      </c>
      <c r="BM212" s="136">
        <f t="shared" si="15"/>
        <v>0</v>
      </c>
      <c r="BN212" s="136">
        <f t="shared" si="24"/>
        <v>0</v>
      </c>
      <c r="BO212" s="136">
        <f t="shared" si="25"/>
        <v>0</v>
      </c>
      <c r="BP212" s="136">
        <f t="shared" si="26"/>
        <v>0</v>
      </c>
      <c r="BQ212" s="136">
        <f t="shared" si="27"/>
        <v>0</v>
      </c>
      <c r="BR212" s="136">
        <f t="shared" si="30"/>
        <v>0</v>
      </c>
    </row>
    <row r="213" spans="53:80" x14ac:dyDescent="0.25">
      <c r="BA213" s="138"/>
      <c r="BB213" s="140" t="str">
        <f t="shared" si="29"/>
        <v>2.4 Divorce</v>
      </c>
      <c r="BC213" s="136">
        <f t="shared" si="13"/>
        <v>0</v>
      </c>
      <c r="BD213" s="136">
        <f t="shared" si="16"/>
        <v>0</v>
      </c>
      <c r="BE213" s="136">
        <f t="shared" si="17"/>
        <v>0</v>
      </c>
      <c r="BF213" s="136">
        <f t="shared" si="18"/>
        <v>0</v>
      </c>
      <c r="BG213" s="136">
        <f t="shared" si="19"/>
        <v>0</v>
      </c>
      <c r="BH213" s="136">
        <f t="shared" si="14"/>
        <v>0</v>
      </c>
      <c r="BI213" s="136">
        <f t="shared" si="20"/>
        <v>0</v>
      </c>
      <c r="BJ213" s="136">
        <f t="shared" si="21"/>
        <v>0</v>
      </c>
      <c r="BK213" s="136">
        <f t="shared" si="22"/>
        <v>0</v>
      </c>
      <c r="BL213" s="136">
        <f t="shared" si="23"/>
        <v>0</v>
      </c>
      <c r="BM213" s="136">
        <f t="shared" si="15"/>
        <v>0</v>
      </c>
      <c r="BN213" s="136">
        <f t="shared" si="24"/>
        <v>0</v>
      </c>
      <c r="BO213" s="136">
        <f t="shared" si="25"/>
        <v>0</v>
      </c>
      <c r="BP213" s="136">
        <f t="shared" si="26"/>
        <v>0</v>
      </c>
      <c r="BQ213" s="136">
        <f t="shared" si="27"/>
        <v>0</v>
      </c>
      <c r="BR213" s="136">
        <f t="shared" si="30"/>
        <v>0</v>
      </c>
    </row>
    <row r="214" spans="53:80" x14ac:dyDescent="0.25">
      <c r="BA214" s="138"/>
      <c r="BB214" s="140" t="str">
        <f t="shared" si="29"/>
        <v>2.5 Others</v>
      </c>
      <c r="BC214" s="136">
        <f t="shared" si="13"/>
        <v>0</v>
      </c>
      <c r="BD214" s="136">
        <f t="shared" si="16"/>
        <v>0</v>
      </c>
      <c r="BE214" s="136">
        <f t="shared" si="17"/>
        <v>0</v>
      </c>
      <c r="BF214" s="136">
        <f t="shared" si="18"/>
        <v>0</v>
      </c>
      <c r="BG214" s="136">
        <f t="shared" si="19"/>
        <v>0</v>
      </c>
      <c r="BH214" s="136">
        <f t="shared" si="14"/>
        <v>0</v>
      </c>
      <c r="BI214" s="136">
        <f t="shared" si="20"/>
        <v>0</v>
      </c>
      <c r="BJ214" s="136">
        <f t="shared" si="21"/>
        <v>0</v>
      </c>
      <c r="BK214" s="136">
        <f t="shared" si="22"/>
        <v>0</v>
      </c>
      <c r="BL214" s="136">
        <f t="shared" si="23"/>
        <v>0</v>
      </c>
      <c r="BM214" s="136">
        <f t="shared" si="15"/>
        <v>0</v>
      </c>
      <c r="BN214" s="136">
        <f t="shared" si="24"/>
        <v>0</v>
      </c>
      <c r="BO214" s="136">
        <f t="shared" si="25"/>
        <v>0</v>
      </c>
      <c r="BP214" s="136">
        <f t="shared" si="26"/>
        <v>0</v>
      </c>
      <c r="BQ214" s="136">
        <f t="shared" si="27"/>
        <v>0</v>
      </c>
      <c r="BR214" s="136">
        <f t="shared" si="30"/>
        <v>0</v>
      </c>
    </row>
    <row r="215" spans="53:80" x14ac:dyDescent="0.25">
      <c r="BA215" s="138">
        <f t="shared" si="28"/>
        <v>3</v>
      </c>
      <c r="BB215" s="140" t="str">
        <f t="shared" si="29"/>
        <v>Property dispute</v>
      </c>
      <c r="BC215" s="136">
        <f t="shared" si="13"/>
        <v>0</v>
      </c>
      <c r="BD215" s="136">
        <f t="shared" si="16"/>
        <v>0</v>
      </c>
      <c r="BE215" s="136">
        <f t="shared" si="17"/>
        <v>0</v>
      </c>
      <c r="BF215" s="136">
        <f t="shared" si="18"/>
        <v>0</v>
      </c>
      <c r="BG215" s="136">
        <f t="shared" si="19"/>
        <v>0</v>
      </c>
      <c r="BH215" s="136">
        <f t="shared" si="14"/>
        <v>0</v>
      </c>
      <c r="BI215" s="136">
        <f t="shared" si="20"/>
        <v>0</v>
      </c>
      <c r="BJ215" s="136">
        <f t="shared" si="21"/>
        <v>0</v>
      </c>
      <c r="BK215" s="136">
        <f t="shared" si="22"/>
        <v>0</v>
      </c>
      <c r="BL215" s="136">
        <f t="shared" si="23"/>
        <v>0</v>
      </c>
      <c r="BM215" s="136">
        <f t="shared" si="15"/>
        <v>0</v>
      </c>
      <c r="BN215" s="136">
        <f t="shared" si="24"/>
        <v>0</v>
      </c>
      <c r="BO215" s="136">
        <f t="shared" si="25"/>
        <v>0</v>
      </c>
      <c r="BP215" s="136">
        <f t="shared" si="26"/>
        <v>0</v>
      </c>
      <c r="BQ215" s="136">
        <f t="shared" si="27"/>
        <v>0</v>
      </c>
      <c r="BR215" s="136">
        <f t="shared" si="30"/>
        <v>0</v>
      </c>
    </row>
    <row r="216" spans="53:80" x14ac:dyDescent="0.25">
      <c r="BA216" s="138">
        <f t="shared" si="28"/>
        <v>4</v>
      </c>
      <c r="BB216" s="140" t="str">
        <f t="shared" si="29"/>
        <v>Impotency/Infertility</v>
      </c>
      <c r="BC216" s="136">
        <f t="shared" si="13"/>
        <v>0</v>
      </c>
      <c r="BD216" s="136">
        <f t="shared" si="16"/>
        <v>0</v>
      </c>
      <c r="BE216" s="136">
        <f t="shared" si="17"/>
        <v>0</v>
      </c>
      <c r="BF216" s="136">
        <f t="shared" si="18"/>
        <v>0</v>
      </c>
      <c r="BG216" s="136">
        <f t="shared" si="19"/>
        <v>0</v>
      </c>
      <c r="BH216" s="136">
        <f t="shared" si="14"/>
        <v>0</v>
      </c>
      <c r="BI216" s="136">
        <f t="shared" si="20"/>
        <v>0</v>
      </c>
      <c r="BJ216" s="136">
        <f t="shared" si="21"/>
        <v>0</v>
      </c>
      <c r="BK216" s="136">
        <f t="shared" si="22"/>
        <v>0</v>
      </c>
      <c r="BL216" s="136">
        <f t="shared" si="23"/>
        <v>0</v>
      </c>
      <c r="BM216" s="136">
        <f t="shared" si="15"/>
        <v>0</v>
      </c>
      <c r="BN216" s="136">
        <f t="shared" si="24"/>
        <v>0</v>
      </c>
      <c r="BO216" s="136">
        <f t="shared" si="25"/>
        <v>0</v>
      </c>
      <c r="BP216" s="136">
        <f t="shared" si="26"/>
        <v>0</v>
      </c>
      <c r="BQ216" s="136">
        <f t="shared" si="27"/>
        <v>0</v>
      </c>
      <c r="BR216" s="136">
        <f t="shared" si="30"/>
        <v>0</v>
      </c>
    </row>
    <row r="217" spans="53:80" x14ac:dyDescent="0.25">
      <c r="BA217" s="138">
        <f t="shared" si="28"/>
        <v>5</v>
      </c>
      <c r="BB217" s="140" t="str">
        <f t="shared" si="29"/>
        <v>Family problems</v>
      </c>
      <c r="BC217" s="136">
        <f t="shared" si="13"/>
        <v>0</v>
      </c>
      <c r="BD217" s="136">
        <f t="shared" si="16"/>
        <v>0</v>
      </c>
      <c r="BE217" s="136">
        <f t="shared" si="17"/>
        <v>0</v>
      </c>
      <c r="BF217" s="136">
        <f t="shared" si="18"/>
        <v>0</v>
      </c>
      <c r="BG217" s="136">
        <f t="shared" si="19"/>
        <v>0</v>
      </c>
      <c r="BH217" s="136">
        <f t="shared" si="14"/>
        <v>0</v>
      </c>
      <c r="BI217" s="136">
        <f t="shared" si="20"/>
        <v>0</v>
      </c>
      <c r="BJ217" s="136">
        <f t="shared" si="21"/>
        <v>0</v>
      </c>
      <c r="BK217" s="136">
        <f t="shared" si="22"/>
        <v>0</v>
      </c>
      <c r="BL217" s="136">
        <f t="shared" si="23"/>
        <v>0</v>
      </c>
      <c r="BM217" s="136">
        <f t="shared" si="15"/>
        <v>0</v>
      </c>
      <c r="BN217" s="136">
        <f t="shared" si="24"/>
        <v>0</v>
      </c>
      <c r="BO217" s="136">
        <f t="shared" si="25"/>
        <v>0</v>
      </c>
      <c r="BP217" s="136">
        <f t="shared" si="26"/>
        <v>0</v>
      </c>
      <c r="BQ217" s="136">
        <f t="shared" si="27"/>
        <v>0</v>
      </c>
      <c r="BR217" s="136">
        <f t="shared" si="30"/>
        <v>0</v>
      </c>
    </row>
    <row r="218" spans="53:80" ht="25.5" x14ac:dyDescent="0.25">
      <c r="BA218" s="138">
        <f t="shared" si="28"/>
        <v>6</v>
      </c>
      <c r="BB218" s="140" t="str">
        <f t="shared" si="29"/>
        <v>Service Related Issues (sum of 6.1 to 6.5)</v>
      </c>
      <c r="BC218" s="136">
        <f t="shared" si="13"/>
        <v>0</v>
      </c>
      <c r="BD218" s="136">
        <f t="shared" si="16"/>
        <v>0</v>
      </c>
      <c r="BE218" s="136">
        <f t="shared" si="17"/>
        <v>0</v>
      </c>
      <c r="BF218" s="136">
        <f t="shared" si="18"/>
        <v>0</v>
      </c>
      <c r="BG218" s="136">
        <f t="shared" si="19"/>
        <v>0</v>
      </c>
      <c r="BH218" s="136">
        <f t="shared" si="14"/>
        <v>0</v>
      </c>
      <c r="BI218" s="136">
        <f t="shared" si="20"/>
        <v>0</v>
      </c>
      <c r="BJ218" s="136">
        <f t="shared" si="21"/>
        <v>0</v>
      </c>
      <c r="BK218" s="136">
        <f t="shared" si="22"/>
        <v>0</v>
      </c>
      <c r="BL218" s="136">
        <f t="shared" si="23"/>
        <v>0</v>
      </c>
      <c r="BM218" s="136">
        <f t="shared" si="15"/>
        <v>0</v>
      </c>
      <c r="BN218" s="136">
        <f t="shared" si="24"/>
        <v>0</v>
      </c>
      <c r="BO218" s="136">
        <f t="shared" si="25"/>
        <v>0</v>
      </c>
      <c r="BP218" s="136">
        <f t="shared" si="26"/>
        <v>0</v>
      </c>
      <c r="BQ218" s="136">
        <f t="shared" si="27"/>
        <v>0</v>
      </c>
      <c r="BR218" s="136">
        <f t="shared" si="30"/>
        <v>0</v>
      </c>
    </row>
    <row r="219" spans="53:80" x14ac:dyDescent="0.25">
      <c r="BA219" s="138"/>
      <c r="BB219" s="140" t="str">
        <f t="shared" si="29"/>
        <v>6.1 Physical  fatigue</v>
      </c>
      <c r="BC219" s="136">
        <f t="shared" si="13"/>
        <v>0</v>
      </c>
      <c r="BD219" s="136">
        <f t="shared" si="16"/>
        <v>0</v>
      </c>
      <c r="BE219" s="136">
        <f t="shared" si="17"/>
        <v>0</v>
      </c>
      <c r="BF219" s="136">
        <f t="shared" si="18"/>
        <v>0</v>
      </c>
      <c r="BG219" s="136">
        <f t="shared" si="19"/>
        <v>0</v>
      </c>
      <c r="BH219" s="136">
        <f t="shared" si="14"/>
        <v>0</v>
      </c>
      <c r="BI219" s="136">
        <f t="shared" si="20"/>
        <v>0</v>
      </c>
      <c r="BJ219" s="136">
        <f t="shared" si="21"/>
        <v>0</v>
      </c>
      <c r="BK219" s="136">
        <f t="shared" si="22"/>
        <v>0</v>
      </c>
      <c r="BL219" s="136">
        <f t="shared" si="23"/>
        <v>0</v>
      </c>
      <c r="BM219" s="136">
        <f t="shared" si="15"/>
        <v>0</v>
      </c>
      <c r="BN219" s="136">
        <f t="shared" si="24"/>
        <v>0</v>
      </c>
      <c r="BO219" s="136">
        <f t="shared" si="25"/>
        <v>0</v>
      </c>
      <c r="BP219" s="136">
        <f t="shared" si="26"/>
        <v>0</v>
      </c>
      <c r="BQ219" s="136">
        <f t="shared" si="27"/>
        <v>0</v>
      </c>
      <c r="BR219" s="136">
        <f t="shared" si="30"/>
        <v>0</v>
      </c>
    </row>
    <row r="220" spans="53:80" x14ac:dyDescent="0.25">
      <c r="BA220" s="138"/>
      <c r="BB220" s="140" t="str">
        <f t="shared" si="29"/>
        <v>6.2 Mental Depression</v>
      </c>
      <c r="BC220" s="136">
        <f t="shared" si="13"/>
        <v>0</v>
      </c>
      <c r="BD220" s="136">
        <f t="shared" si="16"/>
        <v>0</v>
      </c>
      <c r="BE220" s="136">
        <f t="shared" si="17"/>
        <v>0</v>
      </c>
      <c r="BF220" s="136">
        <f t="shared" si="18"/>
        <v>0</v>
      </c>
      <c r="BG220" s="136">
        <f t="shared" si="19"/>
        <v>0</v>
      </c>
      <c r="BH220" s="136">
        <f t="shared" si="14"/>
        <v>0</v>
      </c>
      <c r="BI220" s="136">
        <f t="shared" si="20"/>
        <v>0</v>
      </c>
      <c r="BJ220" s="136">
        <f t="shared" si="21"/>
        <v>0</v>
      </c>
      <c r="BK220" s="136">
        <f t="shared" si="22"/>
        <v>0</v>
      </c>
      <c r="BL220" s="136">
        <f t="shared" si="23"/>
        <v>0</v>
      </c>
      <c r="BM220" s="136">
        <f t="shared" si="15"/>
        <v>0</v>
      </c>
      <c r="BN220" s="136">
        <f t="shared" si="24"/>
        <v>0</v>
      </c>
      <c r="BO220" s="136">
        <f t="shared" si="25"/>
        <v>0</v>
      </c>
      <c r="BP220" s="136">
        <f t="shared" si="26"/>
        <v>0</v>
      </c>
      <c r="BQ220" s="136">
        <f t="shared" si="27"/>
        <v>0</v>
      </c>
      <c r="BR220" s="136">
        <f t="shared" si="30"/>
        <v>0</v>
      </c>
    </row>
    <row r="221" spans="53:80" x14ac:dyDescent="0.25">
      <c r="BA221" s="138"/>
      <c r="BB221" s="140" t="str">
        <f t="shared" si="29"/>
        <v>6.3 Promotion related issues</v>
      </c>
      <c r="BC221" s="136">
        <f t="shared" si="13"/>
        <v>0</v>
      </c>
      <c r="BD221" s="136">
        <f t="shared" si="16"/>
        <v>0</v>
      </c>
      <c r="BE221" s="136">
        <f t="shared" si="17"/>
        <v>0</v>
      </c>
      <c r="BF221" s="136">
        <f t="shared" si="18"/>
        <v>0</v>
      </c>
      <c r="BG221" s="136">
        <f t="shared" si="19"/>
        <v>0</v>
      </c>
      <c r="BH221" s="136">
        <f t="shared" si="14"/>
        <v>0</v>
      </c>
      <c r="BI221" s="136">
        <f t="shared" si="20"/>
        <v>0</v>
      </c>
      <c r="BJ221" s="136">
        <f t="shared" si="21"/>
        <v>0</v>
      </c>
      <c r="BK221" s="136">
        <f t="shared" si="22"/>
        <v>0</v>
      </c>
      <c r="BL221" s="136">
        <f t="shared" si="23"/>
        <v>0</v>
      </c>
      <c r="BM221" s="136">
        <f t="shared" si="15"/>
        <v>0</v>
      </c>
      <c r="BN221" s="136">
        <f t="shared" si="24"/>
        <v>0</v>
      </c>
      <c r="BO221" s="136">
        <f t="shared" si="25"/>
        <v>0</v>
      </c>
      <c r="BP221" s="136">
        <f t="shared" si="26"/>
        <v>0</v>
      </c>
      <c r="BQ221" s="136">
        <f t="shared" si="27"/>
        <v>0</v>
      </c>
      <c r="BR221" s="136">
        <f t="shared" si="30"/>
        <v>0</v>
      </c>
    </row>
    <row r="222" spans="53:80" x14ac:dyDescent="0.25">
      <c r="BA222" s="138"/>
      <c r="BB222" s="140" t="str">
        <f t="shared" si="29"/>
        <v>6.4 Leave related issues</v>
      </c>
      <c r="BC222" s="136">
        <f t="shared" si="13"/>
        <v>0</v>
      </c>
      <c r="BD222" s="136">
        <f t="shared" si="16"/>
        <v>0</v>
      </c>
      <c r="BE222" s="136">
        <f t="shared" si="17"/>
        <v>0</v>
      </c>
      <c r="BF222" s="136">
        <f t="shared" si="18"/>
        <v>0</v>
      </c>
      <c r="BG222" s="136">
        <f t="shared" si="19"/>
        <v>0</v>
      </c>
      <c r="BH222" s="136">
        <f t="shared" si="14"/>
        <v>0</v>
      </c>
      <c r="BI222" s="136">
        <f t="shared" si="20"/>
        <v>0</v>
      </c>
      <c r="BJ222" s="136">
        <f t="shared" si="21"/>
        <v>0</v>
      </c>
      <c r="BK222" s="136">
        <f t="shared" si="22"/>
        <v>0</v>
      </c>
      <c r="BL222" s="136">
        <f t="shared" si="23"/>
        <v>0</v>
      </c>
      <c r="BM222" s="136">
        <f t="shared" si="15"/>
        <v>0</v>
      </c>
      <c r="BN222" s="136">
        <f t="shared" si="24"/>
        <v>0</v>
      </c>
      <c r="BO222" s="136">
        <f t="shared" si="25"/>
        <v>0</v>
      </c>
      <c r="BP222" s="136">
        <f t="shared" si="26"/>
        <v>0</v>
      </c>
      <c r="BQ222" s="136">
        <f t="shared" si="27"/>
        <v>0</v>
      </c>
      <c r="BR222" s="136">
        <f t="shared" si="30"/>
        <v>0</v>
      </c>
    </row>
    <row r="223" spans="53:80" x14ac:dyDescent="0.25">
      <c r="BA223" s="138"/>
      <c r="BB223" s="140" t="str">
        <f t="shared" si="29"/>
        <v>6.5 Other service conditions</v>
      </c>
      <c r="BC223" s="136">
        <f t="shared" si="13"/>
        <v>0</v>
      </c>
      <c r="BD223" s="136">
        <f t="shared" si="16"/>
        <v>0</v>
      </c>
      <c r="BE223" s="136">
        <f t="shared" si="17"/>
        <v>0</v>
      </c>
      <c r="BF223" s="136">
        <f t="shared" si="18"/>
        <v>0</v>
      </c>
      <c r="BG223" s="136">
        <f t="shared" si="19"/>
        <v>0</v>
      </c>
      <c r="BH223" s="136">
        <f t="shared" si="14"/>
        <v>0</v>
      </c>
      <c r="BI223" s="136">
        <f t="shared" si="20"/>
        <v>0</v>
      </c>
      <c r="BJ223" s="136">
        <f t="shared" si="21"/>
        <v>0</v>
      </c>
      <c r="BK223" s="136">
        <f t="shared" si="22"/>
        <v>0</v>
      </c>
      <c r="BL223" s="136">
        <f t="shared" si="23"/>
        <v>0</v>
      </c>
      <c r="BM223" s="136">
        <f t="shared" si="15"/>
        <v>0</v>
      </c>
      <c r="BN223" s="136">
        <f t="shared" si="24"/>
        <v>0</v>
      </c>
      <c r="BO223" s="136">
        <f t="shared" si="25"/>
        <v>0</v>
      </c>
      <c r="BP223" s="136">
        <f t="shared" si="26"/>
        <v>0</v>
      </c>
      <c r="BQ223" s="136">
        <f t="shared" si="27"/>
        <v>0</v>
      </c>
      <c r="BR223" s="136">
        <f t="shared" si="30"/>
        <v>0</v>
      </c>
    </row>
    <row r="224" spans="53:80" x14ac:dyDescent="0.25">
      <c r="BA224" s="138">
        <f t="shared" si="28"/>
        <v>7</v>
      </c>
      <c r="BB224" s="140" t="str">
        <f t="shared" si="29"/>
        <v>Drug abuse/Alcoholic addiction</v>
      </c>
      <c r="BC224" s="136">
        <f t="shared" si="13"/>
        <v>0</v>
      </c>
      <c r="BD224" s="136">
        <f t="shared" si="16"/>
        <v>0</v>
      </c>
      <c r="BE224" s="136">
        <f t="shared" si="17"/>
        <v>0</v>
      </c>
      <c r="BF224" s="136">
        <f t="shared" si="18"/>
        <v>0</v>
      </c>
      <c r="BG224" s="136">
        <f t="shared" si="19"/>
        <v>0</v>
      </c>
      <c r="BH224" s="136">
        <f t="shared" si="14"/>
        <v>0</v>
      </c>
      <c r="BI224" s="136">
        <f t="shared" si="20"/>
        <v>0</v>
      </c>
      <c r="BJ224" s="136">
        <f t="shared" si="21"/>
        <v>0</v>
      </c>
      <c r="BK224" s="136">
        <f t="shared" si="22"/>
        <v>0</v>
      </c>
      <c r="BL224" s="136">
        <f t="shared" si="23"/>
        <v>0</v>
      </c>
      <c r="BM224" s="136">
        <f t="shared" si="15"/>
        <v>0</v>
      </c>
      <c r="BN224" s="136">
        <f t="shared" si="24"/>
        <v>0</v>
      </c>
      <c r="BO224" s="136">
        <f t="shared" si="25"/>
        <v>0</v>
      </c>
      <c r="BP224" s="136">
        <f t="shared" si="26"/>
        <v>0</v>
      </c>
      <c r="BQ224" s="136">
        <f t="shared" si="27"/>
        <v>0</v>
      </c>
      <c r="BR224" s="136">
        <f t="shared" si="30"/>
        <v>0</v>
      </c>
    </row>
    <row r="225" spans="53:71" x14ac:dyDescent="0.25">
      <c r="BA225" s="138">
        <f t="shared" si="28"/>
        <v>8</v>
      </c>
      <c r="BB225" s="140" t="str">
        <f t="shared" si="29"/>
        <v>Fall in social reputation</v>
      </c>
      <c r="BC225" s="136">
        <f t="shared" si="13"/>
        <v>0</v>
      </c>
      <c r="BD225" s="136">
        <f t="shared" si="16"/>
        <v>0</v>
      </c>
      <c r="BE225" s="136">
        <f t="shared" si="17"/>
        <v>0</v>
      </c>
      <c r="BF225" s="136">
        <f t="shared" si="18"/>
        <v>0</v>
      </c>
      <c r="BG225" s="136">
        <f t="shared" si="19"/>
        <v>0</v>
      </c>
      <c r="BH225" s="136">
        <f t="shared" si="14"/>
        <v>0</v>
      </c>
      <c r="BI225" s="136">
        <f t="shared" si="20"/>
        <v>0</v>
      </c>
      <c r="BJ225" s="136">
        <f t="shared" si="21"/>
        <v>0</v>
      </c>
      <c r="BK225" s="136">
        <f t="shared" si="22"/>
        <v>0</v>
      </c>
      <c r="BL225" s="136">
        <f t="shared" si="23"/>
        <v>0</v>
      </c>
      <c r="BM225" s="136">
        <f t="shared" si="15"/>
        <v>0</v>
      </c>
      <c r="BN225" s="136">
        <f t="shared" si="24"/>
        <v>0</v>
      </c>
      <c r="BO225" s="136">
        <f t="shared" si="25"/>
        <v>0</v>
      </c>
      <c r="BP225" s="136">
        <f t="shared" si="26"/>
        <v>0</v>
      </c>
      <c r="BQ225" s="136">
        <f t="shared" si="27"/>
        <v>0</v>
      </c>
      <c r="BR225" s="136">
        <f t="shared" si="30"/>
        <v>0</v>
      </c>
    </row>
    <row r="226" spans="53:71" x14ac:dyDescent="0.25">
      <c r="BA226" s="138">
        <f t="shared" si="28"/>
        <v>9</v>
      </c>
      <c r="BB226" s="140" t="str">
        <f t="shared" si="29"/>
        <v>Causes not known</v>
      </c>
      <c r="BC226" s="136">
        <f t="shared" si="13"/>
        <v>0</v>
      </c>
      <c r="BD226" s="136">
        <f t="shared" si="16"/>
        <v>0</v>
      </c>
      <c r="BE226" s="136">
        <f t="shared" si="17"/>
        <v>0</v>
      </c>
      <c r="BF226" s="136">
        <f t="shared" si="18"/>
        <v>0</v>
      </c>
      <c r="BG226" s="136">
        <f t="shared" si="19"/>
        <v>0</v>
      </c>
      <c r="BH226" s="136">
        <f t="shared" si="14"/>
        <v>0</v>
      </c>
      <c r="BI226" s="136">
        <f t="shared" si="20"/>
        <v>0</v>
      </c>
      <c r="BJ226" s="136">
        <f t="shared" si="21"/>
        <v>0</v>
      </c>
      <c r="BK226" s="136">
        <f t="shared" si="22"/>
        <v>0</v>
      </c>
      <c r="BL226" s="136">
        <f t="shared" si="23"/>
        <v>0</v>
      </c>
      <c r="BM226" s="136">
        <f t="shared" si="15"/>
        <v>0</v>
      </c>
      <c r="BN226" s="136">
        <f t="shared" si="24"/>
        <v>0</v>
      </c>
      <c r="BO226" s="136">
        <f t="shared" si="25"/>
        <v>0</v>
      </c>
      <c r="BP226" s="136">
        <f t="shared" si="26"/>
        <v>0</v>
      </c>
      <c r="BQ226" s="136">
        <f t="shared" si="27"/>
        <v>0</v>
      </c>
      <c r="BR226" s="136">
        <f t="shared" si="30"/>
        <v>0</v>
      </c>
    </row>
    <row r="227" spans="53:71" x14ac:dyDescent="0.25">
      <c r="BA227" s="138">
        <f t="shared" si="28"/>
        <v>10</v>
      </c>
      <c r="BB227" s="140" t="str">
        <f t="shared" si="29"/>
        <v>Other causes</v>
      </c>
      <c r="BC227" s="136">
        <f t="shared" si="13"/>
        <v>0</v>
      </c>
      <c r="BD227" s="136">
        <f t="shared" si="16"/>
        <v>0</v>
      </c>
      <c r="BE227" s="136">
        <f t="shared" si="17"/>
        <v>0</v>
      </c>
      <c r="BF227" s="136">
        <f t="shared" si="18"/>
        <v>0</v>
      </c>
      <c r="BG227" s="136">
        <f t="shared" si="19"/>
        <v>0</v>
      </c>
      <c r="BH227" s="136">
        <f t="shared" si="14"/>
        <v>0</v>
      </c>
      <c r="BI227" s="136">
        <f t="shared" si="20"/>
        <v>0</v>
      </c>
      <c r="BJ227" s="136">
        <f t="shared" si="21"/>
        <v>0</v>
      </c>
      <c r="BK227" s="136">
        <f t="shared" si="22"/>
        <v>0</v>
      </c>
      <c r="BL227" s="136">
        <f t="shared" si="23"/>
        <v>0</v>
      </c>
      <c r="BM227" s="136">
        <f t="shared" si="15"/>
        <v>0</v>
      </c>
      <c r="BN227" s="136">
        <f t="shared" si="24"/>
        <v>0</v>
      </c>
      <c r="BO227" s="136">
        <f t="shared" si="25"/>
        <v>0</v>
      </c>
      <c r="BP227" s="136">
        <f t="shared" si="26"/>
        <v>0</v>
      </c>
      <c r="BQ227" s="136">
        <f t="shared" si="27"/>
        <v>0</v>
      </c>
      <c r="BR227" s="136">
        <f t="shared" si="30"/>
        <v>0</v>
      </c>
    </row>
    <row r="228" spans="53:71" x14ac:dyDescent="0.25">
      <c r="BA228" s="138">
        <f t="shared" si="28"/>
        <v>11</v>
      </c>
      <c r="BB228" s="140" t="str">
        <f t="shared" si="29"/>
        <v>Total (sum of Sl. 1 to 10)</v>
      </c>
      <c r="BC228" s="136">
        <f t="shared" si="13"/>
        <v>0</v>
      </c>
      <c r="BD228" s="136">
        <f t="shared" si="16"/>
        <v>0</v>
      </c>
      <c r="BE228" s="136">
        <f t="shared" si="17"/>
        <v>0</v>
      </c>
      <c r="BF228" s="136">
        <f t="shared" si="18"/>
        <v>0</v>
      </c>
      <c r="BG228" s="136">
        <f t="shared" si="19"/>
        <v>0</v>
      </c>
      <c r="BH228" s="136">
        <f t="shared" si="14"/>
        <v>0</v>
      </c>
      <c r="BI228" s="136">
        <f t="shared" si="20"/>
        <v>0</v>
      </c>
      <c r="BJ228" s="136">
        <f t="shared" si="21"/>
        <v>0</v>
      </c>
      <c r="BK228" s="136">
        <f t="shared" si="22"/>
        <v>0</v>
      </c>
      <c r="BL228" s="136">
        <f t="shared" si="23"/>
        <v>0</v>
      </c>
      <c r="BM228" s="136">
        <f t="shared" si="15"/>
        <v>0</v>
      </c>
      <c r="BN228" s="136">
        <f t="shared" si="24"/>
        <v>0</v>
      </c>
      <c r="BO228" s="136">
        <f t="shared" si="25"/>
        <v>0</v>
      </c>
      <c r="BP228" s="136">
        <f t="shared" si="26"/>
        <v>0</v>
      </c>
      <c r="BQ228" s="136">
        <f t="shared" si="27"/>
        <v>0</v>
      </c>
      <c r="BR228" s="136">
        <f t="shared" si="30"/>
        <v>0</v>
      </c>
    </row>
    <row r="229" spans="53:71" ht="24.95" customHeight="1" x14ac:dyDescent="0.25">
      <c r="BA229" s="623" t="str">
        <f>A30</f>
        <v>Proforma-XIV VALUES [Sl. 21 (Total)]</v>
      </c>
      <c r="BB229" s="755"/>
      <c r="BC229" s="136">
        <f>D30</f>
        <v>65</v>
      </c>
      <c r="BD229" s="136">
        <f t="shared" si="16"/>
        <v>79</v>
      </c>
      <c r="BE229" s="136">
        <f t="shared" si="17"/>
        <v>81</v>
      </c>
      <c r="BF229" s="136">
        <f t="shared" si="18"/>
        <v>16</v>
      </c>
      <c r="BG229" s="136">
        <f t="shared" si="19"/>
        <v>249</v>
      </c>
      <c r="BH229" s="136">
        <f t="shared" si="14"/>
        <v>19</v>
      </c>
      <c r="BI229" s="136">
        <f t="shared" si="20"/>
        <v>21</v>
      </c>
      <c r="BJ229" s="136">
        <f t="shared" si="21"/>
        <v>11</v>
      </c>
      <c r="BK229" s="136">
        <f t="shared" si="22"/>
        <v>16</v>
      </c>
      <c r="BL229" s="136">
        <f t="shared" si="23"/>
        <v>72</v>
      </c>
      <c r="BM229" s="136">
        <f t="shared" si="15"/>
        <v>0</v>
      </c>
      <c r="BN229" s="136">
        <f t="shared" si="24"/>
        <v>0</v>
      </c>
      <c r="BO229" s="136">
        <f t="shared" si="25"/>
        <v>0</v>
      </c>
      <c r="BP229" s="136">
        <f t="shared" si="26"/>
        <v>0</v>
      </c>
      <c r="BQ229" s="136">
        <f t="shared" si="27"/>
        <v>0</v>
      </c>
      <c r="BR229" s="136">
        <f t="shared" si="30"/>
        <v>321</v>
      </c>
    </row>
    <row r="230" spans="53:71" ht="24.95" customHeight="1" x14ac:dyDescent="0.25">
      <c r="BA230" s="678" t="str">
        <f>A31</f>
        <v>VALIDATION  WITH  PROFORMA–XIV [Sl.–21 (Total)]</v>
      </c>
      <c r="BB230" s="679"/>
      <c r="BC230" s="307" t="str">
        <f>D31</f>
        <v/>
      </c>
      <c r="BD230" s="307" t="str">
        <f t="shared" si="16"/>
        <v/>
      </c>
      <c r="BE230" s="307" t="str">
        <f t="shared" si="17"/>
        <v/>
      </c>
      <c r="BF230" s="307" t="str">
        <f t="shared" si="18"/>
        <v/>
      </c>
      <c r="BG230" s="307" t="str">
        <f t="shared" si="19"/>
        <v/>
      </c>
      <c r="BH230" s="307" t="str">
        <f t="shared" si="14"/>
        <v/>
      </c>
      <c r="BI230" s="307" t="str">
        <f t="shared" si="20"/>
        <v/>
      </c>
      <c r="BJ230" s="307" t="str">
        <f t="shared" si="21"/>
        <v/>
      </c>
      <c r="BK230" s="307" t="str">
        <f t="shared" si="22"/>
        <v/>
      </c>
      <c r="BL230" s="307" t="str">
        <f t="shared" si="23"/>
        <v/>
      </c>
      <c r="BM230" s="307" t="str">
        <f t="shared" si="15"/>
        <v/>
      </c>
      <c r="BN230" s="307" t="str">
        <f t="shared" si="24"/>
        <v/>
      </c>
      <c r="BO230" s="307" t="str">
        <f t="shared" si="25"/>
        <v/>
      </c>
      <c r="BP230" s="307" t="str">
        <f t="shared" si="26"/>
        <v/>
      </c>
      <c r="BQ230" s="307" t="str">
        <f t="shared" si="27"/>
        <v/>
      </c>
      <c r="BR230" s="307" t="str">
        <f t="shared" si="30"/>
        <v/>
      </c>
    </row>
    <row r="231" spans="53:71" ht="24.95" customHeight="1" x14ac:dyDescent="0.25">
      <c r="BA231" s="618" t="str">
        <f>A32</f>
        <v>SL-2.5 ABNORMAL VARIATION IN "OTHERS" DATA</v>
      </c>
      <c r="BB231" s="618"/>
      <c r="BC231" s="310" t="str">
        <f>D32</f>
        <v/>
      </c>
      <c r="BD231" s="310" t="str">
        <f t="shared" si="16"/>
        <v/>
      </c>
      <c r="BE231" s="310" t="str">
        <f t="shared" si="17"/>
        <v/>
      </c>
      <c r="BF231" s="310" t="str">
        <f t="shared" si="18"/>
        <v/>
      </c>
      <c r="BG231" s="310" t="str">
        <f t="shared" si="19"/>
        <v/>
      </c>
      <c r="BH231" s="310" t="str">
        <f t="shared" si="14"/>
        <v/>
      </c>
      <c r="BI231" s="310" t="str">
        <f t="shared" si="20"/>
        <v/>
      </c>
      <c r="BJ231" s="310" t="str">
        <f t="shared" si="21"/>
        <v/>
      </c>
      <c r="BK231" s="310" t="str">
        <f t="shared" si="22"/>
        <v/>
      </c>
      <c r="BL231" s="310" t="str">
        <f t="shared" si="23"/>
        <v/>
      </c>
      <c r="BM231" s="310" t="str">
        <f t="shared" si="15"/>
        <v/>
      </c>
      <c r="BN231" s="310" t="str">
        <f t="shared" si="24"/>
        <v/>
      </c>
      <c r="BO231" s="310" t="str">
        <f t="shared" si="25"/>
        <v/>
      </c>
      <c r="BP231" s="310" t="str">
        <f t="shared" si="26"/>
        <v/>
      </c>
      <c r="BQ231" s="310" t="str">
        <f t="shared" si="27"/>
        <v/>
      </c>
      <c r="BR231" s="310" t="str">
        <f t="shared" si="30"/>
        <v/>
      </c>
      <c r="BS231" s="132"/>
    </row>
    <row r="232" spans="53:71" ht="24.95" customHeight="1" x14ac:dyDescent="0.25">
      <c r="BA232" s="618" t="str">
        <f t="shared" ref="BA232:BA234" si="31">A33</f>
        <v>SL-6.5 ABNORMAL VARIATION IN "OTHER SERVICE CONDITIONS" DATA</v>
      </c>
      <c r="BB232" s="618"/>
      <c r="BC232" s="310" t="str">
        <f t="shared" ref="BC232:BC234" si="32">D33</f>
        <v/>
      </c>
      <c r="BD232" s="310" t="str">
        <f t="shared" si="16"/>
        <v/>
      </c>
      <c r="BE232" s="310" t="str">
        <f t="shared" si="17"/>
        <v/>
      </c>
      <c r="BF232" s="310" t="str">
        <f t="shared" si="18"/>
        <v/>
      </c>
      <c r="BG232" s="310" t="str">
        <f t="shared" si="19"/>
        <v/>
      </c>
      <c r="BH232" s="310" t="str">
        <f t="shared" si="14"/>
        <v/>
      </c>
      <c r="BI232" s="310" t="str">
        <f t="shared" si="20"/>
        <v/>
      </c>
      <c r="BJ232" s="310" t="str">
        <f t="shared" si="21"/>
        <v/>
      </c>
      <c r="BK232" s="310" t="str">
        <f t="shared" si="22"/>
        <v/>
      </c>
      <c r="BL232" s="310" t="str">
        <f t="shared" si="23"/>
        <v/>
      </c>
      <c r="BM232" s="310" t="str">
        <f t="shared" si="15"/>
        <v/>
      </c>
      <c r="BN232" s="310" t="str">
        <f t="shared" si="24"/>
        <v/>
      </c>
      <c r="BO232" s="310" t="str">
        <f t="shared" si="25"/>
        <v/>
      </c>
      <c r="BP232" s="310" t="str">
        <f t="shared" si="26"/>
        <v/>
      </c>
      <c r="BQ232" s="310" t="str">
        <f t="shared" si="27"/>
        <v/>
      </c>
      <c r="BR232" s="310" t="str">
        <f t="shared" si="30"/>
        <v/>
      </c>
      <c r="BS232" s="132"/>
    </row>
    <row r="233" spans="53:71" ht="24.95" customHeight="1" x14ac:dyDescent="0.25">
      <c r="BA233" s="618" t="str">
        <f t="shared" si="31"/>
        <v>SL-9 ABNORMAL VARIATION IN "CAUSES NOT KNOWN" DATA</v>
      </c>
      <c r="BB233" s="618"/>
      <c r="BC233" s="310" t="str">
        <f t="shared" si="32"/>
        <v/>
      </c>
      <c r="BD233" s="310" t="str">
        <f t="shared" si="16"/>
        <v/>
      </c>
      <c r="BE233" s="310" t="str">
        <f t="shared" si="17"/>
        <v/>
      </c>
      <c r="BF233" s="310" t="str">
        <f t="shared" si="18"/>
        <v/>
      </c>
      <c r="BG233" s="310" t="str">
        <f t="shared" si="19"/>
        <v/>
      </c>
      <c r="BH233" s="310" t="str">
        <f t="shared" si="14"/>
        <v/>
      </c>
      <c r="BI233" s="310" t="str">
        <f t="shared" si="20"/>
        <v/>
      </c>
      <c r="BJ233" s="310" t="str">
        <f t="shared" si="21"/>
        <v/>
      </c>
      <c r="BK233" s="310" t="str">
        <f t="shared" si="22"/>
        <v/>
      </c>
      <c r="BL233" s="310" t="str">
        <f t="shared" si="23"/>
        <v/>
      </c>
      <c r="BM233" s="310" t="str">
        <f t="shared" si="15"/>
        <v/>
      </c>
      <c r="BN233" s="310" t="str">
        <f t="shared" si="24"/>
        <v/>
      </c>
      <c r="BO233" s="310" t="str">
        <f t="shared" si="25"/>
        <v/>
      </c>
      <c r="BP233" s="310" t="str">
        <f t="shared" si="26"/>
        <v/>
      </c>
      <c r="BQ233" s="310" t="str">
        <f t="shared" si="27"/>
        <v/>
      </c>
      <c r="BR233" s="310" t="str">
        <f t="shared" si="30"/>
        <v/>
      </c>
      <c r="BS233" s="132"/>
    </row>
    <row r="234" spans="53:71" ht="24.95" customHeight="1" x14ac:dyDescent="0.25">
      <c r="BA234" s="618" t="str">
        <f t="shared" si="31"/>
        <v>SL-10 ABNORMAL VARIATION IN "OTHER CAUSES" DATA</v>
      </c>
      <c r="BB234" s="618"/>
      <c r="BC234" s="310" t="str">
        <f t="shared" si="32"/>
        <v/>
      </c>
      <c r="BD234" s="310" t="str">
        <f t="shared" si="16"/>
        <v/>
      </c>
      <c r="BE234" s="310" t="str">
        <f t="shared" si="17"/>
        <v/>
      </c>
      <c r="BF234" s="310" t="str">
        <f t="shared" si="18"/>
        <v/>
      </c>
      <c r="BG234" s="310" t="str">
        <f t="shared" si="19"/>
        <v/>
      </c>
      <c r="BH234" s="310" t="str">
        <f t="shared" si="14"/>
        <v/>
      </c>
      <c r="BI234" s="310" t="str">
        <f t="shared" si="20"/>
        <v/>
      </c>
      <c r="BJ234" s="310" t="str">
        <f t="shared" si="21"/>
        <v/>
      </c>
      <c r="BK234" s="310" t="str">
        <f t="shared" si="22"/>
        <v/>
      </c>
      <c r="BL234" s="310" t="str">
        <f t="shared" si="23"/>
        <v/>
      </c>
      <c r="BM234" s="310" t="str">
        <f t="shared" si="15"/>
        <v/>
      </c>
      <c r="BN234" s="310" t="str">
        <f t="shared" si="24"/>
        <v/>
      </c>
      <c r="BO234" s="310" t="str">
        <f t="shared" si="25"/>
        <v/>
      </c>
      <c r="BP234" s="310" t="str">
        <f t="shared" si="26"/>
        <v/>
      </c>
      <c r="BQ234" s="310" t="str">
        <f t="shared" si="27"/>
        <v/>
      </c>
      <c r="BR234" s="310" t="str">
        <f t="shared" si="30"/>
        <v/>
      </c>
      <c r="BS234" s="132"/>
    </row>
    <row r="235" spans="53:71" x14ac:dyDescent="0.25">
      <c r="BA235" s="133"/>
      <c r="BB235" s="132"/>
      <c r="BC235" s="132"/>
      <c r="BD235" s="132"/>
      <c r="BE235" s="132"/>
      <c r="BF235" s="132"/>
      <c r="BG235" s="132"/>
      <c r="BH235" s="132"/>
      <c r="BI235" s="132"/>
      <c r="BJ235" s="132"/>
      <c r="BK235" s="132"/>
      <c r="BL235" s="132"/>
      <c r="BM235" s="132"/>
      <c r="BN235" s="132"/>
      <c r="BO235" s="132"/>
      <c r="BP235" s="132"/>
      <c r="BQ235" s="132"/>
      <c r="BR235" s="132"/>
      <c r="BS235" s="132"/>
    </row>
    <row r="236" spans="53:71" x14ac:dyDescent="0.25">
      <c r="BA236" s="132"/>
      <c r="BB236" s="132"/>
      <c r="BC236" s="132"/>
      <c r="BD236" s="132"/>
      <c r="BE236" s="132"/>
      <c r="BF236" s="132"/>
      <c r="BG236" s="132"/>
      <c r="BH236" s="132"/>
      <c r="BI236" s="132"/>
      <c r="BJ236" s="132"/>
      <c r="BK236" s="132"/>
      <c r="BL236" s="132"/>
      <c r="BM236" s="132"/>
      <c r="BN236" s="132"/>
      <c r="BO236" s="132"/>
      <c r="BP236" s="132"/>
      <c r="BQ236" s="132"/>
      <c r="BR236" s="132"/>
      <c r="BS236" s="132"/>
    </row>
    <row r="237" spans="53:71" x14ac:dyDescent="0.25">
      <c r="BA237" s="132"/>
      <c r="BB237" s="132"/>
      <c r="BC237" s="132"/>
      <c r="BD237" s="132"/>
      <c r="BE237" s="132"/>
      <c r="BF237" s="132"/>
      <c r="BG237" s="132"/>
      <c r="BH237" s="132"/>
      <c r="BI237" s="132"/>
      <c r="BJ237" s="132"/>
      <c r="BK237" s="132"/>
      <c r="BL237" s="132"/>
      <c r="BM237" s="132"/>
      <c r="BN237" s="132"/>
      <c r="BO237" s="132"/>
      <c r="BP237" s="132"/>
      <c r="BQ237" s="132"/>
      <c r="BR237" s="132"/>
      <c r="BS237" s="132"/>
    </row>
    <row r="238" spans="53:71" x14ac:dyDescent="0.25">
      <c r="BA238" s="132"/>
      <c r="BB238" s="132"/>
      <c r="BC238" s="132"/>
      <c r="BD238" s="132"/>
      <c r="BE238" s="132"/>
      <c r="BF238" s="132"/>
      <c r="BG238" s="132"/>
      <c r="BH238" s="132"/>
      <c r="BI238" s="132"/>
      <c r="BJ238" s="132"/>
      <c r="BK238" s="132"/>
      <c r="BL238" s="132"/>
      <c r="BM238" s="132"/>
      <c r="BN238" s="132"/>
      <c r="BO238" s="132"/>
      <c r="BP238" s="132"/>
      <c r="BQ238" s="132"/>
      <c r="BR238" s="132"/>
      <c r="BS238" s="132"/>
    </row>
    <row r="239" spans="53:71" x14ac:dyDescent="0.25">
      <c r="BA239" s="132"/>
      <c r="BB239" s="132"/>
      <c r="BC239" s="132"/>
      <c r="BD239" s="132"/>
      <c r="BE239" s="132"/>
      <c r="BF239" s="132"/>
      <c r="BG239" s="132"/>
      <c r="BH239" s="132"/>
      <c r="BI239" s="132"/>
      <c r="BJ239" s="132"/>
      <c r="BK239" s="132"/>
      <c r="BL239" s="132"/>
      <c r="BM239" s="132"/>
      <c r="BN239" s="132"/>
      <c r="BO239" s="132"/>
      <c r="BP239" s="132"/>
      <c r="BQ239" s="132"/>
      <c r="BR239" s="132"/>
      <c r="BS239" s="132"/>
    </row>
    <row r="240" spans="53:71" x14ac:dyDescent="0.25">
      <c r="BA240" s="132"/>
      <c r="BB240" s="132"/>
      <c r="BC240" s="132"/>
      <c r="BD240" s="132"/>
      <c r="BE240" s="132"/>
      <c r="BF240" s="132"/>
      <c r="BG240" s="132"/>
      <c r="BH240" s="132"/>
      <c r="BI240" s="132"/>
      <c r="BJ240" s="132"/>
      <c r="BK240" s="132"/>
      <c r="BL240" s="132"/>
      <c r="BM240" s="132"/>
      <c r="BN240" s="132"/>
      <c r="BO240" s="132"/>
      <c r="BP240" s="132"/>
      <c r="BQ240" s="132"/>
      <c r="BR240" s="132"/>
      <c r="BS240" s="132"/>
    </row>
    <row r="500" spans="1:20" s="365" customFormat="1" x14ac:dyDescent="0.25">
      <c r="A500" s="208" t="s">
        <v>450</v>
      </c>
      <c r="B500" s="208" t="s">
        <v>451</v>
      </c>
      <c r="C500" s="208" t="s">
        <v>452</v>
      </c>
      <c r="D500" s="208" t="s">
        <v>453</v>
      </c>
      <c r="E500" s="208" t="s">
        <v>455</v>
      </c>
      <c r="F500" s="208" t="s">
        <v>456</v>
      </c>
      <c r="G500" s="208" t="s">
        <v>457</v>
      </c>
      <c r="H500" s="208" t="s">
        <v>458</v>
      </c>
      <c r="I500" s="208" t="s">
        <v>459</v>
      </c>
      <c r="J500" s="208" t="s">
        <v>461</v>
      </c>
      <c r="K500" s="208" t="s">
        <v>462</v>
      </c>
      <c r="L500" s="208" t="s">
        <v>463</v>
      </c>
      <c r="M500" s="208" t="s">
        <v>464</v>
      </c>
      <c r="N500" s="208" t="s">
        <v>465</v>
      </c>
      <c r="O500" s="208" t="s">
        <v>467</v>
      </c>
      <c r="P500" s="208" t="s">
        <v>468</v>
      </c>
      <c r="Q500" s="208" t="s">
        <v>469</v>
      </c>
      <c r="R500" s="208" t="s">
        <v>470</v>
      </c>
      <c r="S500" s="208" t="s">
        <v>471</v>
      </c>
      <c r="T500" s="208" t="s">
        <v>150</v>
      </c>
    </row>
    <row r="501" spans="1:20" s="365" customFormat="1" ht="12.75" x14ac:dyDescent="0.2">
      <c r="A501" s="348">
        <f>IF(ADSI!$G$12="",ADSI!$H$16,ADSI!$H$12)</f>
        <v>6</v>
      </c>
      <c r="B501" s="348" t="str">
        <f ca="1">IF(ADSI!$G$12="",ADSI!$H$16,ADSI!$H$14)</f>
        <v/>
      </c>
      <c r="C501" s="403">
        <f>A9</f>
        <v>1075</v>
      </c>
      <c r="D501" s="348">
        <f>ADSI!$K$12</f>
        <v>2021</v>
      </c>
      <c r="E501" s="367">
        <f>D9</f>
        <v>0</v>
      </c>
      <c r="F501" s="367">
        <f t="shared" ref="F501:T501" si="33">E9</f>
        <v>0</v>
      </c>
      <c r="G501" s="367">
        <f t="shared" si="33"/>
        <v>0</v>
      </c>
      <c r="H501" s="367">
        <f t="shared" si="33"/>
        <v>0</v>
      </c>
      <c r="I501" s="367">
        <f t="shared" si="33"/>
        <v>0</v>
      </c>
      <c r="J501" s="367">
        <f t="shared" si="33"/>
        <v>0</v>
      </c>
      <c r="K501" s="367">
        <f t="shared" si="33"/>
        <v>0</v>
      </c>
      <c r="L501" s="367">
        <f t="shared" si="33"/>
        <v>0</v>
      </c>
      <c r="M501" s="367">
        <f t="shared" si="33"/>
        <v>0</v>
      </c>
      <c r="N501" s="367">
        <f t="shared" si="33"/>
        <v>0</v>
      </c>
      <c r="O501" s="367">
        <f t="shared" si="33"/>
        <v>0</v>
      </c>
      <c r="P501" s="367">
        <f t="shared" si="33"/>
        <v>0</v>
      </c>
      <c r="Q501" s="367">
        <f t="shared" si="33"/>
        <v>0</v>
      </c>
      <c r="R501" s="367">
        <f t="shared" si="33"/>
        <v>0</v>
      </c>
      <c r="S501" s="367">
        <f t="shared" si="33"/>
        <v>0</v>
      </c>
      <c r="T501" s="367">
        <f t="shared" si="33"/>
        <v>0</v>
      </c>
    </row>
    <row r="502" spans="1:20" s="365" customFormat="1" ht="12.75" x14ac:dyDescent="0.2">
      <c r="A502" s="348">
        <f>IF(ADSI!$G$12="",ADSI!$H$16,ADSI!$H$12)</f>
        <v>6</v>
      </c>
      <c r="B502" s="348" t="str">
        <f ca="1">IF(ADSI!$G$12="",ADSI!$H$16,ADSI!$H$14)</f>
        <v/>
      </c>
      <c r="C502" s="403">
        <f t="shared" ref="C502:C521" si="34">A10</f>
        <v>1076</v>
      </c>
      <c r="D502" s="348">
        <f>ADSI!$K$12</f>
        <v>2021</v>
      </c>
      <c r="E502" s="367">
        <f t="shared" ref="E502:T502" si="35">D10</f>
        <v>0</v>
      </c>
      <c r="F502" s="367">
        <f t="shared" si="35"/>
        <v>0</v>
      </c>
      <c r="G502" s="367">
        <f t="shared" si="35"/>
        <v>0</v>
      </c>
      <c r="H502" s="367">
        <f t="shared" si="35"/>
        <v>0</v>
      </c>
      <c r="I502" s="367">
        <f t="shared" si="35"/>
        <v>0</v>
      </c>
      <c r="J502" s="367">
        <f t="shared" si="35"/>
        <v>0</v>
      </c>
      <c r="K502" s="367">
        <f t="shared" si="35"/>
        <v>0</v>
      </c>
      <c r="L502" s="367">
        <f t="shared" si="35"/>
        <v>0</v>
      </c>
      <c r="M502" s="367">
        <f t="shared" si="35"/>
        <v>0</v>
      </c>
      <c r="N502" s="367">
        <f t="shared" si="35"/>
        <v>0</v>
      </c>
      <c r="O502" s="367">
        <f t="shared" si="35"/>
        <v>0</v>
      </c>
      <c r="P502" s="367">
        <f t="shared" si="35"/>
        <v>0</v>
      </c>
      <c r="Q502" s="367">
        <f t="shared" si="35"/>
        <v>0</v>
      </c>
      <c r="R502" s="367">
        <f t="shared" si="35"/>
        <v>0</v>
      </c>
      <c r="S502" s="367">
        <f t="shared" si="35"/>
        <v>0</v>
      </c>
      <c r="T502" s="367">
        <f t="shared" si="35"/>
        <v>0</v>
      </c>
    </row>
    <row r="503" spans="1:20" s="365" customFormat="1" ht="12.75" x14ac:dyDescent="0.2">
      <c r="A503" s="348">
        <f>IF(ADSI!$G$12="",ADSI!$H$16,ADSI!$H$12)</f>
        <v>6</v>
      </c>
      <c r="B503" s="348" t="str">
        <f ca="1">IF(ADSI!$G$12="",ADSI!$H$16,ADSI!$H$14)</f>
        <v/>
      </c>
      <c r="C503" s="403">
        <f t="shared" si="34"/>
        <v>1077</v>
      </c>
      <c r="D503" s="348">
        <f>ADSI!$K$12</f>
        <v>2021</v>
      </c>
      <c r="E503" s="367">
        <f t="shared" ref="E503:T503" si="36">D11</f>
        <v>0</v>
      </c>
      <c r="F503" s="367">
        <f t="shared" si="36"/>
        <v>0</v>
      </c>
      <c r="G503" s="367">
        <f t="shared" si="36"/>
        <v>0</v>
      </c>
      <c r="H503" s="367">
        <f t="shared" si="36"/>
        <v>0</v>
      </c>
      <c r="I503" s="367">
        <f t="shared" si="36"/>
        <v>0</v>
      </c>
      <c r="J503" s="367">
        <f t="shared" si="36"/>
        <v>0</v>
      </c>
      <c r="K503" s="367">
        <f t="shared" si="36"/>
        <v>0</v>
      </c>
      <c r="L503" s="367">
        <f t="shared" si="36"/>
        <v>0</v>
      </c>
      <c r="M503" s="367">
        <f t="shared" si="36"/>
        <v>0</v>
      </c>
      <c r="N503" s="367">
        <f t="shared" si="36"/>
        <v>0</v>
      </c>
      <c r="O503" s="367">
        <f t="shared" si="36"/>
        <v>0</v>
      </c>
      <c r="P503" s="367">
        <f t="shared" si="36"/>
        <v>0</v>
      </c>
      <c r="Q503" s="367">
        <f t="shared" si="36"/>
        <v>0</v>
      </c>
      <c r="R503" s="367">
        <f t="shared" si="36"/>
        <v>0</v>
      </c>
      <c r="S503" s="367">
        <f t="shared" si="36"/>
        <v>0</v>
      </c>
      <c r="T503" s="367">
        <f t="shared" si="36"/>
        <v>0</v>
      </c>
    </row>
    <row r="504" spans="1:20" s="365" customFormat="1" ht="12.75" x14ac:dyDescent="0.2">
      <c r="A504" s="348">
        <f>IF(ADSI!$G$12="",ADSI!$H$16,ADSI!$H$12)</f>
        <v>6</v>
      </c>
      <c r="B504" s="348" t="str">
        <f ca="1">IF(ADSI!$G$12="",ADSI!$H$16,ADSI!$H$14)</f>
        <v/>
      </c>
      <c r="C504" s="403">
        <f t="shared" si="34"/>
        <v>1078</v>
      </c>
      <c r="D504" s="348">
        <f>ADSI!$K$12</f>
        <v>2021</v>
      </c>
      <c r="E504" s="367">
        <f t="shared" ref="E504:T504" si="37">D12</f>
        <v>0</v>
      </c>
      <c r="F504" s="367">
        <f t="shared" si="37"/>
        <v>0</v>
      </c>
      <c r="G504" s="367">
        <f t="shared" si="37"/>
        <v>0</v>
      </c>
      <c r="H504" s="367">
        <f t="shared" si="37"/>
        <v>0</v>
      </c>
      <c r="I504" s="367">
        <f t="shared" si="37"/>
        <v>0</v>
      </c>
      <c r="J504" s="367">
        <f t="shared" si="37"/>
        <v>0</v>
      </c>
      <c r="K504" s="367">
        <f t="shared" si="37"/>
        <v>0</v>
      </c>
      <c r="L504" s="367">
        <f t="shared" si="37"/>
        <v>0</v>
      </c>
      <c r="M504" s="367">
        <f t="shared" si="37"/>
        <v>0</v>
      </c>
      <c r="N504" s="367">
        <f t="shared" si="37"/>
        <v>0</v>
      </c>
      <c r="O504" s="367">
        <f t="shared" si="37"/>
        <v>0</v>
      </c>
      <c r="P504" s="367">
        <f t="shared" si="37"/>
        <v>0</v>
      </c>
      <c r="Q504" s="367">
        <f t="shared" si="37"/>
        <v>0</v>
      </c>
      <c r="R504" s="367">
        <f t="shared" si="37"/>
        <v>0</v>
      </c>
      <c r="S504" s="367">
        <f t="shared" si="37"/>
        <v>0</v>
      </c>
      <c r="T504" s="367">
        <f t="shared" si="37"/>
        <v>0</v>
      </c>
    </row>
    <row r="505" spans="1:20" s="365" customFormat="1" ht="12.75" x14ac:dyDescent="0.2">
      <c r="A505" s="348">
        <f>IF(ADSI!$G$12="",ADSI!$H$16,ADSI!$H$12)</f>
        <v>6</v>
      </c>
      <c r="B505" s="348" t="str">
        <f ca="1">IF(ADSI!$G$12="",ADSI!$H$16,ADSI!$H$14)</f>
        <v/>
      </c>
      <c r="C505" s="403">
        <f t="shared" si="34"/>
        <v>1079</v>
      </c>
      <c r="D505" s="348">
        <f>ADSI!$K$12</f>
        <v>2021</v>
      </c>
      <c r="E505" s="367">
        <f t="shared" ref="E505:T505" si="38">D13</f>
        <v>0</v>
      </c>
      <c r="F505" s="367">
        <f t="shared" si="38"/>
        <v>0</v>
      </c>
      <c r="G505" s="367">
        <f t="shared" si="38"/>
        <v>0</v>
      </c>
      <c r="H505" s="367">
        <f t="shared" si="38"/>
        <v>0</v>
      </c>
      <c r="I505" s="367">
        <f t="shared" si="38"/>
        <v>0</v>
      </c>
      <c r="J505" s="367">
        <f t="shared" si="38"/>
        <v>0</v>
      </c>
      <c r="K505" s="367">
        <f t="shared" si="38"/>
        <v>0</v>
      </c>
      <c r="L505" s="367">
        <f t="shared" si="38"/>
        <v>0</v>
      </c>
      <c r="M505" s="367">
        <f t="shared" si="38"/>
        <v>0</v>
      </c>
      <c r="N505" s="367">
        <f t="shared" si="38"/>
        <v>0</v>
      </c>
      <c r="O505" s="367">
        <f t="shared" si="38"/>
        <v>0</v>
      </c>
      <c r="P505" s="367">
        <f t="shared" si="38"/>
        <v>0</v>
      </c>
      <c r="Q505" s="367">
        <f t="shared" si="38"/>
        <v>0</v>
      </c>
      <c r="R505" s="367">
        <f t="shared" si="38"/>
        <v>0</v>
      </c>
      <c r="S505" s="367">
        <f t="shared" si="38"/>
        <v>0</v>
      </c>
      <c r="T505" s="367">
        <f t="shared" si="38"/>
        <v>0</v>
      </c>
    </row>
    <row r="506" spans="1:20" s="365" customFormat="1" ht="12.75" x14ac:dyDescent="0.2">
      <c r="A506" s="348">
        <f>IF(ADSI!$G$12="",ADSI!$H$16,ADSI!$H$12)</f>
        <v>6</v>
      </c>
      <c r="B506" s="348" t="str">
        <f ca="1">IF(ADSI!$G$12="",ADSI!$H$16,ADSI!$H$14)</f>
        <v/>
      </c>
      <c r="C506" s="403">
        <f t="shared" si="34"/>
        <v>1080</v>
      </c>
      <c r="D506" s="348">
        <f>ADSI!$K$12</f>
        <v>2021</v>
      </c>
      <c r="E506" s="367">
        <f t="shared" ref="E506:T506" si="39">D14</f>
        <v>0</v>
      </c>
      <c r="F506" s="367">
        <f t="shared" si="39"/>
        <v>0</v>
      </c>
      <c r="G506" s="367">
        <f t="shared" si="39"/>
        <v>0</v>
      </c>
      <c r="H506" s="367">
        <f t="shared" si="39"/>
        <v>0</v>
      </c>
      <c r="I506" s="367">
        <f t="shared" si="39"/>
        <v>0</v>
      </c>
      <c r="J506" s="367">
        <f t="shared" si="39"/>
        <v>0</v>
      </c>
      <c r="K506" s="367">
        <f t="shared" si="39"/>
        <v>0</v>
      </c>
      <c r="L506" s="367">
        <f t="shared" si="39"/>
        <v>0</v>
      </c>
      <c r="M506" s="367">
        <f t="shared" si="39"/>
        <v>0</v>
      </c>
      <c r="N506" s="367">
        <f t="shared" si="39"/>
        <v>0</v>
      </c>
      <c r="O506" s="367">
        <f t="shared" si="39"/>
        <v>0</v>
      </c>
      <c r="P506" s="367">
        <f t="shared" si="39"/>
        <v>0</v>
      </c>
      <c r="Q506" s="367">
        <f t="shared" si="39"/>
        <v>0</v>
      </c>
      <c r="R506" s="367">
        <f t="shared" si="39"/>
        <v>0</v>
      </c>
      <c r="S506" s="367">
        <f t="shared" si="39"/>
        <v>0</v>
      </c>
      <c r="T506" s="367">
        <f t="shared" si="39"/>
        <v>0</v>
      </c>
    </row>
    <row r="507" spans="1:20" s="365" customFormat="1" ht="12.75" x14ac:dyDescent="0.2">
      <c r="A507" s="348">
        <f>IF(ADSI!$G$12="",ADSI!$H$16,ADSI!$H$12)</f>
        <v>6</v>
      </c>
      <c r="B507" s="348" t="str">
        <f ca="1">IF(ADSI!$G$12="",ADSI!$H$16,ADSI!$H$14)</f>
        <v/>
      </c>
      <c r="C507" s="403">
        <f t="shared" si="34"/>
        <v>1081</v>
      </c>
      <c r="D507" s="348">
        <f>ADSI!$K$12</f>
        <v>2021</v>
      </c>
      <c r="E507" s="367">
        <f t="shared" ref="E507:T507" si="40">D15</f>
        <v>0</v>
      </c>
      <c r="F507" s="367">
        <f t="shared" si="40"/>
        <v>0</v>
      </c>
      <c r="G507" s="367">
        <f t="shared" si="40"/>
        <v>0</v>
      </c>
      <c r="H507" s="367">
        <f t="shared" si="40"/>
        <v>0</v>
      </c>
      <c r="I507" s="367">
        <f t="shared" si="40"/>
        <v>0</v>
      </c>
      <c r="J507" s="367">
        <f t="shared" si="40"/>
        <v>0</v>
      </c>
      <c r="K507" s="367">
        <f t="shared" si="40"/>
        <v>0</v>
      </c>
      <c r="L507" s="367">
        <f t="shared" si="40"/>
        <v>0</v>
      </c>
      <c r="M507" s="367">
        <f t="shared" si="40"/>
        <v>0</v>
      </c>
      <c r="N507" s="367">
        <f t="shared" si="40"/>
        <v>0</v>
      </c>
      <c r="O507" s="367">
        <f t="shared" si="40"/>
        <v>0</v>
      </c>
      <c r="P507" s="367">
        <f t="shared" si="40"/>
        <v>0</v>
      </c>
      <c r="Q507" s="367">
        <f t="shared" si="40"/>
        <v>0</v>
      </c>
      <c r="R507" s="367">
        <f t="shared" si="40"/>
        <v>0</v>
      </c>
      <c r="S507" s="367">
        <f t="shared" si="40"/>
        <v>0</v>
      </c>
      <c r="T507" s="367">
        <f t="shared" si="40"/>
        <v>0</v>
      </c>
    </row>
    <row r="508" spans="1:20" s="365" customFormat="1" ht="12.75" x14ac:dyDescent="0.2">
      <c r="A508" s="348">
        <f>IF(ADSI!$G$12="",ADSI!$H$16,ADSI!$H$12)</f>
        <v>6</v>
      </c>
      <c r="B508" s="348" t="str">
        <f ca="1">IF(ADSI!$G$12="",ADSI!$H$16,ADSI!$H$14)</f>
        <v/>
      </c>
      <c r="C508" s="403">
        <f t="shared" si="34"/>
        <v>1082</v>
      </c>
      <c r="D508" s="348">
        <f>ADSI!$K$12</f>
        <v>2021</v>
      </c>
      <c r="E508" s="367">
        <f t="shared" ref="E508:T508" si="41">D16</f>
        <v>0</v>
      </c>
      <c r="F508" s="367">
        <f t="shared" si="41"/>
        <v>0</v>
      </c>
      <c r="G508" s="367">
        <f t="shared" si="41"/>
        <v>0</v>
      </c>
      <c r="H508" s="367">
        <f t="shared" si="41"/>
        <v>0</v>
      </c>
      <c r="I508" s="367">
        <f t="shared" si="41"/>
        <v>0</v>
      </c>
      <c r="J508" s="367">
        <f t="shared" si="41"/>
        <v>0</v>
      </c>
      <c r="K508" s="367">
        <f t="shared" si="41"/>
        <v>0</v>
      </c>
      <c r="L508" s="367">
        <f t="shared" si="41"/>
        <v>0</v>
      </c>
      <c r="M508" s="367">
        <f t="shared" si="41"/>
        <v>0</v>
      </c>
      <c r="N508" s="367">
        <f t="shared" si="41"/>
        <v>0</v>
      </c>
      <c r="O508" s="367">
        <f t="shared" si="41"/>
        <v>0</v>
      </c>
      <c r="P508" s="367">
        <f t="shared" si="41"/>
        <v>0</v>
      </c>
      <c r="Q508" s="367">
        <f t="shared" si="41"/>
        <v>0</v>
      </c>
      <c r="R508" s="367">
        <f t="shared" si="41"/>
        <v>0</v>
      </c>
      <c r="S508" s="367">
        <f t="shared" si="41"/>
        <v>0</v>
      </c>
      <c r="T508" s="367">
        <f t="shared" si="41"/>
        <v>0</v>
      </c>
    </row>
    <row r="509" spans="1:20" s="365" customFormat="1" ht="12.75" x14ac:dyDescent="0.2">
      <c r="A509" s="348">
        <f>IF(ADSI!$G$12="",ADSI!$H$16,ADSI!$H$12)</f>
        <v>6</v>
      </c>
      <c r="B509" s="348" t="str">
        <f ca="1">IF(ADSI!$G$12="",ADSI!$H$16,ADSI!$H$14)</f>
        <v/>
      </c>
      <c r="C509" s="403">
        <f t="shared" si="34"/>
        <v>1083</v>
      </c>
      <c r="D509" s="348">
        <f>ADSI!$K$12</f>
        <v>2021</v>
      </c>
      <c r="E509" s="367">
        <f t="shared" ref="E509:T509" si="42">D17</f>
        <v>0</v>
      </c>
      <c r="F509" s="367">
        <f t="shared" si="42"/>
        <v>0</v>
      </c>
      <c r="G509" s="367">
        <f t="shared" si="42"/>
        <v>0</v>
      </c>
      <c r="H509" s="367">
        <f t="shared" si="42"/>
        <v>0</v>
      </c>
      <c r="I509" s="367">
        <f t="shared" si="42"/>
        <v>0</v>
      </c>
      <c r="J509" s="367">
        <f t="shared" si="42"/>
        <v>0</v>
      </c>
      <c r="K509" s="367">
        <f t="shared" si="42"/>
        <v>0</v>
      </c>
      <c r="L509" s="367">
        <f t="shared" si="42"/>
        <v>0</v>
      </c>
      <c r="M509" s="367">
        <f t="shared" si="42"/>
        <v>0</v>
      </c>
      <c r="N509" s="367">
        <f t="shared" si="42"/>
        <v>0</v>
      </c>
      <c r="O509" s="367">
        <f t="shared" si="42"/>
        <v>0</v>
      </c>
      <c r="P509" s="367">
        <f t="shared" si="42"/>
        <v>0</v>
      </c>
      <c r="Q509" s="367">
        <f t="shared" si="42"/>
        <v>0</v>
      </c>
      <c r="R509" s="367">
        <f t="shared" si="42"/>
        <v>0</v>
      </c>
      <c r="S509" s="367">
        <f t="shared" si="42"/>
        <v>0</v>
      </c>
      <c r="T509" s="367">
        <f t="shared" si="42"/>
        <v>0</v>
      </c>
    </row>
    <row r="510" spans="1:20" s="365" customFormat="1" ht="12.75" x14ac:dyDescent="0.2">
      <c r="A510" s="348">
        <f>IF(ADSI!$G$12="",ADSI!$H$16,ADSI!$H$12)</f>
        <v>6</v>
      </c>
      <c r="B510" s="348" t="str">
        <f ca="1">IF(ADSI!$G$12="",ADSI!$H$16,ADSI!$H$14)</f>
        <v/>
      </c>
      <c r="C510" s="403">
        <f t="shared" si="34"/>
        <v>1084</v>
      </c>
      <c r="D510" s="348">
        <f>ADSI!$K$12</f>
        <v>2021</v>
      </c>
      <c r="E510" s="367">
        <f t="shared" ref="E510:T510" si="43">D18</f>
        <v>0</v>
      </c>
      <c r="F510" s="367">
        <f t="shared" si="43"/>
        <v>0</v>
      </c>
      <c r="G510" s="367">
        <f t="shared" si="43"/>
        <v>0</v>
      </c>
      <c r="H510" s="367">
        <f t="shared" si="43"/>
        <v>0</v>
      </c>
      <c r="I510" s="367">
        <f t="shared" si="43"/>
        <v>0</v>
      </c>
      <c r="J510" s="367">
        <f t="shared" si="43"/>
        <v>0</v>
      </c>
      <c r="K510" s="367">
        <f t="shared" si="43"/>
        <v>0</v>
      </c>
      <c r="L510" s="367">
        <f t="shared" si="43"/>
        <v>0</v>
      </c>
      <c r="M510" s="367">
        <f t="shared" si="43"/>
        <v>0</v>
      </c>
      <c r="N510" s="367">
        <f t="shared" si="43"/>
        <v>0</v>
      </c>
      <c r="O510" s="367">
        <f t="shared" si="43"/>
        <v>0</v>
      </c>
      <c r="P510" s="367">
        <f t="shared" si="43"/>
        <v>0</v>
      </c>
      <c r="Q510" s="367">
        <f t="shared" si="43"/>
        <v>0</v>
      </c>
      <c r="R510" s="367">
        <f t="shared" si="43"/>
        <v>0</v>
      </c>
      <c r="S510" s="367">
        <f t="shared" si="43"/>
        <v>0</v>
      </c>
      <c r="T510" s="367">
        <f t="shared" si="43"/>
        <v>0</v>
      </c>
    </row>
    <row r="511" spans="1:20" s="365" customFormat="1" ht="12.75" x14ac:dyDescent="0.2">
      <c r="A511" s="348">
        <f>IF(ADSI!$G$12="",ADSI!$H$16,ADSI!$H$12)</f>
        <v>6</v>
      </c>
      <c r="B511" s="348" t="str">
        <f ca="1">IF(ADSI!$G$12="",ADSI!$H$16,ADSI!$H$14)</f>
        <v/>
      </c>
      <c r="C511" s="403">
        <f t="shared" si="34"/>
        <v>1085</v>
      </c>
      <c r="D511" s="348">
        <f>ADSI!$K$12</f>
        <v>2021</v>
      </c>
      <c r="E511" s="367">
        <f t="shared" ref="E511:T511" si="44">D19</f>
        <v>0</v>
      </c>
      <c r="F511" s="367">
        <f t="shared" si="44"/>
        <v>0</v>
      </c>
      <c r="G511" s="367">
        <f t="shared" si="44"/>
        <v>0</v>
      </c>
      <c r="H511" s="367">
        <f t="shared" si="44"/>
        <v>0</v>
      </c>
      <c r="I511" s="367">
        <f t="shared" si="44"/>
        <v>0</v>
      </c>
      <c r="J511" s="367">
        <f t="shared" si="44"/>
        <v>0</v>
      </c>
      <c r="K511" s="367">
        <f t="shared" si="44"/>
        <v>0</v>
      </c>
      <c r="L511" s="367">
        <f t="shared" si="44"/>
        <v>0</v>
      </c>
      <c r="M511" s="367">
        <f t="shared" si="44"/>
        <v>0</v>
      </c>
      <c r="N511" s="367">
        <f t="shared" si="44"/>
        <v>0</v>
      </c>
      <c r="O511" s="367">
        <f t="shared" si="44"/>
        <v>0</v>
      </c>
      <c r="P511" s="367">
        <f t="shared" si="44"/>
        <v>0</v>
      </c>
      <c r="Q511" s="367">
        <f t="shared" si="44"/>
        <v>0</v>
      </c>
      <c r="R511" s="367">
        <f t="shared" si="44"/>
        <v>0</v>
      </c>
      <c r="S511" s="367">
        <f t="shared" si="44"/>
        <v>0</v>
      </c>
      <c r="T511" s="367">
        <f t="shared" si="44"/>
        <v>0</v>
      </c>
    </row>
    <row r="512" spans="1:20" s="365" customFormat="1" ht="12.75" x14ac:dyDescent="0.2">
      <c r="A512" s="348">
        <f>IF(ADSI!$G$12="",ADSI!$H$16,ADSI!$H$12)</f>
        <v>6</v>
      </c>
      <c r="B512" s="348" t="str">
        <f ca="1">IF(ADSI!$G$12="",ADSI!$H$16,ADSI!$H$14)</f>
        <v/>
      </c>
      <c r="C512" s="403">
        <f t="shared" si="34"/>
        <v>1086</v>
      </c>
      <c r="D512" s="348">
        <f>ADSI!$K$12</f>
        <v>2021</v>
      </c>
      <c r="E512" s="367">
        <f t="shared" ref="E512:T512" si="45">D20</f>
        <v>0</v>
      </c>
      <c r="F512" s="367">
        <f t="shared" si="45"/>
        <v>0</v>
      </c>
      <c r="G512" s="367">
        <f t="shared" si="45"/>
        <v>0</v>
      </c>
      <c r="H512" s="367">
        <f t="shared" si="45"/>
        <v>0</v>
      </c>
      <c r="I512" s="367">
        <f t="shared" si="45"/>
        <v>0</v>
      </c>
      <c r="J512" s="367">
        <f t="shared" si="45"/>
        <v>0</v>
      </c>
      <c r="K512" s="367">
        <f t="shared" si="45"/>
        <v>0</v>
      </c>
      <c r="L512" s="367">
        <f t="shared" si="45"/>
        <v>0</v>
      </c>
      <c r="M512" s="367">
        <f t="shared" si="45"/>
        <v>0</v>
      </c>
      <c r="N512" s="367">
        <f t="shared" si="45"/>
        <v>0</v>
      </c>
      <c r="O512" s="367">
        <f t="shared" si="45"/>
        <v>0</v>
      </c>
      <c r="P512" s="367">
        <f t="shared" si="45"/>
        <v>0</v>
      </c>
      <c r="Q512" s="367">
        <f t="shared" si="45"/>
        <v>0</v>
      </c>
      <c r="R512" s="367">
        <f t="shared" si="45"/>
        <v>0</v>
      </c>
      <c r="S512" s="367">
        <f t="shared" si="45"/>
        <v>0</v>
      </c>
      <c r="T512" s="367">
        <f t="shared" si="45"/>
        <v>0</v>
      </c>
    </row>
    <row r="513" spans="1:20" s="365" customFormat="1" ht="12.75" x14ac:dyDescent="0.2">
      <c r="A513" s="348">
        <f>IF(ADSI!$G$12="",ADSI!$H$16,ADSI!$H$12)</f>
        <v>6</v>
      </c>
      <c r="B513" s="348" t="str">
        <f ca="1">IF(ADSI!$G$12="",ADSI!$H$16,ADSI!$H$14)</f>
        <v/>
      </c>
      <c r="C513" s="403">
        <f t="shared" si="34"/>
        <v>1087</v>
      </c>
      <c r="D513" s="348">
        <f>ADSI!$K$12</f>
        <v>2021</v>
      </c>
      <c r="E513" s="367">
        <f t="shared" ref="E513:T513" si="46">D21</f>
        <v>0</v>
      </c>
      <c r="F513" s="367">
        <f t="shared" si="46"/>
        <v>0</v>
      </c>
      <c r="G513" s="367">
        <f t="shared" si="46"/>
        <v>0</v>
      </c>
      <c r="H513" s="367">
        <f t="shared" si="46"/>
        <v>0</v>
      </c>
      <c r="I513" s="367">
        <f t="shared" si="46"/>
        <v>0</v>
      </c>
      <c r="J513" s="367">
        <f t="shared" si="46"/>
        <v>0</v>
      </c>
      <c r="K513" s="367">
        <f t="shared" si="46"/>
        <v>0</v>
      </c>
      <c r="L513" s="367">
        <f t="shared" si="46"/>
        <v>0</v>
      </c>
      <c r="M513" s="367">
        <f t="shared" si="46"/>
        <v>0</v>
      </c>
      <c r="N513" s="367">
        <f t="shared" si="46"/>
        <v>0</v>
      </c>
      <c r="O513" s="367">
        <f t="shared" si="46"/>
        <v>0</v>
      </c>
      <c r="P513" s="367">
        <f t="shared" si="46"/>
        <v>0</v>
      </c>
      <c r="Q513" s="367">
        <f t="shared" si="46"/>
        <v>0</v>
      </c>
      <c r="R513" s="367">
        <f t="shared" si="46"/>
        <v>0</v>
      </c>
      <c r="S513" s="367">
        <f t="shared" si="46"/>
        <v>0</v>
      </c>
      <c r="T513" s="367">
        <f t="shared" si="46"/>
        <v>0</v>
      </c>
    </row>
    <row r="514" spans="1:20" s="365" customFormat="1" ht="12.75" x14ac:dyDescent="0.2">
      <c r="A514" s="348">
        <f>IF(ADSI!$G$12="",ADSI!$H$16,ADSI!$H$12)</f>
        <v>6</v>
      </c>
      <c r="B514" s="348" t="str">
        <f ca="1">IF(ADSI!$G$12="",ADSI!$H$16,ADSI!$H$14)</f>
        <v/>
      </c>
      <c r="C514" s="403">
        <f t="shared" si="34"/>
        <v>1088</v>
      </c>
      <c r="D514" s="348">
        <f>ADSI!$K$12</f>
        <v>2021</v>
      </c>
      <c r="E514" s="367">
        <f t="shared" ref="E514:T514" si="47">D22</f>
        <v>0</v>
      </c>
      <c r="F514" s="367">
        <f t="shared" si="47"/>
        <v>0</v>
      </c>
      <c r="G514" s="367">
        <f t="shared" si="47"/>
        <v>0</v>
      </c>
      <c r="H514" s="367">
        <f t="shared" si="47"/>
        <v>0</v>
      </c>
      <c r="I514" s="367">
        <f t="shared" si="47"/>
        <v>0</v>
      </c>
      <c r="J514" s="367">
        <f t="shared" si="47"/>
        <v>0</v>
      </c>
      <c r="K514" s="367">
        <f t="shared" si="47"/>
        <v>0</v>
      </c>
      <c r="L514" s="367">
        <f t="shared" si="47"/>
        <v>0</v>
      </c>
      <c r="M514" s="367">
        <f t="shared" si="47"/>
        <v>0</v>
      </c>
      <c r="N514" s="367">
        <f t="shared" si="47"/>
        <v>0</v>
      </c>
      <c r="O514" s="367">
        <f t="shared" si="47"/>
        <v>0</v>
      </c>
      <c r="P514" s="367">
        <f t="shared" si="47"/>
        <v>0</v>
      </c>
      <c r="Q514" s="367">
        <f t="shared" si="47"/>
        <v>0</v>
      </c>
      <c r="R514" s="367">
        <f t="shared" si="47"/>
        <v>0</v>
      </c>
      <c r="S514" s="367">
        <f t="shared" si="47"/>
        <v>0</v>
      </c>
      <c r="T514" s="367">
        <f t="shared" si="47"/>
        <v>0</v>
      </c>
    </row>
    <row r="515" spans="1:20" s="365" customFormat="1" ht="12.75" x14ac:dyDescent="0.2">
      <c r="A515" s="348">
        <f>IF(ADSI!$G$12="",ADSI!$H$16,ADSI!$H$12)</f>
        <v>6</v>
      </c>
      <c r="B515" s="348" t="str">
        <f ca="1">IF(ADSI!$G$12="",ADSI!$H$16,ADSI!$H$14)</f>
        <v/>
      </c>
      <c r="C515" s="403">
        <f t="shared" si="34"/>
        <v>1089</v>
      </c>
      <c r="D515" s="348">
        <f>ADSI!$K$12</f>
        <v>2021</v>
      </c>
      <c r="E515" s="367">
        <f t="shared" ref="E515:T515" si="48">D23</f>
        <v>0</v>
      </c>
      <c r="F515" s="367">
        <f t="shared" si="48"/>
        <v>0</v>
      </c>
      <c r="G515" s="367">
        <f t="shared" si="48"/>
        <v>0</v>
      </c>
      <c r="H515" s="367">
        <f t="shared" si="48"/>
        <v>0</v>
      </c>
      <c r="I515" s="367">
        <f t="shared" si="48"/>
        <v>0</v>
      </c>
      <c r="J515" s="367">
        <f t="shared" si="48"/>
        <v>0</v>
      </c>
      <c r="K515" s="367">
        <f t="shared" si="48"/>
        <v>0</v>
      </c>
      <c r="L515" s="367">
        <f t="shared" si="48"/>
        <v>0</v>
      </c>
      <c r="M515" s="367">
        <f t="shared" si="48"/>
        <v>0</v>
      </c>
      <c r="N515" s="367">
        <f t="shared" si="48"/>
        <v>0</v>
      </c>
      <c r="O515" s="367">
        <f t="shared" si="48"/>
        <v>0</v>
      </c>
      <c r="P515" s="367">
        <f t="shared" si="48"/>
        <v>0</v>
      </c>
      <c r="Q515" s="367">
        <f t="shared" si="48"/>
        <v>0</v>
      </c>
      <c r="R515" s="367">
        <f t="shared" si="48"/>
        <v>0</v>
      </c>
      <c r="S515" s="367">
        <f t="shared" si="48"/>
        <v>0</v>
      </c>
      <c r="T515" s="367">
        <f t="shared" si="48"/>
        <v>0</v>
      </c>
    </row>
    <row r="516" spans="1:20" s="365" customFormat="1" ht="12.75" x14ac:dyDescent="0.2">
      <c r="A516" s="348">
        <f>IF(ADSI!$G$12="",ADSI!$H$16,ADSI!$H$12)</f>
        <v>6</v>
      </c>
      <c r="B516" s="348" t="str">
        <f ca="1">IF(ADSI!$G$12="",ADSI!$H$16,ADSI!$H$14)</f>
        <v/>
      </c>
      <c r="C516" s="403">
        <f t="shared" si="34"/>
        <v>1090</v>
      </c>
      <c r="D516" s="348">
        <f>ADSI!$K$12</f>
        <v>2021</v>
      </c>
      <c r="E516" s="367">
        <f t="shared" ref="E516:T516" si="49">D24</f>
        <v>0</v>
      </c>
      <c r="F516" s="367">
        <f t="shared" si="49"/>
        <v>0</v>
      </c>
      <c r="G516" s="367">
        <f t="shared" si="49"/>
        <v>0</v>
      </c>
      <c r="H516" s="367">
        <f t="shared" si="49"/>
        <v>0</v>
      </c>
      <c r="I516" s="367">
        <f t="shared" si="49"/>
        <v>0</v>
      </c>
      <c r="J516" s="367">
        <f t="shared" si="49"/>
        <v>0</v>
      </c>
      <c r="K516" s="367">
        <f t="shared" si="49"/>
        <v>0</v>
      </c>
      <c r="L516" s="367">
        <f t="shared" si="49"/>
        <v>0</v>
      </c>
      <c r="M516" s="367">
        <f t="shared" si="49"/>
        <v>0</v>
      </c>
      <c r="N516" s="367">
        <f t="shared" si="49"/>
        <v>0</v>
      </c>
      <c r="O516" s="367">
        <f t="shared" si="49"/>
        <v>0</v>
      </c>
      <c r="P516" s="367">
        <f t="shared" si="49"/>
        <v>0</v>
      </c>
      <c r="Q516" s="367">
        <f t="shared" si="49"/>
        <v>0</v>
      </c>
      <c r="R516" s="367">
        <f t="shared" si="49"/>
        <v>0</v>
      </c>
      <c r="S516" s="367">
        <f t="shared" si="49"/>
        <v>0</v>
      </c>
      <c r="T516" s="367">
        <f t="shared" si="49"/>
        <v>0</v>
      </c>
    </row>
    <row r="517" spans="1:20" s="365" customFormat="1" ht="12.75" x14ac:dyDescent="0.2">
      <c r="A517" s="348">
        <f>IF(ADSI!$G$12="",ADSI!$H$16,ADSI!$H$12)</f>
        <v>6</v>
      </c>
      <c r="B517" s="348" t="str">
        <f ca="1">IF(ADSI!$G$12="",ADSI!$H$16,ADSI!$H$14)</f>
        <v/>
      </c>
      <c r="C517" s="403">
        <f t="shared" si="34"/>
        <v>1091</v>
      </c>
      <c r="D517" s="348">
        <f>ADSI!$K$12</f>
        <v>2021</v>
      </c>
      <c r="E517" s="367">
        <f t="shared" ref="E517:T517" si="50">D25</f>
        <v>0</v>
      </c>
      <c r="F517" s="367">
        <f t="shared" si="50"/>
        <v>0</v>
      </c>
      <c r="G517" s="367">
        <f t="shared" si="50"/>
        <v>0</v>
      </c>
      <c r="H517" s="367">
        <f t="shared" si="50"/>
        <v>0</v>
      </c>
      <c r="I517" s="367">
        <f t="shared" si="50"/>
        <v>0</v>
      </c>
      <c r="J517" s="367">
        <f t="shared" si="50"/>
        <v>0</v>
      </c>
      <c r="K517" s="367">
        <f t="shared" si="50"/>
        <v>0</v>
      </c>
      <c r="L517" s="367">
        <f t="shared" si="50"/>
        <v>0</v>
      </c>
      <c r="M517" s="367">
        <f t="shared" si="50"/>
        <v>0</v>
      </c>
      <c r="N517" s="367">
        <f t="shared" si="50"/>
        <v>0</v>
      </c>
      <c r="O517" s="367">
        <f t="shared" si="50"/>
        <v>0</v>
      </c>
      <c r="P517" s="367">
        <f t="shared" si="50"/>
        <v>0</v>
      </c>
      <c r="Q517" s="367">
        <f t="shared" si="50"/>
        <v>0</v>
      </c>
      <c r="R517" s="367">
        <f t="shared" si="50"/>
        <v>0</v>
      </c>
      <c r="S517" s="367">
        <f t="shared" si="50"/>
        <v>0</v>
      </c>
      <c r="T517" s="367">
        <f t="shared" si="50"/>
        <v>0</v>
      </c>
    </row>
    <row r="518" spans="1:20" s="365" customFormat="1" ht="12.75" x14ac:dyDescent="0.2">
      <c r="A518" s="348">
        <f>IF(ADSI!$G$12="",ADSI!$H$16,ADSI!$H$12)</f>
        <v>6</v>
      </c>
      <c r="B518" s="348" t="str">
        <f ca="1">IF(ADSI!$G$12="",ADSI!$H$16,ADSI!$H$14)</f>
        <v/>
      </c>
      <c r="C518" s="403">
        <f t="shared" si="34"/>
        <v>1092</v>
      </c>
      <c r="D518" s="348">
        <f>ADSI!$K$12</f>
        <v>2021</v>
      </c>
      <c r="E518" s="367">
        <f t="shared" ref="E518:T518" si="51">D26</f>
        <v>0</v>
      </c>
      <c r="F518" s="367">
        <f t="shared" si="51"/>
        <v>0</v>
      </c>
      <c r="G518" s="367">
        <f t="shared" si="51"/>
        <v>0</v>
      </c>
      <c r="H518" s="367">
        <f t="shared" si="51"/>
        <v>0</v>
      </c>
      <c r="I518" s="367">
        <f t="shared" si="51"/>
        <v>0</v>
      </c>
      <c r="J518" s="367">
        <f t="shared" si="51"/>
        <v>0</v>
      </c>
      <c r="K518" s="367">
        <f t="shared" si="51"/>
        <v>0</v>
      </c>
      <c r="L518" s="367">
        <f t="shared" si="51"/>
        <v>0</v>
      </c>
      <c r="M518" s="367">
        <f t="shared" si="51"/>
        <v>0</v>
      </c>
      <c r="N518" s="367">
        <f t="shared" si="51"/>
        <v>0</v>
      </c>
      <c r="O518" s="367">
        <f t="shared" si="51"/>
        <v>0</v>
      </c>
      <c r="P518" s="367">
        <f t="shared" si="51"/>
        <v>0</v>
      </c>
      <c r="Q518" s="367">
        <f t="shared" si="51"/>
        <v>0</v>
      </c>
      <c r="R518" s="367">
        <f t="shared" si="51"/>
        <v>0</v>
      </c>
      <c r="S518" s="367">
        <f t="shared" si="51"/>
        <v>0</v>
      </c>
      <c r="T518" s="367">
        <f t="shared" si="51"/>
        <v>0</v>
      </c>
    </row>
    <row r="519" spans="1:20" s="365" customFormat="1" ht="12.75" x14ac:dyDescent="0.2">
      <c r="A519" s="348">
        <f>IF(ADSI!$G$12="",ADSI!$H$16,ADSI!$H$12)</f>
        <v>6</v>
      </c>
      <c r="B519" s="348" t="str">
        <f ca="1">IF(ADSI!$G$12="",ADSI!$H$16,ADSI!$H$14)</f>
        <v/>
      </c>
      <c r="C519" s="403">
        <f t="shared" si="34"/>
        <v>1093</v>
      </c>
      <c r="D519" s="348">
        <f>ADSI!$K$12</f>
        <v>2021</v>
      </c>
      <c r="E519" s="367">
        <f t="shared" ref="E519:T519" si="52">D27</f>
        <v>0</v>
      </c>
      <c r="F519" s="367">
        <f t="shared" si="52"/>
        <v>0</v>
      </c>
      <c r="G519" s="367">
        <f t="shared" si="52"/>
        <v>0</v>
      </c>
      <c r="H519" s="367">
        <f t="shared" si="52"/>
        <v>0</v>
      </c>
      <c r="I519" s="367">
        <f t="shared" si="52"/>
        <v>0</v>
      </c>
      <c r="J519" s="367">
        <f t="shared" si="52"/>
        <v>0</v>
      </c>
      <c r="K519" s="367">
        <f t="shared" si="52"/>
        <v>0</v>
      </c>
      <c r="L519" s="367">
        <f t="shared" si="52"/>
        <v>0</v>
      </c>
      <c r="M519" s="367">
        <f t="shared" si="52"/>
        <v>0</v>
      </c>
      <c r="N519" s="367">
        <f t="shared" si="52"/>
        <v>0</v>
      </c>
      <c r="O519" s="367">
        <f t="shared" si="52"/>
        <v>0</v>
      </c>
      <c r="P519" s="367">
        <f t="shared" si="52"/>
        <v>0</v>
      </c>
      <c r="Q519" s="367">
        <f t="shared" si="52"/>
        <v>0</v>
      </c>
      <c r="R519" s="367">
        <f t="shared" si="52"/>
        <v>0</v>
      </c>
      <c r="S519" s="367">
        <f t="shared" si="52"/>
        <v>0</v>
      </c>
      <c r="T519" s="367">
        <f t="shared" si="52"/>
        <v>0</v>
      </c>
    </row>
    <row r="520" spans="1:20" s="365" customFormat="1" ht="12.75" x14ac:dyDescent="0.2">
      <c r="A520" s="348">
        <f>IF(ADSI!$G$12="",ADSI!$H$16,ADSI!$H$12)</f>
        <v>6</v>
      </c>
      <c r="B520" s="348" t="str">
        <f ca="1">IF(ADSI!$G$12="",ADSI!$H$16,ADSI!$H$14)</f>
        <v/>
      </c>
      <c r="C520" s="403">
        <f>A28</f>
        <v>1094</v>
      </c>
      <c r="D520" s="348">
        <f>ADSI!$K$12</f>
        <v>2021</v>
      </c>
      <c r="E520" s="367">
        <f t="shared" ref="E520:T520" si="53">D28</f>
        <v>0</v>
      </c>
      <c r="F520" s="367">
        <f t="shared" si="53"/>
        <v>0</v>
      </c>
      <c r="G520" s="367">
        <f t="shared" si="53"/>
        <v>0</v>
      </c>
      <c r="H520" s="367">
        <f t="shared" si="53"/>
        <v>0</v>
      </c>
      <c r="I520" s="367">
        <f t="shared" si="53"/>
        <v>0</v>
      </c>
      <c r="J520" s="367">
        <f t="shared" si="53"/>
        <v>0</v>
      </c>
      <c r="K520" s="367">
        <f t="shared" si="53"/>
        <v>0</v>
      </c>
      <c r="L520" s="367">
        <f t="shared" si="53"/>
        <v>0</v>
      </c>
      <c r="M520" s="367">
        <f t="shared" si="53"/>
        <v>0</v>
      </c>
      <c r="N520" s="367">
        <f t="shared" si="53"/>
        <v>0</v>
      </c>
      <c r="O520" s="367">
        <f t="shared" si="53"/>
        <v>0</v>
      </c>
      <c r="P520" s="367">
        <f t="shared" si="53"/>
        <v>0</v>
      </c>
      <c r="Q520" s="367">
        <f t="shared" si="53"/>
        <v>0</v>
      </c>
      <c r="R520" s="367">
        <f t="shared" si="53"/>
        <v>0</v>
      </c>
      <c r="S520" s="367">
        <f t="shared" si="53"/>
        <v>0</v>
      </c>
      <c r="T520" s="367">
        <f t="shared" si="53"/>
        <v>0</v>
      </c>
    </row>
    <row r="521" spans="1:20" s="365" customFormat="1" ht="12.75" x14ac:dyDescent="0.2">
      <c r="A521" s="348">
        <f>IF(ADSI!$G$12="",ADSI!$H$16,ADSI!$H$12)</f>
        <v>6</v>
      </c>
      <c r="B521" s="348" t="str">
        <f ca="1">IF(ADSI!$G$12="",ADSI!$H$16,ADSI!$H$14)</f>
        <v/>
      </c>
      <c r="C521" s="403">
        <f t="shared" si="34"/>
        <v>1110</v>
      </c>
      <c r="D521" s="348">
        <f>ADSI!$K$12</f>
        <v>2021</v>
      </c>
      <c r="E521" s="367">
        <f t="shared" ref="E521:T521" si="54">D29</f>
        <v>0</v>
      </c>
      <c r="F521" s="367">
        <f t="shared" si="54"/>
        <v>0</v>
      </c>
      <c r="G521" s="367">
        <f t="shared" si="54"/>
        <v>0</v>
      </c>
      <c r="H521" s="367">
        <f t="shared" si="54"/>
        <v>0</v>
      </c>
      <c r="I521" s="367">
        <f t="shared" si="54"/>
        <v>0</v>
      </c>
      <c r="J521" s="367">
        <f t="shared" si="54"/>
        <v>0</v>
      </c>
      <c r="K521" s="367">
        <f t="shared" si="54"/>
        <v>0</v>
      </c>
      <c r="L521" s="367">
        <f t="shared" si="54"/>
        <v>0</v>
      </c>
      <c r="M521" s="367">
        <f t="shared" si="54"/>
        <v>0</v>
      </c>
      <c r="N521" s="367">
        <f t="shared" si="54"/>
        <v>0</v>
      </c>
      <c r="O521" s="367">
        <f t="shared" si="54"/>
        <v>0</v>
      </c>
      <c r="P521" s="367">
        <f t="shared" si="54"/>
        <v>0</v>
      </c>
      <c r="Q521" s="367">
        <f t="shared" si="54"/>
        <v>0</v>
      </c>
      <c r="R521" s="367">
        <f t="shared" si="54"/>
        <v>0</v>
      </c>
      <c r="S521" s="367">
        <f t="shared" si="54"/>
        <v>0</v>
      </c>
      <c r="T521" s="367">
        <f t="shared" si="54"/>
        <v>0</v>
      </c>
    </row>
    <row r="522" spans="1:20" s="365" customFormat="1" ht="12.75" x14ac:dyDescent="0.2">
      <c r="C522" s="366"/>
    </row>
    <row r="523" spans="1:20" s="365" customFormat="1" ht="12.75" x14ac:dyDescent="0.2">
      <c r="C523" s="366"/>
    </row>
    <row r="524" spans="1:20" s="365" customFormat="1" ht="12.75" x14ac:dyDescent="0.2"/>
    <row r="525" spans="1:20" s="365" customFormat="1" ht="12.75" x14ac:dyDescent="0.2"/>
    <row r="526" spans="1:20" s="365" customFormat="1" ht="12.75" x14ac:dyDescent="0.2"/>
  </sheetData>
  <sheetProtection password="C614" sheet="1" objects="1" scenarios="1" selectLockedCells="1"/>
  <mergeCells count="29">
    <mergeCell ref="BA231:BB231"/>
    <mergeCell ref="BA232:BB232"/>
    <mergeCell ref="BA233:BB233"/>
    <mergeCell ref="BA234:BB234"/>
    <mergeCell ref="BR204:BR206"/>
    <mergeCell ref="BA204:BA206"/>
    <mergeCell ref="BB204:BB206"/>
    <mergeCell ref="BC204:BQ204"/>
    <mergeCell ref="BM205:BQ205"/>
    <mergeCell ref="BH205:BL205"/>
    <mergeCell ref="BC205:BG205"/>
    <mergeCell ref="BA230:BB230"/>
    <mergeCell ref="BA229:BB229"/>
    <mergeCell ref="S5:S7"/>
    <mergeCell ref="D6:H6"/>
    <mergeCell ref="I6:M6"/>
    <mergeCell ref="N6:R6"/>
    <mergeCell ref="D5:R5"/>
    <mergeCell ref="D36:M36"/>
    <mergeCell ref="A32:C32"/>
    <mergeCell ref="A33:C33"/>
    <mergeCell ref="A34:C34"/>
    <mergeCell ref="A35:C35"/>
    <mergeCell ref="G1:P2"/>
    <mergeCell ref="A5:A7"/>
    <mergeCell ref="A30:C30"/>
    <mergeCell ref="A31:C31"/>
    <mergeCell ref="B5:B7"/>
    <mergeCell ref="C5:C7"/>
  </mergeCells>
  <conditionalFormatting sqref="H31:L31">
    <cfRule type="cellIs" dxfId="8" priority="7" operator="equal">
      <formula>FALSE</formula>
    </cfRule>
  </conditionalFormatting>
  <conditionalFormatting sqref="M31">
    <cfRule type="cellIs" dxfId="7" priority="6" operator="equal">
      <formula>FALSE</formula>
    </cfRule>
  </conditionalFormatting>
  <conditionalFormatting sqref="R31:S31">
    <cfRule type="cellIs" dxfId="6" priority="5" operator="equal">
      <formula>FALSE</formula>
    </cfRule>
  </conditionalFormatting>
  <conditionalFormatting sqref="D31:G31">
    <cfRule type="cellIs" dxfId="5" priority="4" operator="equal">
      <formula>FALSE</formula>
    </cfRule>
  </conditionalFormatting>
  <conditionalFormatting sqref="N31:Q31">
    <cfRule type="cellIs" dxfId="4" priority="3" operator="equal">
      <formula>FALSE</formula>
    </cfRule>
  </conditionalFormatting>
  <conditionalFormatting sqref="D32:S35">
    <cfRule type="cellIs" dxfId="3" priority="1" operator="equal">
      <formula>"ABVAR"</formula>
    </cfRule>
    <cfRule type="cellIs" dxfId="2" priority="2" operator="equal">
      <formula>FALSE</formula>
    </cfRule>
  </conditionalFormatting>
  <dataValidations count="1">
    <dataValidation type="whole" allowBlank="1" showInputMessage="1" showErrorMessage="1" sqref="D9:G9 I9:L9 N20:Q28 D11:G18 I20:L28 D20:G28 N9:Q9 I11:L18 N11:Q18">
      <formula1>0</formula1>
      <formula2>999999999</formula2>
    </dataValidation>
  </dataValidations>
  <pageMargins left="0.59055118110236227" right="0.31496062992125984" top="1.1811023622047245" bottom="1.1811023622047245" header="0.31496062992125984" footer="0.19685039370078741"/>
  <pageSetup paperSize="5" orientation="landscape" r:id="rId1"/>
  <headerFooter>
    <oddFooter>&amp;L&amp;9ADSI - &amp;A&amp;C&amp;9&amp;D &amp;T&amp;R&amp;9Page &amp;P of &amp;N</oddFooter>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BO515"/>
  <sheetViews>
    <sheetView showGridLines="0" workbookViewId="0">
      <pane xSplit="3" ySplit="8" topLeftCell="D9" activePane="bottomRight" state="frozen"/>
      <selection activeCell="D9" sqref="D9"/>
      <selection pane="topRight" activeCell="D9" sqref="D9"/>
      <selection pane="bottomLeft" activeCell="D9" sqref="D9"/>
      <selection pane="bottomRight" activeCell="D9" sqref="D9:O9"/>
    </sheetView>
  </sheetViews>
  <sheetFormatPr defaultRowHeight="15" x14ac:dyDescent="0.25"/>
  <cols>
    <col min="1" max="2" width="6.7109375" style="2" customWidth="1"/>
    <col min="3" max="3" width="29.28515625" style="2" customWidth="1"/>
    <col min="4" max="6" width="12.7109375" style="2" customWidth="1"/>
    <col min="7" max="7" width="15.7109375" style="2" customWidth="1"/>
    <col min="8" max="10" width="12.7109375" style="2" customWidth="1"/>
    <col min="11" max="15" width="15.7109375" style="2" customWidth="1"/>
    <col min="16" max="16" width="8.7109375" style="2" customWidth="1"/>
    <col min="17" max="52" width="9.140625" style="2"/>
    <col min="53" max="53" width="5.28515625" style="2" customWidth="1"/>
    <col min="54" max="54" width="27.28515625" style="2" customWidth="1"/>
    <col min="55" max="16384" width="9.140625" style="2"/>
  </cols>
  <sheetData>
    <row r="1" spans="1:20" ht="15.75" x14ac:dyDescent="0.25">
      <c r="A1" s="285" t="str">
        <f>ADSI!$B$1</f>
        <v>Goa, , ADSI-2021</v>
      </c>
    </row>
    <row r="2" spans="1:20" ht="15.75" x14ac:dyDescent="0.25">
      <c r="A2" s="286" t="s">
        <v>657</v>
      </c>
      <c r="C2" s="287">
        <f>COUNTIF(L20:O20,FALSE)+COUNTIF(D18,FALSE)</f>
        <v>0</v>
      </c>
    </row>
    <row r="3" spans="1:20" ht="15.75" x14ac:dyDescent="0.25">
      <c r="A3" s="296" t="s">
        <v>647</v>
      </c>
      <c r="C3" s="60"/>
      <c r="D3" s="60"/>
      <c r="E3" s="60"/>
      <c r="F3" s="60"/>
      <c r="G3" s="60"/>
      <c r="H3" s="60"/>
      <c r="I3" s="60"/>
      <c r="J3" s="61"/>
      <c r="K3" s="172"/>
      <c r="L3" s="172"/>
      <c r="M3" s="35"/>
      <c r="O3" s="172"/>
      <c r="P3" s="113"/>
      <c r="Q3" s="113"/>
      <c r="R3" s="113"/>
      <c r="S3" s="113"/>
      <c r="T3" s="113"/>
    </row>
    <row r="4" spans="1:20" x14ac:dyDescent="0.25">
      <c r="A4" s="296" t="s">
        <v>167</v>
      </c>
      <c r="C4" s="60"/>
      <c r="D4" s="60"/>
      <c r="E4" s="60"/>
      <c r="F4" s="60"/>
      <c r="G4" s="60"/>
      <c r="H4" s="60"/>
      <c r="I4" s="60"/>
      <c r="J4" s="61"/>
      <c r="K4" s="61"/>
      <c r="L4" s="61"/>
      <c r="O4" s="61"/>
      <c r="P4" s="113"/>
      <c r="Q4" s="113"/>
      <c r="R4" s="113"/>
      <c r="S4" s="113"/>
      <c r="T4" s="113"/>
    </row>
    <row r="5" spans="1:20" ht="20.100000000000001" customHeight="1" x14ac:dyDescent="0.25">
      <c r="A5" s="725" t="s">
        <v>249</v>
      </c>
      <c r="B5" s="725" t="s">
        <v>0</v>
      </c>
      <c r="C5" s="728" t="s">
        <v>167</v>
      </c>
      <c r="D5" s="710" t="s">
        <v>168</v>
      </c>
      <c r="E5" s="711"/>
      <c r="F5" s="711"/>
      <c r="G5" s="711"/>
      <c r="H5" s="711"/>
      <c r="I5" s="711"/>
      <c r="J5" s="711"/>
      <c r="K5" s="711"/>
      <c r="L5" s="711"/>
      <c r="M5" s="711"/>
      <c r="N5" s="711"/>
      <c r="O5" s="712"/>
    </row>
    <row r="6" spans="1:20" ht="20.100000000000001" customHeight="1" x14ac:dyDescent="0.25">
      <c r="A6" s="726"/>
      <c r="B6" s="726"/>
      <c r="C6" s="729"/>
      <c r="D6" s="649" t="s">
        <v>152</v>
      </c>
      <c r="E6" s="649"/>
      <c r="F6" s="649"/>
      <c r="G6" s="649"/>
      <c r="H6" s="686" t="s">
        <v>155</v>
      </c>
      <c r="I6" s="686"/>
      <c r="J6" s="686"/>
      <c r="K6" s="686"/>
      <c r="L6" s="649" t="s">
        <v>150</v>
      </c>
      <c r="M6" s="649"/>
      <c r="N6" s="649"/>
      <c r="O6" s="649"/>
    </row>
    <row r="7" spans="1:20" ht="20.100000000000001" customHeight="1" x14ac:dyDescent="0.25">
      <c r="A7" s="727"/>
      <c r="B7" s="727"/>
      <c r="C7" s="730"/>
      <c r="D7" s="107" t="s">
        <v>38</v>
      </c>
      <c r="E7" s="107" t="s">
        <v>39</v>
      </c>
      <c r="F7" s="107" t="s">
        <v>240</v>
      </c>
      <c r="G7" s="107" t="s">
        <v>17</v>
      </c>
      <c r="H7" s="226" t="s">
        <v>38</v>
      </c>
      <c r="I7" s="226" t="s">
        <v>39</v>
      </c>
      <c r="J7" s="226" t="s">
        <v>240</v>
      </c>
      <c r="K7" s="226" t="s">
        <v>17</v>
      </c>
      <c r="L7" s="107" t="s">
        <v>38</v>
      </c>
      <c r="M7" s="107" t="s">
        <v>39</v>
      </c>
      <c r="N7" s="107" t="s">
        <v>240</v>
      </c>
      <c r="O7" s="107" t="s">
        <v>17</v>
      </c>
    </row>
    <row r="8" spans="1:20" ht="20.100000000000001" customHeight="1" x14ac:dyDescent="0.25">
      <c r="A8" s="8"/>
      <c r="B8" s="8" t="s">
        <v>181</v>
      </c>
      <c r="C8" s="219" t="s">
        <v>182</v>
      </c>
      <c r="D8" s="9" t="s">
        <v>183</v>
      </c>
      <c r="E8" s="9" t="s">
        <v>184</v>
      </c>
      <c r="F8" s="9" t="s">
        <v>185</v>
      </c>
      <c r="G8" s="8" t="s">
        <v>186</v>
      </c>
      <c r="H8" s="219" t="s">
        <v>187</v>
      </c>
      <c r="I8" s="219" t="s">
        <v>188</v>
      </c>
      <c r="J8" s="219" t="s">
        <v>189</v>
      </c>
      <c r="K8" s="219" t="s">
        <v>190</v>
      </c>
      <c r="L8" s="8" t="s">
        <v>191</v>
      </c>
      <c r="M8" s="8" t="s">
        <v>192</v>
      </c>
      <c r="N8" s="8" t="s">
        <v>193</v>
      </c>
      <c r="O8" s="8" t="s">
        <v>194</v>
      </c>
    </row>
    <row r="9" spans="1:20" s="120" customFormat="1" ht="31.5" x14ac:dyDescent="0.25">
      <c r="A9" s="123">
        <v>1125</v>
      </c>
      <c r="B9" s="116">
        <v>1</v>
      </c>
      <c r="C9" s="121" t="s">
        <v>442</v>
      </c>
      <c r="D9" s="864">
        <v>1</v>
      </c>
      <c r="E9" s="865"/>
      <c r="F9" s="865"/>
      <c r="G9" s="865"/>
      <c r="H9" s="865"/>
      <c r="I9" s="865"/>
      <c r="J9" s="865"/>
      <c r="K9" s="865"/>
      <c r="L9" s="865"/>
      <c r="M9" s="865"/>
      <c r="N9" s="865"/>
      <c r="O9" s="866"/>
      <c r="P9" s="339"/>
    </row>
    <row r="10" spans="1:20" s="120" customFormat="1" ht="18.75" customHeight="1" x14ac:dyDescent="0.25">
      <c r="A10" s="230"/>
      <c r="B10" s="230"/>
      <c r="C10" s="867" t="s">
        <v>443</v>
      </c>
      <c r="D10" s="868"/>
      <c r="E10" s="868"/>
      <c r="F10" s="868"/>
      <c r="G10" s="868"/>
      <c r="H10" s="868"/>
      <c r="I10" s="868"/>
      <c r="J10" s="868"/>
      <c r="K10" s="868"/>
      <c r="L10" s="868"/>
      <c r="M10" s="868"/>
      <c r="N10" s="868"/>
      <c r="O10" s="869"/>
      <c r="P10" s="338"/>
    </row>
    <row r="11" spans="1:20" ht="20.100000000000001" customHeight="1" x14ac:dyDescent="0.25">
      <c r="A11" s="116">
        <v>1126</v>
      </c>
      <c r="B11" s="116">
        <v>2</v>
      </c>
      <c r="C11" s="13" t="s">
        <v>169</v>
      </c>
      <c r="D11" s="265">
        <v>0</v>
      </c>
      <c r="E11" s="265">
        <v>0</v>
      </c>
      <c r="F11" s="265">
        <v>0</v>
      </c>
      <c r="G11" s="438">
        <f>SUM(D11:F11)</f>
        <v>0</v>
      </c>
      <c r="H11" s="265">
        <v>0</v>
      </c>
      <c r="I11" s="265">
        <v>0</v>
      </c>
      <c r="J11" s="265">
        <v>0</v>
      </c>
      <c r="K11" s="438">
        <f>SUM(H11:J11)</f>
        <v>0</v>
      </c>
      <c r="L11" s="438">
        <f>SUM(D11+H11)</f>
        <v>0</v>
      </c>
      <c r="M11" s="438">
        <f>SUM(E11+I11)</f>
        <v>0</v>
      </c>
      <c r="N11" s="438">
        <f>SUM(F11+J11)</f>
        <v>0</v>
      </c>
      <c r="O11" s="438">
        <f>SUM(L11:N11)</f>
        <v>0</v>
      </c>
      <c r="P11" s="336"/>
    </row>
    <row r="12" spans="1:20" ht="20.100000000000001" customHeight="1" x14ac:dyDescent="0.25">
      <c r="A12" s="116">
        <v>1127</v>
      </c>
      <c r="B12" s="116">
        <v>3</v>
      </c>
      <c r="C12" s="13" t="s">
        <v>170</v>
      </c>
      <c r="D12" s="265">
        <v>0</v>
      </c>
      <c r="E12" s="265">
        <v>0</v>
      </c>
      <c r="F12" s="265">
        <v>0</v>
      </c>
      <c r="G12" s="438">
        <f t="shared" ref="G12:G16" si="0">SUM(D12:F12)</f>
        <v>0</v>
      </c>
      <c r="H12" s="265">
        <v>0</v>
      </c>
      <c r="I12" s="265">
        <v>0</v>
      </c>
      <c r="J12" s="265">
        <v>0</v>
      </c>
      <c r="K12" s="438">
        <f t="shared" ref="K12:K16" si="1">SUM(H12:J12)</f>
        <v>0</v>
      </c>
      <c r="L12" s="438">
        <f t="shared" ref="L12:N16" si="2">SUM(D12+H12)</f>
        <v>0</v>
      </c>
      <c r="M12" s="438">
        <f t="shared" si="2"/>
        <v>0</v>
      </c>
      <c r="N12" s="438">
        <f t="shared" si="2"/>
        <v>0</v>
      </c>
      <c r="O12" s="438">
        <f t="shared" ref="O12:O16" si="3">SUM(L12:N12)</f>
        <v>0</v>
      </c>
      <c r="P12" s="336"/>
    </row>
    <row r="13" spans="1:20" ht="20.100000000000001" customHeight="1" x14ac:dyDescent="0.25">
      <c r="A13" s="116">
        <v>1128</v>
      </c>
      <c r="B13" s="116">
        <v>4</v>
      </c>
      <c r="C13" s="13" t="s">
        <v>171</v>
      </c>
      <c r="D13" s="265">
        <v>1</v>
      </c>
      <c r="E13" s="265">
        <v>1</v>
      </c>
      <c r="F13" s="265">
        <v>0</v>
      </c>
      <c r="G13" s="438">
        <f t="shared" si="0"/>
        <v>2</v>
      </c>
      <c r="H13" s="265">
        <v>0</v>
      </c>
      <c r="I13" s="265">
        <v>0</v>
      </c>
      <c r="J13" s="265">
        <v>0</v>
      </c>
      <c r="K13" s="438">
        <f t="shared" si="1"/>
        <v>0</v>
      </c>
      <c r="L13" s="438">
        <f t="shared" si="2"/>
        <v>1</v>
      </c>
      <c r="M13" s="438">
        <f t="shared" si="2"/>
        <v>1</v>
      </c>
      <c r="N13" s="438">
        <f t="shared" si="2"/>
        <v>0</v>
      </c>
      <c r="O13" s="438">
        <f t="shared" si="3"/>
        <v>2</v>
      </c>
      <c r="P13" s="336"/>
    </row>
    <row r="14" spans="1:20" ht="20.100000000000001" customHeight="1" x14ac:dyDescent="0.25">
      <c r="A14" s="116">
        <v>1129</v>
      </c>
      <c r="B14" s="116">
        <v>5</v>
      </c>
      <c r="C14" s="13" t="s">
        <v>15</v>
      </c>
      <c r="D14" s="265">
        <v>1</v>
      </c>
      <c r="E14" s="265">
        <v>0</v>
      </c>
      <c r="F14" s="265">
        <v>0</v>
      </c>
      <c r="G14" s="438">
        <f t="shared" si="0"/>
        <v>1</v>
      </c>
      <c r="H14" s="265">
        <v>0</v>
      </c>
      <c r="I14" s="265">
        <v>0</v>
      </c>
      <c r="J14" s="265">
        <v>0</v>
      </c>
      <c r="K14" s="438">
        <f t="shared" si="1"/>
        <v>0</v>
      </c>
      <c r="L14" s="438">
        <f t="shared" si="2"/>
        <v>1</v>
      </c>
      <c r="M14" s="438">
        <f t="shared" si="2"/>
        <v>0</v>
      </c>
      <c r="N14" s="438">
        <f t="shared" si="2"/>
        <v>0</v>
      </c>
      <c r="O14" s="438">
        <f t="shared" si="3"/>
        <v>1</v>
      </c>
      <c r="P14" s="336"/>
    </row>
    <row r="15" spans="1:20" ht="20.100000000000001" customHeight="1" x14ac:dyDescent="0.25">
      <c r="A15" s="116">
        <v>1130</v>
      </c>
      <c r="B15" s="116">
        <v>6</v>
      </c>
      <c r="C15" s="13" t="s">
        <v>178</v>
      </c>
      <c r="D15" s="265">
        <v>0</v>
      </c>
      <c r="E15" s="265">
        <v>0</v>
      </c>
      <c r="F15" s="265">
        <v>0</v>
      </c>
      <c r="G15" s="438">
        <f t="shared" si="0"/>
        <v>0</v>
      </c>
      <c r="H15" s="265">
        <v>0</v>
      </c>
      <c r="I15" s="265">
        <v>0</v>
      </c>
      <c r="J15" s="265">
        <v>0</v>
      </c>
      <c r="K15" s="438">
        <f t="shared" si="1"/>
        <v>0</v>
      </c>
      <c r="L15" s="438">
        <f t="shared" si="2"/>
        <v>0</v>
      </c>
      <c r="M15" s="438">
        <f t="shared" si="2"/>
        <v>0</v>
      </c>
      <c r="N15" s="438">
        <f t="shared" si="2"/>
        <v>0</v>
      </c>
      <c r="O15" s="438">
        <f t="shared" si="3"/>
        <v>0</v>
      </c>
      <c r="P15" s="336"/>
    </row>
    <row r="16" spans="1:20" ht="20.100000000000001" customHeight="1" x14ac:dyDescent="0.25">
      <c r="A16" s="116">
        <v>1131</v>
      </c>
      <c r="B16" s="274">
        <v>7</v>
      </c>
      <c r="C16" s="13" t="s">
        <v>16</v>
      </c>
      <c r="D16" s="265">
        <v>0</v>
      </c>
      <c r="E16" s="265">
        <v>0</v>
      </c>
      <c r="F16" s="265">
        <v>0</v>
      </c>
      <c r="G16" s="438">
        <f t="shared" si="0"/>
        <v>0</v>
      </c>
      <c r="H16" s="265">
        <v>0</v>
      </c>
      <c r="I16" s="265">
        <v>0</v>
      </c>
      <c r="J16" s="265">
        <v>0</v>
      </c>
      <c r="K16" s="438">
        <f t="shared" si="1"/>
        <v>0</v>
      </c>
      <c r="L16" s="438">
        <f t="shared" si="2"/>
        <v>0</v>
      </c>
      <c r="M16" s="438">
        <f t="shared" si="2"/>
        <v>0</v>
      </c>
      <c r="N16" s="438">
        <f t="shared" si="2"/>
        <v>0</v>
      </c>
      <c r="O16" s="438">
        <f t="shared" si="3"/>
        <v>0</v>
      </c>
      <c r="P16" s="336"/>
    </row>
    <row r="17" spans="1:16" ht="20.100000000000001" customHeight="1" x14ac:dyDescent="0.25">
      <c r="A17" s="116">
        <v>1132</v>
      </c>
      <c r="B17" s="272">
        <v>8</v>
      </c>
      <c r="C17" s="18" t="s">
        <v>648</v>
      </c>
      <c r="D17" s="441">
        <f t="shared" ref="D17:N17" si="4">SUM(D11:D16)</f>
        <v>2</v>
      </c>
      <c r="E17" s="441">
        <f t="shared" si="4"/>
        <v>1</v>
      </c>
      <c r="F17" s="441">
        <f t="shared" si="4"/>
        <v>0</v>
      </c>
      <c r="G17" s="441">
        <f>SUM(D17:F17)</f>
        <v>3</v>
      </c>
      <c r="H17" s="441">
        <f t="shared" si="4"/>
        <v>0</v>
      </c>
      <c r="I17" s="441">
        <f t="shared" si="4"/>
        <v>0</v>
      </c>
      <c r="J17" s="441">
        <f t="shared" si="4"/>
        <v>0</v>
      </c>
      <c r="K17" s="441">
        <f>SUM(H17:J17)</f>
        <v>0</v>
      </c>
      <c r="L17" s="441">
        <f t="shared" si="4"/>
        <v>2</v>
      </c>
      <c r="M17" s="441">
        <f t="shared" si="4"/>
        <v>1</v>
      </c>
      <c r="N17" s="441">
        <f t="shared" si="4"/>
        <v>0</v>
      </c>
      <c r="O17" s="441">
        <f>SUM(L17:N17)</f>
        <v>3</v>
      </c>
      <c r="P17" s="336"/>
    </row>
    <row r="18" spans="1:16" ht="20.100000000000001" customHeight="1" x14ac:dyDescent="0.25">
      <c r="A18" s="870" t="s">
        <v>589</v>
      </c>
      <c r="B18" s="870"/>
      <c r="C18" s="870"/>
      <c r="D18" s="871" t="str">
        <f>IF(AND(OR(G17&gt;0,K17&gt;0),D9=0),FALSE,"")</f>
        <v/>
      </c>
      <c r="E18" s="872"/>
      <c r="F18" s="872"/>
      <c r="G18" s="872"/>
      <c r="H18" s="872"/>
      <c r="I18" s="872"/>
      <c r="J18" s="872"/>
      <c r="K18" s="872"/>
      <c r="L18" s="872"/>
      <c r="M18" s="872"/>
      <c r="N18" s="872"/>
      <c r="O18" s="873"/>
    </row>
    <row r="19" spans="1:16" ht="18.75" customHeight="1" x14ac:dyDescent="0.25">
      <c r="A19" s="858" t="s">
        <v>672</v>
      </c>
      <c r="B19" s="858"/>
      <c r="C19" s="858"/>
      <c r="D19" s="860" t="s">
        <v>650</v>
      </c>
      <c r="E19" s="860"/>
      <c r="F19" s="860"/>
      <c r="G19" s="860"/>
      <c r="H19" s="860"/>
      <c r="I19" s="860"/>
      <c r="J19" s="860"/>
      <c r="K19" s="861"/>
      <c r="L19" s="304">
        <f>'P-XIV'!J38</f>
        <v>249</v>
      </c>
      <c r="M19" s="400">
        <f>'P-XIV'!Q38</f>
        <v>72</v>
      </c>
      <c r="N19" s="400">
        <f>'P-XIV'!X38</f>
        <v>0</v>
      </c>
      <c r="O19" s="400">
        <f>'P-XIV'!Y38</f>
        <v>321</v>
      </c>
    </row>
    <row r="20" spans="1:16" s="124" customFormat="1" ht="30" customHeight="1" x14ac:dyDescent="0.25">
      <c r="A20" s="695" t="s">
        <v>649</v>
      </c>
      <c r="B20" s="695"/>
      <c r="C20" s="695"/>
      <c r="D20" s="862" t="s">
        <v>651</v>
      </c>
      <c r="E20" s="862"/>
      <c r="F20" s="862"/>
      <c r="G20" s="862"/>
      <c r="H20" s="862"/>
      <c r="I20" s="862"/>
      <c r="J20" s="862"/>
      <c r="K20" s="863"/>
      <c r="L20" s="409" t="str">
        <f>IF(L17&lt;='P-XIV'!J38,"",FALSE)</f>
        <v/>
      </c>
      <c r="M20" s="410" t="str">
        <f>IF(M17&lt;='P-XIV'!Q38,"",FALSE)</f>
        <v/>
      </c>
      <c r="N20" s="410" t="str">
        <f>IF(N17&lt;='P-XIV'!X38,"",FALSE)</f>
        <v/>
      </c>
      <c r="O20" s="410" t="str">
        <f>IF(O17&lt;='P-XIV'!Y38,"",FALSE)</f>
        <v/>
      </c>
    </row>
    <row r="200" spans="53:66" x14ac:dyDescent="0.25">
      <c r="BA200" s="141" t="str">
        <f>A1</f>
        <v>Goa, , ADSI-2021</v>
      </c>
      <c r="BB200" s="141"/>
    </row>
    <row r="201" spans="53:66" x14ac:dyDescent="0.25">
      <c r="BA201" s="141" t="str">
        <f>A2</f>
        <v>Errors</v>
      </c>
      <c r="BB201" s="309">
        <f>C2</f>
        <v>0</v>
      </c>
    </row>
    <row r="202" spans="53:66" x14ac:dyDescent="0.25">
      <c r="BA202" s="141" t="str">
        <f>A3</f>
        <v>Proforma–XXIII</v>
      </c>
      <c r="BB202" s="132"/>
      <c r="BC202" s="132"/>
      <c r="BD202" s="132"/>
      <c r="BE202" s="132"/>
      <c r="BF202" s="132"/>
      <c r="BG202" s="132"/>
      <c r="BH202" s="132"/>
      <c r="BI202" s="132"/>
      <c r="BJ202" s="132"/>
      <c r="BK202" s="132"/>
      <c r="BL202" s="132"/>
      <c r="BN202" s="132"/>
    </row>
    <row r="203" spans="53:66" x14ac:dyDescent="0.25">
      <c r="BA203" s="141" t="str">
        <f>A4</f>
        <v>Mass/Family Suicides</v>
      </c>
      <c r="BB203" s="132"/>
      <c r="BC203" s="132"/>
      <c r="BD203" s="132"/>
      <c r="BE203" s="132"/>
      <c r="BF203" s="132"/>
      <c r="BG203" s="132"/>
      <c r="BH203" s="132"/>
      <c r="BI203" s="132"/>
      <c r="BJ203" s="132"/>
      <c r="BK203" s="132"/>
      <c r="BN203" s="132"/>
    </row>
    <row r="204" spans="53:66" ht="19.5" customHeight="1" x14ac:dyDescent="0.25">
      <c r="BA204" s="602" t="str">
        <f>B5</f>
        <v>Sl. No.</v>
      </c>
      <c r="BB204" s="602" t="str">
        <f>C5</f>
        <v>Mass/Family Suicides</v>
      </c>
      <c r="BC204" s="619" t="str">
        <f>D5</f>
        <v>No. of Suicides</v>
      </c>
      <c r="BD204" s="620"/>
      <c r="BE204" s="620"/>
      <c r="BF204" s="620"/>
      <c r="BG204" s="620"/>
      <c r="BH204" s="620"/>
      <c r="BI204" s="620"/>
      <c r="BJ204" s="620"/>
      <c r="BK204" s="620"/>
      <c r="BL204" s="620"/>
      <c r="BM204" s="620"/>
      <c r="BN204" s="621"/>
    </row>
    <row r="205" spans="53:66" x14ac:dyDescent="0.25">
      <c r="BA205" s="603"/>
      <c r="BB205" s="603"/>
      <c r="BC205" s="619" t="str">
        <f>D6</f>
        <v>Married</v>
      </c>
      <c r="BD205" s="620"/>
      <c r="BE205" s="620"/>
      <c r="BF205" s="621"/>
      <c r="BG205" s="619" t="str">
        <f>H6</f>
        <v>Un-Married</v>
      </c>
      <c r="BH205" s="620"/>
      <c r="BI205" s="620"/>
      <c r="BJ205" s="621"/>
      <c r="BK205" s="619" t="str">
        <f>L6</f>
        <v>Grand Total</v>
      </c>
      <c r="BL205" s="620"/>
      <c r="BM205" s="620"/>
      <c r="BN205" s="621"/>
    </row>
    <row r="206" spans="53:66" x14ac:dyDescent="0.25">
      <c r="BA206" s="604"/>
      <c r="BB206" s="604"/>
      <c r="BC206" s="177" t="str">
        <f>D7</f>
        <v>Male</v>
      </c>
      <c r="BD206" s="177" t="str">
        <f t="shared" ref="BD206:BF207" si="5">E7</f>
        <v>Female</v>
      </c>
      <c r="BE206" s="177" t="str">
        <f t="shared" si="5"/>
        <v>Transgender</v>
      </c>
      <c r="BF206" s="177" t="str">
        <f t="shared" si="5"/>
        <v>Total</v>
      </c>
      <c r="BG206" s="177" t="str">
        <f>H7</f>
        <v>Male</v>
      </c>
      <c r="BH206" s="177" t="str">
        <f t="shared" ref="BH206:BJ207" si="6">I7</f>
        <v>Female</v>
      </c>
      <c r="BI206" s="177" t="str">
        <f t="shared" si="6"/>
        <v>Transgender</v>
      </c>
      <c r="BJ206" s="177" t="str">
        <f t="shared" si="6"/>
        <v>Total</v>
      </c>
      <c r="BK206" s="177" t="str">
        <f>L7</f>
        <v>Male</v>
      </c>
      <c r="BL206" s="177" t="str">
        <f t="shared" ref="BL206:BN207" si="7">M7</f>
        <v>Female</v>
      </c>
      <c r="BM206" s="177" t="str">
        <f t="shared" si="7"/>
        <v>Transgender</v>
      </c>
      <c r="BN206" s="177" t="str">
        <f t="shared" si="7"/>
        <v>Total</v>
      </c>
    </row>
    <row r="207" spans="53:66" x14ac:dyDescent="0.25">
      <c r="BA207" s="177" t="str">
        <f>B8</f>
        <v>(1)</v>
      </c>
      <c r="BB207" s="177" t="str">
        <f t="shared" ref="BB207:BB216" si="8">C8</f>
        <v>(2)</v>
      </c>
      <c r="BC207" s="177" t="str">
        <f>D8</f>
        <v>(3)</v>
      </c>
      <c r="BD207" s="177" t="str">
        <f t="shared" si="5"/>
        <v>(4)</v>
      </c>
      <c r="BE207" s="177" t="str">
        <f t="shared" si="5"/>
        <v>(5)</v>
      </c>
      <c r="BF207" s="177" t="str">
        <f t="shared" si="5"/>
        <v>(6)</v>
      </c>
      <c r="BG207" s="177" t="str">
        <f>H8</f>
        <v>(7)</v>
      </c>
      <c r="BH207" s="177" t="str">
        <f t="shared" si="6"/>
        <v>(8)</v>
      </c>
      <c r="BI207" s="177" t="str">
        <f t="shared" si="6"/>
        <v>(9)</v>
      </c>
      <c r="BJ207" s="177" t="str">
        <f t="shared" si="6"/>
        <v>(10)</v>
      </c>
      <c r="BK207" s="177" t="str">
        <f>L8</f>
        <v>(11)</v>
      </c>
      <c r="BL207" s="177" t="str">
        <f t="shared" si="7"/>
        <v>(12)</v>
      </c>
      <c r="BM207" s="177" t="str">
        <f t="shared" si="7"/>
        <v>(13)</v>
      </c>
      <c r="BN207" s="177" t="str">
        <f t="shared" si="7"/>
        <v>(14)</v>
      </c>
    </row>
    <row r="208" spans="53:66" ht="28.5" customHeight="1" x14ac:dyDescent="0.25">
      <c r="BA208" s="176">
        <f>B9</f>
        <v>1</v>
      </c>
      <c r="BB208" s="184" t="str">
        <f t="shared" si="8"/>
        <v>Total number of cases of Mass/Family Suicides</v>
      </c>
      <c r="BC208" s="759">
        <f>D9</f>
        <v>1</v>
      </c>
      <c r="BD208" s="760"/>
      <c r="BE208" s="760"/>
      <c r="BF208" s="760"/>
      <c r="BG208" s="760"/>
      <c r="BH208" s="760"/>
      <c r="BI208" s="760"/>
      <c r="BJ208" s="760"/>
      <c r="BK208" s="760"/>
      <c r="BL208" s="760"/>
      <c r="BM208" s="760"/>
      <c r="BN208" s="761"/>
    </row>
    <row r="209" spans="53:67" x14ac:dyDescent="0.25">
      <c r="BA209" s="178"/>
      <c r="BB209" s="757" t="str">
        <f t="shared" si="8"/>
        <v>Age group wise classification of Mass/Family Suicide Victims</v>
      </c>
      <c r="BC209" s="757"/>
      <c r="BD209" s="757"/>
      <c r="BE209" s="757"/>
      <c r="BF209" s="757"/>
      <c r="BG209" s="757"/>
      <c r="BH209" s="757"/>
      <c r="BI209" s="757"/>
      <c r="BJ209" s="757"/>
      <c r="BK209" s="757"/>
      <c r="BL209" s="757"/>
      <c r="BM209" s="757"/>
      <c r="BN209" s="758"/>
    </row>
    <row r="210" spans="53:67" x14ac:dyDescent="0.25">
      <c r="BA210" s="179">
        <f t="shared" ref="BA210:BA216" si="9">B11</f>
        <v>2</v>
      </c>
      <c r="BB210" s="185" t="str">
        <f t="shared" si="8"/>
        <v>below 14 years</v>
      </c>
      <c r="BC210" s="185">
        <f t="shared" ref="BC210:BJ216" si="10">D11</f>
        <v>0</v>
      </c>
      <c r="BD210" s="185">
        <f t="shared" si="10"/>
        <v>0</v>
      </c>
      <c r="BE210" s="185">
        <f t="shared" si="10"/>
        <v>0</v>
      </c>
      <c r="BF210" s="185">
        <f t="shared" si="10"/>
        <v>0</v>
      </c>
      <c r="BG210" s="185">
        <f t="shared" si="10"/>
        <v>0</v>
      </c>
      <c r="BH210" s="185">
        <f t="shared" si="10"/>
        <v>0</v>
      </c>
      <c r="BI210" s="185">
        <f t="shared" si="10"/>
        <v>0</v>
      </c>
      <c r="BJ210" s="185">
        <f t="shared" si="10"/>
        <v>0</v>
      </c>
      <c r="BK210" s="185">
        <f t="shared" ref="BK210:BN216" si="11">L11</f>
        <v>0</v>
      </c>
      <c r="BL210" s="185">
        <f t="shared" si="11"/>
        <v>0</v>
      </c>
      <c r="BM210" s="185">
        <f t="shared" si="11"/>
        <v>0</v>
      </c>
      <c r="BN210" s="185">
        <f t="shared" si="11"/>
        <v>0</v>
      </c>
    </row>
    <row r="211" spans="53:67" x14ac:dyDescent="0.25">
      <c r="BA211" s="180">
        <f t="shared" si="9"/>
        <v>3</v>
      </c>
      <c r="BB211" s="136" t="str">
        <f t="shared" si="8"/>
        <v>14 and above – below 18 years</v>
      </c>
      <c r="BC211" s="136">
        <f t="shared" si="10"/>
        <v>0</v>
      </c>
      <c r="BD211" s="136">
        <f t="shared" si="10"/>
        <v>0</v>
      </c>
      <c r="BE211" s="136">
        <f t="shared" si="10"/>
        <v>0</v>
      </c>
      <c r="BF211" s="136">
        <f t="shared" si="10"/>
        <v>0</v>
      </c>
      <c r="BG211" s="136">
        <f t="shared" si="10"/>
        <v>0</v>
      </c>
      <c r="BH211" s="136">
        <f t="shared" si="10"/>
        <v>0</v>
      </c>
      <c r="BI211" s="136">
        <f t="shared" si="10"/>
        <v>0</v>
      </c>
      <c r="BJ211" s="136">
        <f t="shared" si="10"/>
        <v>0</v>
      </c>
      <c r="BK211" s="136">
        <f t="shared" si="11"/>
        <v>0</v>
      </c>
      <c r="BL211" s="136">
        <f t="shared" si="11"/>
        <v>0</v>
      </c>
      <c r="BM211" s="136">
        <f t="shared" si="11"/>
        <v>0</v>
      </c>
      <c r="BN211" s="136">
        <f t="shared" si="11"/>
        <v>0</v>
      </c>
    </row>
    <row r="212" spans="53:67" x14ac:dyDescent="0.25">
      <c r="BA212" s="180">
        <f t="shared" si="9"/>
        <v>4</v>
      </c>
      <c r="BB212" s="136" t="str">
        <f t="shared" si="8"/>
        <v>18 and above – below 30 years</v>
      </c>
      <c r="BC212" s="136">
        <f t="shared" si="10"/>
        <v>1</v>
      </c>
      <c r="BD212" s="136">
        <f t="shared" si="10"/>
        <v>1</v>
      </c>
      <c r="BE212" s="136">
        <f t="shared" si="10"/>
        <v>0</v>
      </c>
      <c r="BF212" s="136">
        <f t="shared" si="10"/>
        <v>2</v>
      </c>
      <c r="BG212" s="136">
        <f t="shared" si="10"/>
        <v>0</v>
      </c>
      <c r="BH212" s="136">
        <f t="shared" si="10"/>
        <v>0</v>
      </c>
      <c r="BI212" s="136">
        <f t="shared" si="10"/>
        <v>0</v>
      </c>
      <c r="BJ212" s="136">
        <f t="shared" si="10"/>
        <v>0</v>
      </c>
      <c r="BK212" s="136">
        <f t="shared" si="11"/>
        <v>1</v>
      </c>
      <c r="BL212" s="136">
        <f t="shared" si="11"/>
        <v>1</v>
      </c>
      <c r="BM212" s="136">
        <f t="shared" si="11"/>
        <v>0</v>
      </c>
      <c r="BN212" s="136">
        <f t="shared" si="11"/>
        <v>2</v>
      </c>
    </row>
    <row r="213" spans="53:67" x14ac:dyDescent="0.25">
      <c r="BA213" s="180">
        <f t="shared" si="9"/>
        <v>5</v>
      </c>
      <c r="BB213" s="136" t="str">
        <f t="shared" si="8"/>
        <v>30 and above – below 45 years</v>
      </c>
      <c r="BC213" s="136">
        <f t="shared" si="10"/>
        <v>1</v>
      </c>
      <c r="BD213" s="136">
        <f t="shared" si="10"/>
        <v>0</v>
      </c>
      <c r="BE213" s="136">
        <f t="shared" si="10"/>
        <v>0</v>
      </c>
      <c r="BF213" s="136">
        <f t="shared" si="10"/>
        <v>1</v>
      </c>
      <c r="BG213" s="136">
        <f t="shared" si="10"/>
        <v>0</v>
      </c>
      <c r="BH213" s="136">
        <f t="shared" si="10"/>
        <v>0</v>
      </c>
      <c r="BI213" s="136">
        <f t="shared" si="10"/>
        <v>0</v>
      </c>
      <c r="BJ213" s="136">
        <f t="shared" si="10"/>
        <v>0</v>
      </c>
      <c r="BK213" s="136">
        <f t="shared" si="11"/>
        <v>1</v>
      </c>
      <c r="BL213" s="136">
        <f t="shared" si="11"/>
        <v>0</v>
      </c>
      <c r="BM213" s="136">
        <f t="shared" si="11"/>
        <v>0</v>
      </c>
      <c r="BN213" s="136">
        <f t="shared" si="11"/>
        <v>1</v>
      </c>
    </row>
    <row r="214" spans="53:67" x14ac:dyDescent="0.25">
      <c r="BA214" s="180">
        <f t="shared" si="9"/>
        <v>6</v>
      </c>
      <c r="BB214" s="136" t="str">
        <f t="shared" si="8"/>
        <v>45 and above – below 60 years</v>
      </c>
      <c r="BC214" s="136">
        <f t="shared" si="10"/>
        <v>0</v>
      </c>
      <c r="BD214" s="136">
        <f t="shared" si="10"/>
        <v>0</v>
      </c>
      <c r="BE214" s="136">
        <f t="shared" si="10"/>
        <v>0</v>
      </c>
      <c r="BF214" s="136">
        <f t="shared" si="10"/>
        <v>0</v>
      </c>
      <c r="BG214" s="136">
        <f t="shared" si="10"/>
        <v>0</v>
      </c>
      <c r="BH214" s="136">
        <f t="shared" si="10"/>
        <v>0</v>
      </c>
      <c r="BI214" s="136">
        <f t="shared" si="10"/>
        <v>0</v>
      </c>
      <c r="BJ214" s="136">
        <f t="shared" si="10"/>
        <v>0</v>
      </c>
      <c r="BK214" s="136">
        <f t="shared" si="11"/>
        <v>0</v>
      </c>
      <c r="BL214" s="136">
        <f t="shared" si="11"/>
        <v>0</v>
      </c>
      <c r="BM214" s="136">
        <f t="shared" si="11"/>
        <v>0</v>
      </c>
      <c r="BN214" s="136">
        <f t="shared" si="11"/>
        <v>0</v>
      </c>
    </row>
    <row r="215" spans="53:67" x14ac:dyDescent="0.25">
      <c r="BA215" s="180">
        <f t="shared" si="9"/>
        <v>7</v>
      </c>
      <c r="BB215" s="136" t="str">
        <f t="shared" si="8"/>
        <v>60 years &amp; above</v>
      </c>
      <c r="BC215" s="136">
        <f t="shared" si="10"/>
        <v>0</v>
      </c>
      <c r="BD215" s="136">
        <f t="shared" si="10"/>
        <v>0</v>
      </c>
      <c r="BE215" s="136">
        <f t="shared" si="10"/>
        <v>0</v>
      </c>
      <c r="BF215" s="136">
        <f t="shared" si="10"/>
        <v>0</v>
      </c>
      <c r="BG215" s="136">
        <f t="shared" si="10"/>
        <v>0</v>
      </c>
      <c r="BH215" s="136">
        <f t="shared" si="10"/>
        <v>0</v>
      </c>
      <c r="BI215" s="136">
        <f t="shared" si="10"/>
        <v>0</v>
      </c>
      <c r="BJ215" s="136">
        <f t="shared" si="10"/>
        <v>0</v>
      </c>
      <c r="BK215" s="136">
        <f t="shared" si="11"/>
        <v>0</v>
      </c>
      <c r="BL215" s="136">
        <f t="shared" si="11"/>
        <v>0</v>
      </c>
      <c r="BM215" s="136">
        <f t="shared" si="11"/>
        <v>0</v>
      </c>
      <c r="BN215" s="136">
        <f t="shared" si="11"/>
        <v>0</v>
      </c>
    </row>
    <row r="216" spans="53:67" x14ac:dyDescent="0.25">
      <c r="BA216" s="180">
        <f t="shared" si="9"/>
        <v>8</v>
      </c>
      <c r="BB216" s="136" t="str">
        <f t="shared" si="8"/>
        <v>Total (sum of Sl. 2 to 7)</v>
      </c>
      <c r="BC216" s="136">
        <f t="shared" si="10"/>
        <v>2</v>
      </c>
      <c r="BD216" s="136">
        <f t="shared" si="10"/>
        <v>1</v>
      </c>
      <c r="BE216" s="136">
        <f t="shared" si="10"/>
        <v>0</v>
      </c>
      <c r="BF216" s="136">
        <f t="shared" si="10"/>
        <v>3</v>
      </c>
      <c r="BG216" s="136">
        <f t="shared" si="10"/>
        <v>0</v>
      </c>
      <c r="BH216" s="136">
        <f t="shared" si="10"/>
        <v>0</v>
      </c>
      <c r="BI216" s="136">
        <f t="shared" si="10"/>
        <v>0</v>
      </c>
      <c r="BJ216" s="136">
        <f t="shared" si="10"/>
        <v>0</v>
      </c>
      <c r="BK216" s="136">
        <f t="shared" si="11"/>
        <v>2</v>
      </c>
      <c r="BL216" s="136">
        <f t="shared" si="11"/>
        <v>1</v>
      </c>
      <c r="BM216" s="136">
        <f t="shared" si="11"/>
        <v>0</v>
      </c>
      <c r="BN216" s="136">
        <f t="shared" si="11"/>
        <v>3</v>
      </c>
    </row>
    <row r="217" spans="53:67" x14ac:dyDescent="0.25">
      <c r="BA217" s="622" t="str">
        <f>A18</f>
        <v>VALIDATION WITH NUMBER OF CASES</v>
      </c>
      <c r="BB217" s="622"/>
      <c r="BC217" s="877" t="str">
        <f>D18</f>
        <v/>
      </c>
      <c r="BD217" s="757"/>
      <c r="BE217" s="757"/>
      <c r="BF217" s="757"/>
      <c r="BG217" s="757"/>
      <c r="BH217" s="757"/>
      <c r="BI217" s="757"/>
      <c r="BJ217" s="757"/>
      <c r="BK217" s="757"/>
      <c r="BL217" s="757"/>
      <c r="BM217" s="757"/>
      <c r="BN217" s="758"/>
    </row>
    <row r="218" spans="53:67" ht="21" customHeight="1" x14ac:dyDescent="0.25">
      <c r="BA218" s="874" t="str">
        <f>D19</f>
        <v>Proforma-XIV Sl.–21 (Total)</v>
      </c>
      <c r="BB218" s="875"/>
      <c r="BC218" s="875"/>
      <c r="BD218" s="875"/>
      <c r="BE218" s="875"/>
      <c r="BF218" s="875"/>
      <c r="BG218" s="875"/>
      <c r="BH218" s="875"/>
      <c r="BI218" s="875"/>
      <c r="BJ218" s="876"/>
      <c r="BK218" s="136">
        <f t="shared" ref="BK218:BK219" si="12">L19</f>
        <v>249</v>
      </c>
      <c r="BL218" s="136">
        <f t="shared" ref="BL218:BL219" si="13">M19</f>
        <v>72</v>
      </c>
      <c r="BM218" s="136">
        <f t="shared" ref="BM218:BM219" si="14">N19</f>
        <v>0</v>
      </c>
      <c r="BN218" s="136">
        <f t="shared" ref="BN218:BN219" si="15">O19</f>
        <v>321</v>
      </c>
    </row>
    <row r="219" spans="53:67" ht="27.75" customHeight="1" x14ac:dyDescent="0.25">
      <c r="BA219" s="678" t="str">
        <f>A20</f>
        <v>VALIDATION OF TOTAL WITH PROFORMA–XIV [Sl.–21 (Total)]</v>
      </c>
      <c r="BB219" s="679"/>
      <c r="BC219" s="874" t="str">
        <f>D20</f>
        <v>TOTAL (Col. 11, 12, 13 &amp; 14 of Sl.–8) should be less than or equal to Sl.–21 (Total) of Proforma-XIV</v>
      </c>
      <c r="BD219" s="875"/>
      <c r="BE219" s="875"/>
      <c r="BF219" s="875"/>
      <c r="BG219" s="875"/>
      <c r="BH219" s="875"/>
      <c r="BI219" s="875"/>
      <c r="BJ219" s="876"/>
      <c r="BK219" s="136" t="str">
        <f t="shared" si="12"/>
        <v/>
      </c>
      <c r="BL219" s="136" t="str">
        <f t="shared" si="13"/>
        <v/>
      </c>
      <c r="BM219" s="136" t="str">
        <f t="shared" si="14"/>
        <v/>
      </c>
      <c r="BN219" s="136" t="str">
        <f t="shared" si="15"/>
        <v/>
      </c>
    </row>
    <row r="220" spans="53:67" x14ac:dyDescent="0.25">
      <c r="BA220" s="132"/>
      <c r="BB220" s="132"/>
      <c r="BC220" s="132"/>
      <c r="BD220" s="132"/>
      <c r="BE220" s="132"/>
      <c r="BF220" s="132"/>
      <c r="BG220" s="132"/>
      <c r="BH220" s="132"/>
      <c r="BI220" s="132"/>
      <c r="BJ220" s="132"/>
      <c r="BK220" s="132"/>
      <c r="BL220" s="132"/>
      <c r="BM220" s="132"/>
      <c r="BN220" s="132"/>
      <c r="BO220" s="132"/>
    </row>
    <row r="500" spans="1:16" s="365" customFormat="1" x14ac:dyDescent="0.25">
      <c r="A500" s="370" t="s">
        <v>450</v>
      </c>
      <c r="B500" s="370" t="s">
        <v>451</v>
      </c>
      <c r="C500" s="370" t="s">
        <v>452</v>
      </c>
      <c r="D500" s="370" t="s">
        <v>453</v>
      </c>
      <c r="E500" s="370" t="s">
        <v>571</v>
      </c>
    </row>
    <row r="501" spans="1:16" s="365" customFormat="1" ht="12.75" x14ac:dyDescent="0.2">
      <c r="A501" s="348">
        <f>IF(ADSI!$G$12="",ADSI!$H$16,ADSI!$H$12)</f>
        <v>6</v>
      </c>
      <c r="B501" s="348" t="str">
        <f ca="1">IF(ADSI!$G$12="",ADSI!$H$16,ADSI!$H$14)</f>
        <v/>
      </c>
      <c r="C501" s="403">
        <f>A9</f>
        <v>1125</v>
      </c>
      <c r="D501" s="348">
        <f>ADSI!$K$12</f>
        <v>2021</v>
      </c>
      <c r="E501" s="367">
        <f>D9</f>
        <v>1</v>
      </c>
    </row>
    <row r="502" spans="1:16" s="365" customFormat="1" ht="12.75" x14ac:dyDescent="0.2"/>
    <row r="503" spans="1:16" s="365" customFormat="1" x14ac:dyDescent="0.25">
      <c r="A503" s="370" t="s">
        <v>450</v>
      </c>
      <c r="B503" s="370" t="s">
        <v>451</v>
      </c>
      <c r="C503" s="370" t="s">
        <v>452</v>
      </c>
      <c r="D503" s="370" t="s">
        <v>453</v>
      </c>
      <c r="E503" s="370" t="s">
        <v>502</v>
      </c>
      <c r="F503" s="370" t="s">
        <v>503</v>
      </c>
      <c r="G503" s="370" t="s">
        <v>504</v>
      </c>
      <c r="H503" s="370" t="s">
        <v>505</v>
      </c>
      <c r="I503" s="370" t="s">
        <v>498</v>
      </c>
      <c r="J503" s="370" t="s">
        <v>499</v>
      </c>
      <c r="K503" s="370" t="s">
        <v>500</v>
      </c>
      <c r="L503" s="370" t="s">
        <v>501</v>
      </c>
      <c r="M503" s="370" t="s">
        <v>572</v>
      </c>
      <c r="N503" s="370" t="s">
        <v>573</v>
      </c>
      <c r="O503" s="370" t="s">
        <v>574</v>
      </c>
      <c r="P503" s="370" t="s">
        <v>575</v>
      </c>
    </row>
    <row r="504" spans="1:16" s="365" customFormat="1" ht="12.75" x14ac:dyDescent="0.2">
      <c r="A504" s="348">
        <f>IF(ADSI!$G$12="",ADSI!$H$16,ADSI!$H$12)</f>
        <v>6</v>
      </c>
      <c r="B504" s="348" t="str">
        <f ca="1">IF(ADSI!$G$12="",ADSI!$H$16,ADSI!$H$14)</f>
        <v/>
      </c>
      <c r="C504" s="403">
        <f>A11</f>
        <v>1126</v>
      </c>
      <c r="D504" s="348">
        <f>ADSI!$K$12</f>
        <v>2021</v>
      </c>
      <c r="E504" s="367">
        <f>D11</f>
        <v>0</v>
      </c>
      <c r="F504" s="367">
        <f t="shared" ref="F504:P504" si="16">E11</f>
        <v>0</v>
      </c>
      <c r="G504" s="367">
        <f t="shared" si="16"/>
        <v>0</v>
      </c>
      <c r="H504" s="367">
        <f t="shared" si="16"/>
        <v>0</v>
      </c>
      <c r="I504" s="367">
        <f t="shared" si="16"/>
        <v>0</v>
      </c>
      <c r="J504" s="367">
        <f t="shared" si="16"/>
        <v>0</v>
      </c>
      <c r="K504" s="367">
        <f t="shared" si="16"/>
        <v>0</v>
      </c>
      <c r="L504" s="367">
        <f t="shared" si="16"/>
        <v>0</v>
      </c>
      <c r="M504" s="367">
        <f t="shared" si="16"/>
        <v>0</v>
      </c>
      <c r="N504" s="367">
        <f t="shared" si="16"/>
        <v>0</v>
      </c>
      <c r="O504" s="367">
        <f t="shared" si="16"/>
        <v>0</v>
      </c>
      <c r="P504" s="367">
        <f t="shared" si="16"/>
        <v>0</v>
      </c>
    </row>
    <row r="505" spans="1:16" s="365" customFormat="1" ht="12.75" x14ac:dyDescent="0.2">
      <c r="A505" s="348">
        <f>IF(ADSI!$G$12="",ADSI!$H$16,ADSI!$H$12)</f>
        <v>6</v>
      </c>
      <c r="B505" s="348" t="str">
        <f ca="1">IF(ADSI!$G$12="",ADSI!$H$16,ADSI!$H$14)</f>
        <v/>
      </c>
      <c r="C505" s="403">
        <f t="shared" ref="C505:C510" si="17">A12</f>
        <v>1127</v>
      </c>
      <c r="D505" s="348">
        <f>ADSI!$K$12</f>
        <v>2021</v>
      </c>
      <c r="E505" s="367">
        <f t="shared" ref="E505:P505" si="18">D12</f>
        <v>0</v>
      </c>
      <c r="F505" s="367">
        <f t="shared" si="18"/>
        <v>0</v>
      </c>
      <c r="G505" s="367">
        <f t="shared" si="18"/>
        <v>0</v>
      </c>
      <c r="H505" s="367">
        <f t="shared" si="18"/>
        <v>0</v>
      </c>
      <c r="I505" s="367">
        <f t="shared" si="18"/>
        <v>0</v>
      </c>
      <c r="J505" s="367">
        <f t="shared" si="18"/>
        <v>0</v>
      </c>
      <c r="K505" s="367">
        <f t="shared" si="18"/>
        <v>0</v>
      </c>
      <c r="L505" s="367">
        <f t="shared" si="18"/>
        <v>0</v>
      </c>
      <c r="M505" s="367">
        <f t="shared" si="18"/>
        <v>0</v>
      </c>
      <c r="N505" s="367">
        <f t="shared" si="18"/>
        <v>0</v>
      </c>
      <c r="O505" s="367">
        <f t="shared" si="18"/>
        <v>0</v>
      </c>
      <c r="P505" s="367">
        <f t="shared" si="18"/>
        <v>0</v>
      </c>
    </row>
    <row r="506" spans="1:16" s="365" customFormat="1" ht="12.75" x14ac:dyDescent="0.2">
      <c r="A506" s="348">
        <f>IF(ADSI!$G$12="",ADSI!$H$16,ADSI!$H$12)</f>
        <v>6</v>
      </c>
      <c r="B506" s="348" t="str">
        <f ca="1">IF(ADSI!$G$12="",ADSI!$H$16,ADSI!$H$14)</f>
        <v/>
      </c>
      <c r="C506" s="403">
        <f t="shared" si="17"/>
        <v>1128</v>
      </c>
      <c r="D506" s="348">
        <f>ADSI!$K$12</f>
        <v>2021</v>
      </c>
      <c r="E506" s="367">
        <f t="shared" ref="E506:P506" si="19">D13</f>
        <v>1</v>
      </c>
      <c r="F506" s="367">
        <f t="shared" si="19"/>
        <v>1</v>
      </c>
      <c r="G506" s="367">
        <f t="shared" si="19"/>
        <v>0</v>
      </c>
      <c r="H506" s="367">
        <f t="shared" si="19"/>
        <v>2</v>
      </c>
      <c r="I506" s="367">
        <f t="shared" si="19"/>
        <v>0</v>
      </c>
      <c r="J506" s="367">
        <f t="shared" si="19"/>
        <v>0</v>
      </c>
      <c r="K506" s="367">
        <f t="shared" si="19"/>
        <v>0</v>
      </c>
      <c r="L506" s="367">
        <f t="shared" si="19"/>
        <v>0</v>
      </c>
      <c r="M506" s="367">
        <f t="shared" si="19"/>
        <v>1</v>
      </c>
      <c r="N506" s="367">
        <f t="shared" si="19"/>
        <v>1</v>
      </c>
      <c r="O506" s="367">
        <f t="shared" si="19"/>
        <v>0</v>
      </c>
      <c r="P506" s="367">
        <f t="shared" si="19"/>
        <v>2</v>
      </c>
    </row>
    <row r="507" spans="1:16" s="365" customFormat="1" ht="12.75" x14ac:dyDescent="0.2">
      <c r="A507" s="348">
        <f>IF(ADSI!$G$12="",ADSI!$H$16,ADSI!$H$12)</f>
        <v>6</v>
      </c>
      <c r="B507" s="348" t="str">
        <f ca="1">IF(ADSI!$G$12="",ADSI!$H$16,ADSI!$H$14)</f>
        <v/>
      </c>
      <c r="C507" s="403">
        <f t="shared" si="17"/>
        <v>1129</v>
      </c>
      <c r="D507" s="348">
        <f>ADSI!$K$12</f>
        <v>2021</v>
      </c>
      <c r="E507" s="367">
        <f t="shared" ref="E507:P507" si="20">D14</f>
        <v>1</v>
      </c>
      <c r="F507" s="367">
        <f t="shared" si="20"/>
        <v>0</v>
      </c>
      <c r="G507" s="367">
        <f t="shared" si="20"/>
        <v>0</v>
      </c>
      <c r="H507" s="367">
        <f t="shared" si="20"/>
        <v>1</v>
      </c>
      <c r="I507" s="367">
        <f t="shared" si="20"/>
        <v>0</v>
      </c>
      <c r="J507" s="367">
        <f t="shared" si="20"/>
        <v>0</v>
      </c>
      <c r="K507" s="367">
        <f t="shared" si="20"/>
        <v>0</v>
      </c>
      <c r="L507" s="367">
        <f t="shared" si="20"/>
        <v>0</v>
      </c>
      <c r="M507" s="367">
        <f t="shared" si="20"/>
        <v>1</v>
      </c>
      <c r="N507" s="367">
        <f t="shared" si="20"/>
        <v>0</v>
      </c>
      <c r="O507" s="367">
        <f t="shared" si="20"/>
        <v>0</v>
      </c>
      <c r="P507" s="367">
        <f t="shared" si="20"/>
        <v>1</v>
      </c>
    </row>
    <row r="508" spans="1:16" s="365" customFormat="1" ht="12.75" x14ac:dyDescent="0.2">
      <c r="A508" s="348">
        <f>IF(ADSI!$G$12="",ADSI!$H$16,ADSI!$H$12)</f>
        <v>6</v>
      </c>
      <c r="B508" s="348" t="str">
        <f ca="1">IF(ADSI!$G$12="",ADSI!$H$16,ADSI!$H$14)</f>
        <v/>
      </c>
      <c r="C508" s="403">
        <f t="shared" si="17"/>
        <v>1130</v>
      </c>
      <c r="D508" s="348">
        <f>ADSI!$K$12</f>
        <v>2021</v>
      </c>
      <c r="E508" s="367">
        <f t="shared" ref="E508:P508" si="21">D15</f>
        <v>0</v>
      </c>
      <c r="F508" s="367">
        <f t="shared" si="21"/>
        <v>0</v>
      </c>
      <c r="G508" s="367">
        <f t="shared" si="21"/>
        <v>0</v>
      </c>
      <c r="H508" s="367">
        <f t="shared" si="21"/>
        <v>0</v>
      </c>
      <c r="I508" s="367">
        <f t="shared" si="21"/>
        <v>0</v>
      </c>
      <c r="J508" s="367">
        <f t="shared" si="21"/>
        <v>0</v>
      </c>
      <c r="K508" s="367">
        <f t="shared" si="21"/>
        <v>0</v>
      </c>
      <c r="L508" s="367">
        <f t="shared" si="21"/>
        <v>0</v>
      </c>
      <c r="M508" s="367">
        <f t="shared" si="21"/>
        <v>0</v>
      </c>
      <c r="N508" s="367">
        <f t="shared" si="21"/>
        <v>0</v>
      </c>
      <c r="O508" s="367">
        <f t="shared" si="21"/>
        <v>0</v>
      </c>
      <c r="P508" s="367">
        <f t="shared" si="21"/>
        <v>0</v>
      </c>
    </row>
    <row r="509" spans="1:16" s="365" customFormat="1" ht="12.75" x14ac:dyDescent="0.2">
      <c r="A509" s="348">
        <f>IF(ADSI!$G$12="",ADSI!$H$16,ADSI!$H$12)</f>
        <v>6</v>
      </c>
      <c r="B509" s="348" t="str">
        <f ca="1">IF(ADSI!$G$12="",ADSI!$H$16,ADSI!$H$14)</f>
        <v/>
      </c>
      <c r="C509" s="403">
        <f t="shared" si="17"/>
        <v>1131</v>
      </c>
      <c r="D509" s="348">
        <f>ADSI!$K$12</f>
        <v>2021</v>
      </c>
      <c r="E509" s="367">
        <f t="shared" ref="E509:P509" si="22">D16</f>
        <v>0</v>
      </c>
      <c r="F509" s="367">
        <f t="shared" si="22"/>
        <v>0</v>
      </c>
      <c r="G509" s="367">
        <f t="shared" si="22"/>
        <v>0</v>
      </c>
      <c r="H509" s="367">
        <f t="shared" si="22"/>
        <v>0</v>
      </c>
      <c r="I509" s="367">
        <f t="shared" si="22"/>
        <v>0</v>
      </c>
      <c r="J509" s="367">
        <f t="shared" si="22"/>
        <v>0</v>
      </c>
      <c r="K509" s="367">
        <f t="shared" si="22"/>
        <v>0</v>
      </c>
      <c r="L509" s="367">
        <f t="shared" si="22"/>
        <v>0</v>
      </c>
      <c r="M509" s="367">
        <f t="shared" si="22"/>
        <v>0</v>
      </c>
      <c r="N509" s="367">
        <f t="shared" si="22"/>
        <v>0</v>
      </c>
      <c r="O509" s="367">
        <f t="shared" si="22"/>
        <v>0</v>
      </c>
      <c r="P509" s="367">
        <f t="shared" si="22"/>
        <v>0</v>
      </c>
    </row>
    <row r="510" spans="1:16" s="365" customFormat="1" ht="12.75" x14ac:dyDescent="0.2">
      <c r="A510" s="348">
        <f>IF(ADSI!$G$12="",ADSI!$H$16,ADSI!$H$12)</f>
        <v>6</v>
      </c>
      <c r="B510" s="348" t="str">
        <f ca="1">IF(ADSI!$G$12="",ADSI!$H$16,ADSI!$H$14)</f>
        <v/>
      </c>
      <c r="C510" s="403">
        <f t="shared" si="17"/>
        <v>1132</v>
      </c>
      <c r="D510" s="348">
        <f>ADSI!$K$12</f>
        <v>2021</v>
      </c>
      <c r="E510" s="367">
        <f t="shared" ref="E510:P510" si="23">D17</f>
        <v>2</v>
      </c>
      <c r="F510" s="367">
        <f t="shared" si="23"/>
        <v>1</v>
      </c>
      <c r="G510" s="367">
        <f t="shared" si="23"/>
        <v>0</v>
      </c>
      <c r="H510" s="367">
        <f t="shared" si="23"/>
        <v>3</v>
      </c>
      <c r="I510" s="367">
        <f t="shared" si="23"/>
        <v>0</v>
      </c>
      <c r="J510" s="367">
        <f t="shared" si="23"/>
        <v>0</v>
      </c>
      <c r="K510" s="367">
        <f t="shared" si="23"/>
        <v>0</v>
      </c>
      <c r="L510" s="367">
        <f t="shared" si="23"/>
        <v>0</v>
      </c>
      <c r="M510" s="367">
        <f t="shared" si="23"/>
        <v>2</v>
      </c>
      <c r="N510" s="367">
        <f t="shared" si="23"/>
        <v>1</v>
      </c>
      <c r="O510" s="367">
        <f t="shared" si="23"/>
        <v>0</v>
      </c>
      <c r="P510" s="367">
        <f t="shared" si="23"/>
        <v>3</v>
      </c>
    </row>
    <row r="511" spans="1:16" s="365" customFormat="1" ht="12.75" x14ac:dyDescent="0.2">
      <c r="C511" s="366"/>
    </row>
    <row r="512" spans="1:16" s="365" customFormat="1" ht="12.75" x14ac:dyDescent="0.2"/>
    <row r="513" s="365" customFormat="1" ht="12.75" x14ac:dyDescent="0.2"/>
    <row r="514" s="365" customFormat="1" ht="12.75" x14ac:dyDescent="0.2"/>
    <row r="515" s="365" customFormat="1" ht="12.75" x14ac:dyDescent="0.2"/>
  </sheetData>
  <sheetProtection password="C614" sheet="1" objects="1" scenarios="1" selectLockedCells="1"/>
  <mergeCells count="28">
    <mergeCell ref="BA204:BA206"/>
    <mergeCell ref="BC208:BN208"/>
    <mergeCell ref="BA218:BJ218"/>
    <mergeCell ref="BC219:BJ219"/>
    <mergeCell ref="BA219:BB219"/>
    <mergeCell ref="BB209:BN209"/>
    <mergeCell ref="BK205:BN205"/>
    <mergeCell ref="BG205:BJ205"/>
    <mergeCell ref="BC205:BF205"/>
    <mergeCell ref="BB204:BB206"/>
    <mergeCell ref="BC204:BN204"/>
    <mergeCell ref="BA217:BB217"/>
    <mergeCell ref="BC217:BN217"/>
    <mergeCell ref="A5:A7"/>
    <mergeCell ref="A19:C19"/>
    <mergeCell ref="D19:K19"/>
    <mergeCell ref="D20:K20"/>
    <mergeCell ref="A20:C20"/>
    <mergeCell ref="D5:O5"/>
    <mergeCell ref="B5:B7"/>
    <mergeCell ref="C5:C7"/>
    <mergeCell ref="D6:G6"/>
    <mergeCell ref="H6:K6"/>
    <mergeCell ref="L6:O6"/>
    <mergeCell ref="D9:O9"/>
    <mergeCell ref="C10:O10"/>
    <mergeCell ref="A18:C18"/>
    <mergeCell ref="D18:O18"/>
  </mergeCells>
  <conditionalFormatting sqref="L20:O20">
    <cfRule type="cellIs" dxfId="1" priority="2" operator="equal">
      <formula>FALSE</formula>
    </cfRule>
  </conditionalFormatting>
  <conditionalFormatting sqref="D18">
    <cfRule type="cellIs" dxfId="0" priority="1" operator="equal">
      <formula>FALSE</formula>
    </cfRule>
  </conditionalFormatting>
  <dataValidations count="1">
    <dataValidation type="whole" allowBlank="1" showInputMessage="1" showErrorMessage="1" sqref="H11:J16 D11:F16 D9:O9">
      <formula1>0</formula1>
      <formula2>999999999</formula2>
    </dataValidation>
  </dataValidations>
  <pageMargins left="1.1811023622047245" right="0.70866141732283472" top="1.1811023622047245" bottom="0.74803149606299213" header="0.31496062992125984" footer="0.19685039370078741"/>
  <pageSetup paperSize="5" orientation="landscape" r:id="rId1"/>
  <headerFooter>
    <oddFooter>&amp;L&amp;9ADSI - &amp;A&amp;C&amp;9&amp;D &amp;T&amp;R&amp;9Page &amp;P of &amp;N</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7"/>
  <sheetViews>
    <sheetView workbookViewId="0">
      <selection activeCell="B2" sqref="B2"/>
    </sheetView>
  </sheetViews>
  <sheetFormatPr defaultRowHeight="15" x14ac:dyDescent="0.25"/>
  <cols>
    <col min="1" max="1" width="9" customWidth="1"/>
    <col min="2" max="2" width="24.7109375" customWidth="1"/>
    <col min="3" max="3" width="23.5703125" customWidth="1"/>
    <col min="4" max="4" width="27.5703125" customWidth="1"/>
    <col min="5" max="5" width="12.5703125" customWidth="1"/>
  </cols>
  <sheetData>
    <row r="1" spans="1:13" ht="21" customHeight="1" x14ac:dyDescent="0.3">
      <c r="A1" s="567" t="s">
        <v>1795</v>
      </c>
    </row>
    <row r="2" spans="1:13" ht="15.75" x14ac:dyDescent="0.25">
      <c r="A2" s="568" t="s">
        <v>1796</v>
      </c>
    </row>
    <row r="4" spans="1:13" x14ac:dyDescent="0.25">
      <c r="A4" s="148" t="s">
        <v>1797</v>
      </c>
      <c r="B4" s="148" t="s">
        <v>453</v>
      </c>
      <c r="C4" s="148" t="s">
        <v>288</v>
      </c>
      <c r="D4" s="148" t="s">
        <v>1798</v>
      </c>
      <c r="E4" s="148" t="s">
        <v>1799</v>
      </c>
      <c r="F4" s="148" t="s">
        <v>1800</v>
      </c>
      <c r="G4" s="148" t="s">
        <v>1801</v>
      </c>
      <c r="H4" s="148" t="s">
        <v>1802</v>
      </c>
      <c r="I4" s="148" t="s">
        <v>1803</v>
      </c>
      <c r="J4" s="148" t="s">
        <v>1804</v>
      </c>
      <c r="K4" s="148" t="s">
        <v>1805</v>
      </c>
      <c r="L4" s="148" t="s">
        <v>1806</v>
      </c>
      <c r="M4" s="148" t="s">
        <v>1807</v>
      </c>
    </row>
    <row r="5" spans="1:13" x14ac:dyDescent="0.25">
      <c r="A5">
        <v>1</v>
      </c>
      <c r="B5" t="s">
        <v>1808</v>
      </c>
      <c r="C5" t="s">
        <v>1809</v>
      </c>
      <c r="D5" t="s">
        <v>308</v>
      </c>
      <c r="E5" t="s">
        <v>1810</v>
      </c>
      <c r="F5" t="s">
        <v>371</v>
      </c>
      <c r="G5" t="s">
        <v>1811</v>
      </c>
      <c r="H5" t="s">
        <v>1811</v>
      </c>
      <c r="I5" t="s">
        <v>1811</v>
      </c>
      <c r="J5" t="s">
        <v>1812</v>
      </c>
      <c r="K5" t="s">
        <v>1813</v>
      </c>
      <c r="L5" t="s">
        <v>1814</v>
      </c>
      <c r="M5" t="s">
        <v>1815</v>
      </c>
    </row>
    <row r="6" spans="1:13" x14ac:dyDescent="0.25">
      <c r="A6">
        <v>2</v>
      </c>
      <c r="B6" t="s">
        <v>1808</v>
      </c>
      <c r="C6" t="s">
        <v>1809</v>
      </c>
      <c r="D6" t="s">
        <v>308</v>
      </c>
      <c r="E6" t="s">
        <v>1816</v>
      </c>
      <c r="F6" t="s">
        <v>833</v>
      </c>
      <c r="G6" t="s">
        <v>1811</v>
      </c>
      <c r="H6" t="s">
        <v>1811</v>
      </c>
      <c r="I6" t="s">
        <v>1811</v>
      </c>
      <c r="J6" t="s">
        <v>1812</v>
      </c>
      <c r="K6" t="s">
        <v>1817</v>
      </c>
      <c r="L6" t="s">
        <v>1818</v>
      </c>
      <c r="M6" t="s">
        <v>1819</v>
      </c>
    </row>
    <row r="7" spans="1:13" x14ac:dyDescent="0.25">
      <c r="A7">
        <v>3</v>
      </c>
      <c r="B7" t="s">
        <v>1808</v>
      </c>
      <c r="C7" t="s">
        <v>1809</v>
      </c>
      <c r="D7" t="s">
        <v>308</v>
      </c>
      <c r="E7" t="s">
        <v>1820</v>
      </c>
      <c r="F7" t="s">
        <v>834</v>
      </c>
      <c r="G7" t="s">
        <v>1811</v>
      </c>
      <c r="H7" t="s">
        <v>1811</v>
      </c>
      <c r="I7" t="s">
        <v>1811</v>
      </c>
      <c r="J7" t="s">
        <v>1812</v>
      </c>
      <c r="K7" t="s">
        <v>1821</v>
      </c>
      <c r="L7" t="s">
        <v>1822</v>
      </c>
      <c r="M7" t="s">
        <v>1823</v>
      </c>
    </row>
  </sheetData>
  <sheetProtection password="EB75" sheet="1" objects="1" scenarios="1" formatColumns="0" formatRows="0" sort="0"/>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115</vt:i4>
      </vt:variant>
    </vt:vector>
  </HeadingPairs>
  <TitlesOfParts>
    <vt:vector size="143" baseType="lpstr">
      <vt:lpstr>ADSI</vt:lpstr>
      <vt:lpstr>FormData</vt:lpstr>
      <vt:lpstr>P-I</vt:lpstr>
      <vt:lpstr>P-II</vt:lpstr>
      <vt:lpstr>P-II-A</vt:lpstr>
      <vt:lpstr>P-III</vt:lpstr>
      <vt:lpstr>P-IV</vt:lpstr>
      <vt:lpstr>P-V</vt:lpstr>
      <vt:lpstr>P-VI</vt:lpstr>
      <vt:lpstr>P-VII</vt:lpstr>
      <vt:lpstr>P-VIII</vt:lpstr>
      <vt:lpstr>P-IX</vt:lpstr>
      <vt:lpstr>P-X</vt:lpstr>
      <vt:lpstr>P-XI</vt:lpstr>
      <vt:lpstr>P-XII</vt:lpstr>
      <vt:lpstr>P-XIII</vt:lpstr>
      <vt:lpstr>P-XIV</vt:lpstr>
      <vt:lpstr>P-XV</vt:lpstr>
      <vt:lpstr>P-XVI</vt:lpstr>
      <vt:lpstr>P-XVII</vt:lpstr>
      <vt:lpstr>P-XVIII</vt:lpstr>
      <vt:lpstr>P-XIX</vt:lpstr>
      <vt:lpstr>P-XIX-A</vt:lpstr>
      <vt:lpstr>P-XX</vt:lpstr>
      <vt:lpstr>P-XXI</vt:lpstr>
      <vt:lpstr>P-XXII</vt:lpstr>
      <vt:lpstr>P-XXIII</vt:lpstr>
      <vt:lpstr>Status</vt:lpstr>
      <vt:lpstr>A_N_ISLANDS</vt:lpstr>
      <vt:lpstr>A_N_ISLCode</vt:lpstr>
      <vt:lpstr>ANDHRA_Code</vt:lpstr>
      <vt:lpstr>ANDHRA_PRADESH</vt:lpstr>
      <vt:lpstr>ARUNACHAL_PRADESH</vt:lpstr>
      <vt:lpstr>ARUNACHCode</vt:lpstr>
      <vt:lpstr>ASSAM</vt:lpstr>
      <vt:lpstr>ASSAMCode</vt:lpstr>
      <vt:lpstr>BIHAR</vt:lpstr>
      <vt:lpstr>BIHARCode</vt:lpstr>
      <vt:lpstr>CHANDIGARH</vt:lpstr>
      <vt:lpstr>CHANDIGCode</vt:lpstr>
      <vt:lpstr>CHHATTICode</vt:lpstr>
      <vt:lpstr>CHHATTISGARH</vt:lpstr>
      <vt:lpstr>D_N_HAVCode</vt:lpstr>
      <vt:lpstr>D_N_HAVELI_AND_DAMAN___DIU</vt:lpstr>
      <vt:lpstr>DELHI</vt:lpstr>
      <vt:lpstr>DELHICode</vt:lpstr>
      <vt:lpstr>GOA</vt:lpstr>
      <vt:lpstr>GOACode</vt:lpstr>
      <vt:lpstr>GUJARAT</vt:lpstr>
      <vt:lpstr>GUJARATCode</vt:lpstr>
      <vt:lpstr>HARYANA</vt:lpstr>
      <vt:lpstr>HARYANACode</vt:lpstr>
      <vt:lpstr>HIMACHACode</vt:lpstr>
      <vt:lpstr>HIMACHAL_PRADESH</vt:lpstr>
      <vt:lpstr>JAMMU___KASHMIR</vt:lpstr>
      <vt:lpstr>JAMMU__Code</vt:lpstr>
      <vt:lpstr>JHARKHACode</vt:lpstr>
      <vt:lpstr>JHARKHAND</vt:lpstr>
      <vt:lpstr>KARNATACode</vt:lpstr>
      <vt:lpstr>KARNATAKA</vt:lpstr>
      <vt:lpstr>KERALA</vt:lpstr>
      <vt:lpstr>KERALACode</vt:lpstr>
      <vt:lpstr>LADAKH</vt:lpstr>
      <vt:lpstr>LADAKHCode</vt:lpstr>
      <vt:lpstr>LAKSHADCode</vt:lpstr>
      <vt:lpstr>LAKSHADWEEP</vt:lpstr>
      <vt:lpstr>MADHYA_Code</vt:lpstr>
      <vt:lpstr>MADHYA_PRADESH</vt:lpstr>
      <vt:lpstr>MAHARASCode</vt:lpstr>
      <vt:lpstr>MAHARASHTRA</vt:lpstr>
      <vt:lpstr>MANIPUR</vt:lpstr>
      <vt:lpstr>MANIPURCode</vt:lpstr>
      <vt:lpstr>MegaCityCode</vt:lpstr>
      <vt:lpstr>MegaCityName</vt:lpstr>
      <vt:lpstr>MEGHALACode</vt:lpstr>
      <vt:lpstr>MEGHALAYA</vt:lpstr>
      <vt:lpstr>MIZORAM</vt:lpstr>
      <vt:lpstr>MIZORAMCode</vt:lpstr>
      <vt:lpstr>NAGALANCode</vt:lpstr>
      <vt:lpstr>NAGALAND</vt:lpstr>
      <vt:lpstr>ODISHA</vt:lpstr>
      <vt:lpstr>ODISHACode</vt:lpstr>
      <vt:lpstr>ADSI!Print_Area</vt:lpstr>
      <vt:lpstr>'P-I'!Print_Area</vt:lpstr>
      <vt:lpstr>'P-II'!Print_Area</vt:lpstr>
      <vt:lpstr>'P-II-A'!Print_Area</vt:lpstr>
      <vt:lpstr>'P-III'!Print_Area</vt:lpstr>
      <vt:lpstr>'P-IV'!Print_Area</vt:lpstr>
      <vt:lpstr>'P-IX'!Print_Area</vt:lpstr>
      <vt:lpstr>'P-V'!Print_Area</vt:lpstr>
      <vt:lpstr>'P-VI'!Print_Area</vt:lpstr>
      <vt:lpstr>'P-VII'!Print_Area</vt:lpstr>
      <vt:lpstr>'P-VIII'!Print_Area</vt:lpstr>
      <vt:lpstr>'P-X'!Print_Area</vt:lpstr>
      <vt:lpstr>'P-XI'!Print_Area</vt:lpstr>
      <vt:lpstr>'P-XII'!Print_Area</vt:lpstr>
      <vt:lpstr>'P-XIII'!Print_Area</vt:lpstr>
      <vt:lpstr>'P-XIV'!Print_Area</vt:lpstr>
      <vt:lpstr>'P-XIX'!Print_Area</vt:lpstr>
      <vt:lpstr>'P-XIX-A'!Print_Area</vt:lpstr>
      <vt:lpstr>'P-XV'!Print_Area</vt:lpstr>
      <vt:lpstr>'P-XVI'!Print_Area</vt:lpstr>
      <vt:lpstr>'P-XVII'!Print_Area</vt:lpstr>
      <vt:lpstr>'P-XVIII'!Print_Area</vt:lpstr>
      <vt:lpstr>'P-XX'!Print_Area</vt:lpstr>
      <vt:lpstr>'P-XXI'!Print_Area</vt:lpstr>
      <vt:lpstr>'P-XXII'!Print_Area</vt:lpstr>
      <vt:lpstr>'P-XXIII'!Print_Area</vt:lpstr>
      <vt:lpstr>'P-II'!Print_Titles</vt:lpstr>
      <vt:lpstr>'P-III'!Print_Titles</vt:lpstr>
      <vt:lpstr>'P-V'!Print_Titles</vt:lpstr>
      <vt:lpstr>'P-VI'!Print_Titles</vt:lpstr>
      <vt:lpstr>'P-XIV'!Print_Titles</vt:lpstr>
      <vt:lpstr>'P-XIX'!Print_Titles</vt:lpstr>
      <vt:lpstr>'P-XIX-A'!Print_Titles</vt:lpstr>
      <vt:lpstr>'P-XV'!Print_Titles</vt:lpstr>
      <vt:lpstr>'P-XVI'!Print_Titles</vt:lpstr>
      <vt:lpstr>'P-XVII'!Print_Titles</vt:lpstr>
      <vt:lpstr>'P-XVIII'!Print_Titles</vt:lpstr>
      <vt:lpstr>'P-XX'!Print_Titles</vt:lpstr>
      <vt:lpstr>'P-XXII'!Print_Titles</vt:lpstr>
      <vt:lpstr>PUDUCHECode</vt:lpstr>
      <vt:lpstr>PUDUCHERRY</vt:lpstr>
      <vt:lpstr>PUNJAB</vt:lpstr>
      <vt:lpstr>PUNJABCode</vt:lpstr>
      <vt:lpstr>RAJASTHAN</vt:lpstr>
      <vt:lpstr>RAJASTHCode</vt:lpstr>
      <vt:lpstr>SIKKIM</vt:lpstr>
      <vt:lpstr>SIKKIMCode</vt:lpstr>
      <vt:lpstr>StateCode</vt:lpstr>
      <vt:lpstr>StateList</vt:lpstr>
      <vt:lpstr>TAMIL_NADU</vt:lpstr>
      <vt:lpstr>TAMIL_NCode</vt:lpstr>
      <vt:lpstr>TELANGACode</vt:lpstr>
      <vt:lpstr>TELANGANA</vt:lpstr>
      <vt:lpstr>TRIPURA</vt:lpstr>
      <vt:lpstr>TRIPURACode</vt:lpstr>
      <vt:lpstr>UTTAR_PCode</vt:lpstr>
      <vt:lpstr>UTTAR_PRADESH</vt:lpstr>
      <vt:lpstr>UTTARAKCode</vt:lpstr>
      <vt:lpstr>UTTARAKHAND</vt:lpstr>
      <vt:lpstr>WEST_BECode</vt:lpstr>
      <vt:lpstr>WEST_BENGAL</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SCRB1</cp:lastModifiedBy>
  <cp:lastPrinted>2022-01-05T10:10:17Z</cp:lastPrinted>
  <dcterms:created xsi:type="dcterms:W3CDTF">2014-04-11T10:16:50Z</dcterms:created>
  <dcterms:modified xsi:type="dcterms:W3CDTF">2022-04-22T07:01:35Z</dcterms:modified>
</cp:coreProperties>
</file>